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abal\Downloads\"/>
    </mc:Choice>
  </mc:AlternateContent>
  <xr:revisionPtr revIDLastSave="0" documentId="13_ncr:1_{5DA7E878-6EB3-48D8-9565-9F5D01B330CE}" xr6:coauthVersionLast="47" xr6:coauthVersionMax="47" xr10:uidLastSave="{00000000-0000-0000-0000-000000000000}"/>
  <bookViews>
    <workbookView xWindow="-120" yWindow="-120" windowWidth="29040" windowHeight="15720" xr2:uid="{F01C114A-8DF3-4EB5-8421-1902C33BDF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G53" i="1" s="1"/>
  <c r="C52" i="1"/>
  <c r="G51" i="1"/>
  <c r="E51" i="1"/>
  <c r="D51" i="1"/>
  <c r="E50" i="1"/>
  <c r="D50" i="1"/>
  <c r="G49" i="1"/>
  <c r="B49" i="1"/>
  <c r="G48" i="1"/>
  <c r="E48" i="1"/>
  <c r="D48" i="1"/>
  <c r="B48" i="1"/>
  <c r="G47" i="1"/>
  <c r="E47" i="1"/>
  <c r="D47" i="1"/>
  <c r="B47" i="1"/>
  <c r="B46" i="1" s="1"/>
  <c r="B45" i="1" s="1"/>
  <c r="B44" i="1" s="1"/>
  <c r="G46" i="1"/>
  <c r="E46" i="1"/>
  <c r="D46" i="1"/>
  <c r="G45" i="1"/>
  <c r="E45" i="1"/>
  <c r="D45" i="1"/>
  <c r="G44" i="1"/>
  <c r="E44" i="1"/>
  <c r="D44" i="1" s="1"/>
  <c r="L40" i="1"/>
  <c r="L41" i="1" s="1"/>
  <c r="J40" i="1"/>
  <c r="I40" i="1"/>
  <c r="I41" i="1" s="1"/>
  <c r="G40" i="1"/>
  <c r="K38" i="1"/>
  <c r="L38" i="1" s="1"/>
  <c r="L39" i="1" s="1"/>
  <c r="C38" i="1"/>
  <c r="H38" i="1" s="1"/>
  <c r="I38" i="1" s="1"/>
  <c r="I39" i="1" s="1"/>
  <c r="K37" i="1"/>
  <c r="F37" i="1"/>
  <c r="I37" i="1" s="1"/>
  <c r="L37" i="1" s="1"/>
  <c r="D37" i="1"/>
  <c r="K36" i="1"/>
  <c r="F36" i="1"/>
  <c r="F38" i="1" s="1"/>
  <c r="E38" i="1" s="1"/>
  <c r="D36" i="1"/>
  <c r="F32" i="1"/>
  <c r="K31" i="1"/>
  <c r="H31" i="1"/>
  <c r="E31" i="1"/>
  <c r="G31" i="1" s="1"/>
  <c r="D31" i="1"/>
  <c r="H30" i="1"/>
  <c r="E30" i="1"/>
  <c r="D30" i="1" s="1"/>
  <c r="H29" i="1"/>
  <c r="E29" i="1"/>
  <c r="D29" i="1"/>
  <c r="H28" i="1"/>
  <c r="E28" i="1"/>
  <c r="D28" i="1"/>
  <c r="G24" i="1"/>
  <c r="E23" i="1"/>
  <c r="C23" i="1"/>
  <c r="F23" i="1" s="1"/>
  <c r="F25" i="1" s="1"/>
  <c r="E22" i="1"/>
  <c r="F22" i="1" s="1"/>
  <c r="G22" i="1" s="1"/>
  <c r="E21" i="1"/>
  <c r="J21" i="1" s="1"/>
  <c r="D18" i="1"/>
  <c r="E18" i="1" s="1"/>
  <c r="E17" i="1"/>
  <c r="E16" i="1"/>
  <c r="F16" i="1" s="1"/>
  <c r="E15" i="1"/>
  <c r="E14" i="1"/>
  <c r="F14" i="1" s="1"/>
  <c r="E13" i="1"/>
  <c r="E12" i="1"/>
  <c r="F12" i="1" s="1"/>
  <c r="E11" i="1"/>
  <c r="F11" i="1" s="1"/>
  <c r="E10" i="1"/>
  <c r="E8" i="1"/>
  <c r="F8" i="1" s="1"/>
  <c r="D7" i="1"/>
  <c r="E7" i="1" s="1"/>
  <c r="D6" i="1"/>
  <c r="E6" i="1" s="1"/>
  <c r="E32" i="1" l="1"/>
  <c r="G33" i="1" s="1"/>
  <c r="G28" i="1"/>
  <c r="G29" i="1"/>
  <c r="G30" i="1"/>
  <c r="G52" i="1"/>
  <c r="D38" i="1"/>
  <c r="G37" i="1"/>
  <c r="H37" i="1" s="1"/>
  <c r="G36" i="1"/>
  <c r="H36" i="1" s="1"/>
  <c r="G23" i="1"/>
  <c r="I36" i="1"/>
  <c r="L36" i="1" s="1"/>
  <c r="E52" i="1"/>
  <c r="D52" i="1" s="1"/>
  <c r="J22" i="1"/>
  <c r="F21" i="1"/>
  <c r="G21" i="1" l="1"/>
  <c r="H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53" authorId="0" shapeId="0" xr:uid="{2B751025-A11C-4396-BE3E-196EF62E404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Promedio de Tableau.</t>
        </r>
      </text>
    </comment>
  </commentList>
</comments>
</file>

<file path=xl/sharedStrings.xml><?xml version="1.0" encoding="utf-8"?>
<sst xmlns="http://schemas.openxmlformats.org/spreadsheetml/2006/main" count="88" uniqueCount="52">
  <si>
    <t>Demandas de agua</t>
  </si>
  <si>
    <t>Parámetro</t>
  </si>
  <si>
    <t>MW</t>
  </si>
  <si>
    <t>cfs</t>
  </si>
  <si>
    <t>hm3/d</t>
  </si>
  <si>
    <t>Generación en Madden</t>
  </si>
  <si>
    <t xml:space="preserve">Generación en Gatún </t>
  </si>
  <si>
    <t>Esclusas del Pacífico</t>
  </si>
  <si>
    <t>hm3/día</t>
  </si>
  <si>
    <t>ZZ-Flush (2 h en CCL y 2 h en ACL)</t>
  </si>
  <si>
    <t>Esclusas del Atlántico</t>
  </si>
  <si>
    <t>Vertido de fondo en la represa de Madden</t>
  </si>
  <si>
    <t>Agua potable Alhajuela</t>
  </si>
  <si>
    <t>Agua potable Gatún</t>
  </si>
  <si>
    <t>Fugas en Alhajuela</t>
  </si>
  <si>
    <t>Fugas en Gatún</t>
  </si>
  <si>
    <t>Vertidos en Madden (flujo libre)</t>
  </si>
  <si>
    <t>Vertidos en Gatún</t>
  </si>
  <si>
    <t>Consumo total (navegación + M&amp;I)</t>
  </si>
  <si>
    <t>Cálculo de Tableau:</t>
  </si>
  <si>
    <t>Datos de los útimos 7 días (16mar26)</t>
  </si>
  <si>
    <t>Escl./día</t>
  </si>
  <si>
    <t>cfs/trans.</t>
  </si>
  <si>
    <t>hm3/escl.</t>
  </si>
  <si>
    <t>% diferen.</t>
  </si>
  <si>
    <t xml:space="preserve">Esclusajes Panamax </t>
  </si>
  <si>
    <t>Verifi-</t>
  </si>
  <si>
    <t>Esclusajes NeoPanamax</t>
  </si>
  <si>
    <t>cación:</t>
  </si>
  <si>
    <t>Total de esclusajes</t>
  </si>
  <si>
    <t>Diferencia entre el cálculo con datos del Lakehouse y el de Tableau:</t>
  </si>
  <si>
    <t>Datos de OP - Total de esclusajes</t>
  </si>
  <si>
    <t>Diferencia</t>
  </si>
  <si>
    <t>Comentarios</t>
  </si>
  <si>
    <t>Dato final</t>
  </si>
  <si>
    <t>Viernes, 20 de marzo de 2026</t>
  </si>
  <si>
    <t>Con tinas,observado</t>
  </si>
  <si>
    <t>Sábado, 21 de marzo de 2026</t>
  </si>
  <si>
    <t>Observado</t>
  </si>
  <si>
    <t>Domingo, 22 de marzo de 2026</t>
  </si>
  <si>
    <t>Sin tinas, planificado</t>
  </si>
  <si>
    <t>Lunes, 23 de marzo de 2026</t>
  </si>
  <si>
    <t>Promedio:</t>
  </si>
  <si>
    <t>Diferencia entre el cálculo con datos del Lakehouse y el de OP:</t>
  </si>
  <si>
    <t>Modelo: sin ahorro de agua</t>
  </si>
  <si>
    <t>Modelo: tinas y ahorro de agua</t>
  </si>
  <si>
    <t>Suposición para la corrida FEWS</t>
  </si>
  <si>
    <t>El volumen por esclusaje lo comunicó OP</t>
  </si>
  <si>
    <t>Dividido entre dos:</t>
  </si>
  <si>
    <t>Dato final:</t>
  </si>
  <si>
    <t>Tableau: Útimos 7 días</t>
  </si>
  <si>
    <t>Verificación: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</si>
</sst>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"/>
    <numFmt numFmtId="165" formatCode="#,##0.0"/>
    <numFmt numFmtId="166" formatCode="#,##0.000"/>
    <numFmt numFmtId="167" formatCode="0.0"/>
    <numFmt numFmtId="168" formatCode="_-* #,##0_-;\-* #,##0_-;_-* &quot;-&quot;??_-;_-@_-"/>
    <numFmt numFmtId="169" formatCode="_-* #,##0.000_-;\-* #,##0.000_-;_-* &quot;-&quot;??_-;_-@_-"/>
    <numFmt numFmtId="170" formatCode="0.0%"/>
    <numFmt numFmtId="171" formatCode="_-* #,##0.0_-;\-* #,##0.0_-;_-* &quot;-&quot;??_-;_-@_-"/>
    <numFmt numFmtId="172" formatCode="[$-409]d\-mmm\-yy;@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/>
    <xf numFmtId="164" fontId="6" fillId="0" borderId="1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2" fillId="2" borderId="6" xfId="0" applyNumberFormat="1" applyFont="1" applyFill="1" applyBorder="1"/>
    <xf numFmtId="165" fontId="7" fillId="2" borderId="7" xfId="0" applyNumberFormat="1" applyFont="1" applyFill="1" applyBorder="1" applyAlignment="1">
      <alignment horizontal="center"/>
    </xf>
    <xf numFmtId="3" fontId="7" fillId="2" borderId="7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left"/>
    </xf>
    <xf numFmtId="164" fontId="2" fillId="2" borderId="9" xfId="0" applyNumberFormat="1" applyFont="1" applyFill="1" applyBorder="1" applyAlignment="1">
      <alignment horizontal="left"/>
    </xf>
    <xf numFmtId="165" fontId="7" fillId="2" borderId="10" xfId="0" applyNumberFormat="1" applyFont="1" applyFill="1" applyBorder="1" applyAlignment="1">
      <alignment horizontal="center"/>
    </xf>
    <xf numFmtId="3" fontId="7" fillId="2" borderId="10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left"/>
    </xf>
    <xf numFmtId="166" fontId="7" fillId="3" borderId="7" xfId="0" applyNumberFormat="1" applyFont="1" applyFill="1" applyBorder="1" applyAlignment="1">
      <alignment horizontal="center"/>
    </xf>
    <xf numFmtId="3" fontId="7" fillId="3" borderId="7" xfId="0" applyNumberFormat="1" applyFont="1" applyFill="1" applyBorder="1" applyAlignment="1">
      <alignment horizontal="center"/>
    </xf>
    <xf numFmtId="3" fontId="7" fillId="0" borderId="13" xfId="0" applyNumberFormat="1" applyFont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left"/>
    </xf>
    <xf numFmtId="166" fontId="7" fillId="3" borderId="15" xfId="0" applyNumberFormat="1" applyFont="1" applyFill="1" applyBorder="1" applyAlignment="1">
      <alignment horizontal="center"/>
    </xf>
    <xf numFmtId="3" fontId="7" fillId="3" borderId="15" xfId="0" applyNumberFormat="1" applyFont="1" applyFill="1" applyBorder="1" applyAlignment="1">
      <alignment horizontal="center"/>
    </xf>
    <xf numFmtId="166" fontId="7" fillId="3" borderId="16" xfId="0" applyNumberFormat="1" applyFont="1" applyFill="1" applyBorder="1" applyAlignment="1">
      <alignment horizontal="center"/>
    </xf>
    <xf numFmtId="166" fontId="7" fillId="3" borderId="17" xfId="0" applyNumberFormat="1" applyFont="1" applyFill="1" applyBorder="1" applyAlignment="1">
      <alignment horizontal="center" vertical="center"/>
    </xf>
    <xf numFmtId="164" fontId="2" fillId="3" borderId="18" xfId="0" applyNumberFormat="1" applyFont="1" applyFill="1" applyBorder="1" applyAlignment="1">
      <alignment horizontal="left"/>
    </xf>
    <xf numFmtId="166" fontId="7" fillId="3" borderId="19" xfId="0" applyNumberFormat="1" applyFont="1" applyFill="1" applyBorder="1" applyAlignment="1">
      <alignment horizontal="center"/>
    </xf>
    <xf numFmtId="3" fontId="7" fillId="3" borderId="19" xfId="0" applyNumberFormat="1" applyFont="1" applyFill="1" applyBorder="1" applyAlignment="1">
      <alignment horizontal="center"/>
    </xf>
    <xf numFmtId="164" fontId="2" fillId="3" borderId="13" xfId="0" applyNumberFormat="1" applyFont="1" applyFill="1" applyBorder="1" applyAlignment="1">
      <alignment horizontal="left"/>
    </xf>
    <xf numFmtId="166" fontId="7" fillId="3" borderId="21" xfId="0" applyNumberFormat="1" applyFont="1" applyFill="1" applyBorder="1" applyAlignment="1">
      <alignment horizontal="center"/>
    </xf>
    <xf numFmtId="3" fontId="7" fillId="3" borderId="21" xfId="0" applyNumberFormat="1" applyFont="1" applyFill="1" applyBorder="1" applyAlignment="1">
      <alignment horizontal="center"/>
    </xf>
    <xf numFmtId="164" fontId="2" fillId="3" borderId="6" xfId="0" applyNumberFormat="1" applyFont="1" applyFill="1" applyBorder="1"/>
    <xf numFmtId="3" fontId="2" fillId="3" borderId="7" xfId="0" applyNumberFormat="1" applyFont="1" applyFill="1" applyBorder="1" applyAlignment="1">
      <alignment horizontal="center"/>
    </xf>
    <xf numFmtId="3" fontId="2" fillId="3" borderId="19" xfId="0" applyNumberFormat="1" applyFont="1" applyFill="1" applyBorder="1" applyAlignment="1">
      <alignment horizontal="center"/>
    </xf>
    <xf numFmtId="3" fontId="2" fillId="3" borderId="15" xfId="0" applyNumberFormat="1" applyFont="1" applyFill="1" applyBorder="1" applyAlignment="1">
      <alignment horizontal="center"/>
    </xf>
    <xf numFmtId="164" fontId="2" fillId="3" borderId="22" xfId="0" applyNumberFormat="1" applyFont="1" applyFill="1" applyBorder="1" applyAlignment="1">
      <alignment horizontal="left"/>
    </xf>
    <xf numFmtId="166" fontId="7" fillId="3" borderId="23" xfId="0" applyNumberFormat="1" applyFont="1" applyFill="1" applyBorder="1" applyAlignment="1">
      <alignment horizontal="center"/>
    </xf>
    <xf numFmtId="3" fontId="2" fillId="3" borderId="23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167" fontId="7" fillId="3" borderId="4" xfId="0" applyNumberFormat="1" applyFont="1" applyFill="1" applyBorder="1" applyAlignment="1">
      <alignment horizontal="center"/>
    </xf>
    <xf numFmtId="3" fontId="7" fillId="3" borderId="24" xfId="0" applyNumberFormat="1" applyFont="1" applyFill="1" applyBorder="1" applyAlignment="1">
      <alignment horizontal="center"/>
    </xf>
    <xf numFmtId="164" fontId="7" fillId="3" borderId="24" xfId="0" applyNumberFormat="1" applyFont="1" applyFill="1" applyBorder="1" applyAlignment="1">
      <alignment horizontal="center"/>
    </xf>
    <xf numFmtId="164" fontId="7" fillId="3" borderId="25" xfId="0" applyNumberFormat="1" applyFont="1" applyFill="1" applyBorder="1" applyAlignment="1">
      <alignment horizontal="center"/>
    </xf>
    <xf numFmtId="0" fontId="8" fillId="0" borderId="1" xfId="0" applyFont="1" applyBorder="1"/>
    <xf numFmtId="0" fontId="8" fillId="0" borderId="4" xfId="0" applyFont="1" applyBorder="1"/>
    <xf numFmtId="0" fontId="8" fillId="0" borderId="25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164" fontId="7" fillId="3" borderId="13" xfId="0" applyNumberFormat="1" applyFont="1" applyFill="1" applyBorder="1" applyAlignment="1">
      <alignment horizontal="left"/>
    </xf>
    <xf numFmtId="164" fontId="2" fillId="3" borderId="26" xfId="0" applyNumberFormat="1" applyFont="1" applyFill="1" applyBorder="1" applyAlignment="1">
      <alignment horizontal="center"/>
    </xf>
    <xf numFmtId="168" fontId="2" fillId="3" borderId="21" xfId="1" applyNumberFormat="1" applyFont="1" applyFill="1" applyBorder="1" applyAlignment="1">
      <alignment horizontal="center"/>
    </xf>
    <xf numFmtId="10" fontId="2" fillId="3" borderId="21" xfId="2" applyNumberFormat="1" applyFont="1" applyFill="1" applyBorder="1" applyAlignment="1">
      <alignment horizontal="center"/>
    </xf>
    <xf numFmtId="164" fontId="7" fillId="3" borderId="14" xfId="0" applyNumberFormat="1" applyFont="1" applyFill="1" applyBorder="1" applyAlignment="1">
      <alignment horizontal="left"/>
    </xf>
    <xf numFmtId="164" fontId="2" fillId="3" borderId="27" xfId="0" applyNumberFormat="1" applyFont="1" applyFill="1" applyBorder="1" applyAlignment="1">
      <alignment horizontal="center"/>
    </xf>
    <xf numFmtId="168" fontId="2" fillId="3" borderId="15" xfId="1" applyNumberFormat="1" applyFont="1" applyFill="1" applyBorder="1" applyAlignment="1">
      <alignment horizontal="center"/>
    </xf>
    <xf numFmtId="10" fontId="2" fillId="3" borderId="15" xfId="2" applyNumberFormat="1" applyFont="1" applyFill="1" applyBorder="1" applyAlignment="1">
      <alignment horizontal="center"/>
    </xf>
    <xf numFmtId="164" fontId="7" fillId="3" borderId="9" xfId="0" applyNumberFormat="1" applyFont="1" applyFill="1" applyBorder="1" applyAlignment="1">
      <alignment horizontal="left"/>
    </xf>
    <xf numFmtId="164" fontId="2" fillId="3" borderId="28" xfId="0" applyNumberFormat="1" applyFont="1" applyFill="1" applyBorder="1" applyAlignment="1">
      <alignment horizontal="center"/>
    </xf>
    <xf numFmtId="164" fontId="2" fillId="3" borderId="29" xfId="0" applyNumberFormat="1" applyFont="1" applyFill="1" applyBorder="1" applyAlignment="1">
      <alignment horizontal="center"/>
    </xf>
    <xf numFmtId="164" fontId="2" fillId="4" borderId="29" xfId="0" applyNumberFormat="1" applyFont="1" applyFill="1" applyBorder="1" applyAlignment="1">
      <alignment horizontal="center"/>
    </xf>
    <xf numFmtId="168" fontId="2" fillId="3" borderId="10" xfId="1" applyNumberFormat="1" applyFont="1" applyFill="1" applyBorder="1" applyAlignment="1">
      <alignment horizontal="center"/>
    </xf>
    <xf numFmtId="169" fontId="2" fillId="3" borderId="10" xfId="1" applyNumberFormat="1" applyFont="1" applyFill="1" applyBorder="1" applyAlignment="1">
      <alignment horizontal="center"/>
    </xf>
    <xf numFmtId="164" fontId="2" fillId="3" borderId="30" xfId="0" applyNumberFormat="1" applyFont="1" applyFill="1" applyBorder="1" applyAlignment="1">
      <alignment horizontal="center"/>
    </xf>
    <xf numFmtId="168" fontId="2" fillId="3" borderId="25" xfId="1" applyNumberFormat="1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10" fontId="2" fillId="3" borderId="30" xfId="2" applyNumberFormat="1" applyFont="1" applyFill="1" applyBorder="1" applyAlignment="1">
      <alignment horizontal="center"/>
    </xf>
    <xf numFmtId="0" fontId="9" fillId="0" borderId="0" xfId="0" applyFont="1"/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3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67" fontId="2" fillId="3" borderId="26" xfId="0" applyNumberFormat="1" applyFont="1" applyFill="1" applyBorder="1" applyAlignment="1">
      <alignment horizontal="center"/>
    </xf>
    <xf numFmtId="2" fontId="2" fillId="3" borderId="26" xfId="0" applyNumberFormat="1" applyFont="1" applyFill="1" applyBorder="1" applyAlignment="1">
      <alignment horizontal="center"/>
    </xf>
    <xf numFmtId="170" fontId="2" fillId="3" borderId="26" xfId="2" applyNumberFormat="1" applyFont="1" applyFill="1" applyBorder="1" applyAlignment="1">
      <alignment horizontal="center"/>
    </xf>
    <xf numFmtId="3" fontId="2" fillId="3" borderId="26" xfId="0" applyNumberFormat="1" applyFont="1" applyFill="1" applyBorder="1" applyAlignment="1">
      <alignment horizontal="center"/>
    </xf>
    <xf numFmtId="3" fontId="2" fillId="3" borderId="26" xfId="0" applyNumberFormat="1" applyFont="1" applyFill="1" applyBorder="1" applyAlignment="1">
      <alignment horizontal="left"/>
    </xf>
    <xf numFmtId="3" fontId="2" fillId="3" borderId="31" xfId="0" applyNumberFormat="1" applyFont="1" applyFill="1" applyBorder="1" applyAlignment="1">
      <alignment horizontal="center"/>
    </xf>
    <xf numFmtId="166" fontId="2" fillId="3" borderId="32" xfId="0" applyNumberFormat="1" applyFont="1" applyFill="1" applyBorder="1" applyAlignment="1">
      <alignment horizontal="center"/>
    </xf>
    <xf numFmtId="167" fontId="2" fillId="3" borderId="28" xfId="0" applyNumberFormat="1" applyFont="1" applyFill="1" applyBorder="1" applyAlignment="1">
      <alignment horizontal="center"/>
    </xf>
    <xf numFmtId="2" fontId="2" fillId="3" borderId="29" xfId="0" applyNumberFormat="1" applyFont="1" applyFill="1" applyBorder="1" applyAlignment="1">
      <alignment horizontal="center"/>
    </xf>
    <xf numFmtId="170" fontId="2" fillId="3" borderId="29" xfId="2" applyNumberFormat="1" applyFont="1" applyFill="1" applyBorder="1" applyAlignment="1">
      <alignment horizontal="center"/>
    </xf>
    <xf numFmtId="3" fontId="2" fillId="3" borderId="28" xfId="0" applyNumberFormat="1" applyFont="1" applyFill="1" applyBorder="1" applyAlignment="1">
      <alignment horizontal="center"/>
    </xf>
    <xf numFmtId="3" fontId="2" fillId="3" borderId="28" xfId="0" applyNumberFormat="1" applyFont="1" applyFill="1" applyBorder="1" applyAlignment="1">
      <alignment horizontal="left"/>
    </xf>
    <xf numFmtId="3" fontId="2" fillId="3" borderId="33" xfId="0" applyNumberFormat="1" applyFont="1" applyFill="1" applyBorder="1" applyAlignment="1">
      <alignment horizontal="center"/>
    </xf>
    <xf numFmtId="166" fontId="2" fillId="3" borderId="11" xfId="0" applyNumberFormat="1" applyFont="1" applyFill="1" applyBorder="1" applyAlignment="1">
      <alignment horizontal="center"/>
    </xf>
    <xf numFmtId="0" fontId="8" fillId="0" borderId="9" xfId="0" applyFont="1" applyBorder="1"/>
    <xf numFmtId="164" fontId="2" fillId="5" borderId="29" xfId="0" applyNumberFormat="1" applyFont="1" applyFill="1" applyBorder="1" applyAlignment="1">
      <alignment horizontal="center"/>
    </xf>
    <xf numFmtId="0" fontId="8" fillId="0" borderId="0" xfId="0" applyFont="1"/>
    <xf numFmtId="170" fontId="2" fillId="3" borderId="12" xfId="2" applyNumberFormat="1" applyFont="1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/>
    <xf numFmtId="0" fontId="0" fillId="4" borderId="1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/>
    <xf numFmtId="0" fontId="8" fillId="5" borderId="1" xfId="0" applyFont="1" applyFill="1" applyBorder="1"/>
    <xf numFmtId="0" fontId="8" fillId="5" borderId="25" xfId="0" applyFont="1" applyFill="1" applyBorder="1"/>
    <xf numFmtId="0" fontId="8" fillId="5" borderId="3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25" xfId="0" applyFont="1" applyFill="1" applyBorder="1"/>
    <xf numFmtId="0" fontId="8" fillId="4" borderId="3" xfId="0" applyFont="1" applyFill="1" applyBorder="1" applyAlignment="1">
      <alignment horizontal="center"/>
    </xf>
    <xf numFmtId="164" fontId="7" fillId="3" borderId="34" xfId="0" applyNumberFormat="1" applyFont="1" applyFill="1" applyBorder="1" applyAlignment="1">
      <alignment horizontal="left"/>
    </xf>
    <xf numFmtId="164" fontId="2" fillId="3" borderId="35" xfId="0" applyNumberFormat="1" applyFont="1" applyFill="1" applyBorder="1" applyAlignment="1">
      <alignment horizontal="center"/>
    </xf>
    <xf numFmtId="164" fontId="2" fillId="6" borderId="35" xfId="0" applyNumberFormat="1" applyFont="1" applyFill="1" applyBorder="1" applyAlignment="1">
      <alignment horizontal="center"/>
    </xf>
    <xf numFmtId="164" fontId="2" fillId="3" borderId="34" xfId="0" applyNumberFormat="1" applyFont="1" applyFill="1" applyBorder="1" applyAlignment="1">
      <alignment horizontal="center"/>
    </xf>
    <xf numFmtId="164" fontId="2" fillId="3" borderId="36" xfId="0" applyNumberFormat="1" applyFont="1" applyFill="1" applyBorder="1" applyAlignment="1">
      <alignment horizontal="center"/>
    </xf>
    <xf numFmtId="168" fontId="2" fillId="3" borderId="37" xfId="1" applyNumberFormat="1" applyFont="1" applyFill="1" applyBorder="1" applyAlignment="1">
      <alignment horizontal="center"/>
    </xf>
    <xf numFmtId="164" fontId="2" fillId="3" borderId="38" xfId="0" applyNumberFormat="1" applyFont="1" applyFill="1" applyBorder="1" applyAlignment="1">
      <alignment horizontal="center"/>
    </xf>
    <xf numFmtId="164" fontId="2" fillId="6" borderId="38" xfId="0" applyNumberFormat="1" applyFont="1" applyFill="1" applyBorder="1" applyAlignment="1">
      <alignment horizontal="center"/>
    </xf>
    <xf numFmtId="164" fontId="2" fillId="3" borderId="14" xfId="0" applyNumberFormat="1" applyFont="1" applyFill="1" applyBorder="1" applyAlignment="1">
      <alignment horizontal="center"/>
    </xf>
    <xf numFmtId="164" fontId="2" fillId="3" borderId="15" xfId="0" applyNumberFormat="1" applyFont="1" applyFill="1" applyBorder="1" applyAlignment="1">
      <alignment horizontal="center"/>
    </xf>
    <xf numFmtId="168" fontId="2" fillId="3" borderId="39" xfId="1" applyNumberFormat="1" applyFont="1" applyFill="1" applyBorder="1" applyAlignment="1">
      <alignment horizontal="center"/>
    </xf>
    <xf numFmtId="164" fontId="2" fillId="5" borderId="40" xfId="0" applyNumberFormat="1" applyFont="1" applyFill="1" applyBorder="1" applyAlignment="1">
      <alignment horizontal="center"/>
    </xf>
    <xf numFmtId="164" fontId="2" fillId="5" borderId="10" xfId="0" applyNumberFormat="1" applyFont="1" applyFill="1" applyBorder="1" applyAlignment="1">
      <alignment horizontal="center"/>
    </xf>
    <xf numFmtId="168" fontId="3" fillId="5" borderId="11" xfId="1" applyNumberFormat="1" applyFont="1" applyFill="1" applyBorder="1" applyAlignment="1">
      <alignment horizontal="center"/>
    </xf>
    <xf numFmtId="164" fontId="2" fillId="4" borderId="40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168" fontId="2" fillId="4" borderId="11" xfId="1" applyNumberFormat="1" applyFont="1" applyFill="1" applyBorder="1" applyAlignment="1">
      <alignment horizontal="center"/>
    </xf>
    <xf numFmtId="0" fontId="8" fillId="6" borderId="0" xfId="0" applyFont="1" applyFill="1"/>
    <xf numFmtId="0" fontId="0" fillId="0" borderId="1" xfId="0" applyBorder="1"/>
    <xf numFmtId="0" fontId="0" fillId="0" borderId="3" xfId="0" applyBorder="1" applyAlignment="1">
      <alignment horizontal="right"/>
    </xf>
    <xf numFmtId="171" fontId="2" fillId="3" borderId="32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171" fontId="2" fillId="3" borderId="10" xfId="1" applyNumberFormat="1" applyFont="1" applyFill="1" applyBorder="1" applyAlignment="1">
      <alignment horizontal="center"/>
    </xf>
    <xf numFmtId="164" fontId="2" fillId="5" borderId="30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3" fontId="2" fillId="5" borderId="25" xfId="0" applyNumberFormat="1" applyFont="1" applyFill="1" applyBorder="1" applyAlignment="1">
      <alignment horizontal="center"/>
    </xf>
    <xf numFmtId="164" fontId="2" fillId="4" borderId="30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3" fontId="2" fillId="4" borderId="25" xfId="0" applyNumberFormat="1" applyFont="1" applyFill="1" applyBorder="1" applyAlignment="1">
      <alignment horizontal="center"/>
    </xf>
    <xf numFmtId="171" fontId="2" fillId="5" borderId="11" xfId="1" applyNumberFormat="1" applyFont="1" applyFill="1" applyBorder="1" applyAlignment="1">
      <alignment horizontal="center"/>
    </xf>
    <xf numFmtId="171" fontId="2" fillId="4" borderId="11" xfId="1" applyNumberFormat="1" applyFont="1" applyFill="1" applyBorder="1" applyAlignment="1">
      <alignment horizontal="center"/>
    </xf>
    <xf numFmtId="0" fontId="8" fillId="0" borderId="5" xfId="0" applyFont="1" applyBorder="1"/>
    <xf numFmtId="172" fontId="7" fillId="3" borderId="41" xfId="0" applyNumberFormat="1" applyFont="1" applyFill="1" applyBorder="1" applyAlignment="1">
      <alignment horizontal="center"/>
    </xf>
    <xf numFmtId="164" fontId="2" fillId="3" borderId="42" xfId="0" applyNumberFormat="1" applyFont="1" applyFill="1" applyBorder="1" applyAlignment="1">
      <alignment horizontal="center"/>
    </xf>
    <xf numFmtId="168" fontId="2" fillId="3" borderId="36" xfId="1" applyNumberFormat="1" applyFont="1" applyFill="1" applyBorder="1" applyAlignment="1">
      <alignment horizontal="center"/>
    </xf>
    <xf numFmtId="172" fontId="7" fillId="3" borderId="43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72" fontId="7" fillId="3" borderId="13" xfId="0" applyNumberFormat="1" applyFont="1" applyFill="1" applyBorder="1" applyAlignment="1">
      <alignment horizontal="center"/>
    </xf>
    <xf numFmtId="168" fontId="2" fillId="3" borderId="32" xfId="1" applyNumberFormat="1" applyFont="1" applyFill="1" applyBorder="1" applyAlignment="1">
      <alignment horizontal="center"/>
    </xf>
    <xf numFmtId="172" fontId="7" fillId="3" borderId="9" xfId="0" applyNumberFormat="1" applyFont="1" applyFill="1" applyBorder="1" applyAlignment="1">
      <alignment horizontal="center"/>
    </xf>
    <xf numFmtId="164" fontId="2" fillId="3" borderId="24" xfId="0" applyNumberFormat="1" applyFont="1" applyFill="1" applyBorder="1" applyAlignment="1">
      <alignment horizontal="center"/>
    </xf>
    <xf numFmtId="168" fontId="2" fillId="3" borderId="24" xfId="1" applyNumberFormat="1" applyFont="1" applyFill="1" applyBorder="1" applyAlignment="1">
      <alignment horizontal="center"/>
    </xf>
    <xf numFmtId="3" fontId="7" fillId="0" borderId="13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6" fontId="7" fillId="2" borderId="6" xfId="0" applyNumberFormat="1" applyFont="1" applyFill="1" applyBorder="1" applyAlignment="1">
      <alignment horizontal="center"/>
    </xf>
    <xf numFmtId="166" fontId="7" fillId="2" borderId="8" xfId="0" applyNumberFormat="1" applyFont="1" applyFill="1" applyBorder="1" applyAlignment="1">
      <alignment horizontal="center"/>
    </xf>
    <xf numFmtId="166" fontId="7" fillId="2" borderId="9" xfId="0" applyNumberFormat="1" applyFont="1" applyFill="1" applyBorder="1" applyAlignment="1">
      <alignment horizontal="center"/>
    </xf>
    <xf numFmtId="166" fontId="7" fillId="2" borderId="11" xfId="0" applyNumberFormat="1" applyFont="1" applyFill="1" applyBorder="1" applyAlignment="1">
      <alignment horizontal="center"/>
    </xf>
    <xf numFmtId="166" fontId="7" fillId="3" borderId="12" xfId="0" applyNumberFormat="1" applyFont="1" applyFill="1" applyBorder="1" applyAlignment="1">
      <alignment horizontal="center" vertical="center"/>
    </xf>
    <xf numFmtId="166" fontId="7" fillId="3" borderId="17" xfId="0" applyNumberFormat="1" applyFont="1" applyFill="1" applyBorder="1" applyAlignment="1">
      <alignment horizontal="center" vertical="center"/>
    </xf>
    <xf numFmtId="166" fontId="7" fillId="3" borderId="20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A0FF-9763-47FF-8048-20E52788E6A5}">
  <dimension ref="B3:L53"/>
  <sheetViews>
    <sheetView tabSelected="1" workbookViewId="0">
      <selection activeCell="N16" sqref="N16"/>
    </sheetView>
  </sheetViews>
  <sheetFormatPr defaultRowHeight="15"/>
  <cols>
    <col min="2" max="2" width="29" customWidth="1"/>
    <col min="8" max="8" width="9.5703125" bestFit="1" customWidth="1"/>
  </cols>
  <sheetData>
    <row r="3" spans="2:8" ht="15.75" thickBot="1"/>
    <row r="4" spans="2:8" ht="15.75" thickBot="1">
      <c r="B4" s="142" t="s">
        <v>0</v>
      </c>
      <c r="C4" s="143"/>
      <c r="D4" s="143"/>
      <c r="E4" s="143"/>
      <c r="F4" s="144"/>
    </row>
    <row r="5" spans="2:8" ht="15.75" thickBot="1">
      <c r="B5" s="4" t="s">
        <v>1</v>
      </c>
      <c r="C5" s="5" t="s">
        <v>2</v>
      </c>
      <c r="D5" s="6" t="s">
        <v>3</v>
      </c>
      <c r="E5" s="145" t="s">
        <v>4</v>
      </c>
      <c r="F5" s="144"/>
    </row>
    <row r="6" spans="2:8">
      <c r="B6" s="7" t="s">
        <v>5</v>
      </c>
      <c r="C6" s="8">
        <v>19</v>
      </c>
      <c r="D6" s="9">
        <f>C6*80.71</f>
        <v>1533.4899999999998</v>
      </c>
      <c r="E6" s="146">
        <f>D6/408.68</f>
        <v>3.7523000880884796</v>
      </c>
      <c r="F6" s="147"/>
      <c r="G6" s="10"/>
      <c r="H6" s="11"/>
    </row>
    <row r="7" spans="2:8" ht="15.75" thickBot="1">
      <c r="B7" s="12" t="s">
        <v>6</v>
      </c>
      <c r="C7" s="13">
        <v>0</v>
      </c>
      <c r="D7" s="14">
        <f>C7*185.4</f>
        <v>0</v>
      </c>
      <c r="E7" s="148">
        <f>D7/408.68</f>
        <v>0</v>
      </c>
      <c r="F7" s="149"/>
      <c r="G7" s="10"/>
      <c r="H7" s="11"/>
    </row>
    <row r="8" spans="2:8">
      <c r="B8" s="15" t="s">
        <v>7</v>
      </c>
      <c r="C8" s="16"/>
      <c r="D8" s="17">
        <v>2145</v>
      </c>
      <c r="E8" s="16">
        <f t="shared" ref="E8:E17" si="0">D8/408.68</f>
        <v>5.2486052657335813</v>
      </c>
      <c r="F8" s="150">
        <f>E8+E10+E9</f>
        <v>10.499657433688949</v>
      </c>
      <c r="G8" s="141" t="s">
        <v>8</v>
      </c>
      <c r="H8" s="11"/>
    </row>
    <row r="9" spans="2:8">
      <c r="B9" s="19" t="s">
        <v>9</v>
      </c>
      <c r="C9" s="20"/>
      <c r="D9" s="21">
        <v>0</v>
      </c>
      <c r="E9" s="22">
        <v>0</v>
      </c>
      <c r="F9" s="151"/>
      <c r="G9" s="141"/>
      <c r="H9" s="11"/>
    </row>
    <row r="10" spans="2:8" ht="15.75" thickBot="1">
      <c r="B10" s="24" t="s">
        <v>10</v>
      </c>
      <c r="C10" s="25"/>
      <c r="D10" s="26">
        <v>2146</v>
      </c>
      <c r="E10" s="25">
        <f>D10/408.68</f>
        <v>5.2510521679553683</v>
      </c>
      <c r="F10" s="152"/>
      <c r="G10" s="141"/>
      <c r="H10" s="11"/>
    </row>
    <row r="11" spans="2:8" ht="15.75" thickBot="1">
      <c r="B11" s="27" t="s">
        <v>11</v>
      </c>
      <c r="C11" s="28"/>
      <c r="D11" s="29">
        <v>0</v>
      </c>
      <c r="E11" s="25">
        <f>D11/408.68</f>
        <v>0</v>
      </c>
      <c r="F11" s="23">
        <f>E11</f>
        <v>0</v>
      </c>
      <c r="G11" s="18"/>
      <c r="H11" s="11"/>
    </row>
    <row r="12" spans="2:8">
      <c r="B12" s="30" t="s">
        <v>12</v>
      </c>
      <c r="C12" s="16"/>
      <c r="D12" s="31">
        <v>377</v>
      </c>
      <c r="E12" s="16">
        <f t="shared" si="0"/>
        <v>0.92248213761378095</v>
      </c>
      <c r="F12" s="150">
        <f>E12+E13</f>
        <v>1.5684643241656064</v>
      </c>
      <c r="G12" s="141" t="s">
        <v>8</v>
      </c>
      <c r="H12" s="11"/>
    </row>
    <row r="13" spans="2:8" ht="15.75" thickBot="1">
      <c r="B13" s="24" t="s">
        <v>13</v>
      </c>
      <c r="C13" s="25"/>
      <c r="D13" s="32">
        <v>264</v>
      </c>
      <c r="E13" s="25">
        <f t="shared" si="0"/>
        <v>0.64598218655182538</v>
      </c>
      <c r="F13" s="152"/>
      <c r="G13" s="141"/>
      <c r="H13" s="11"/>
    </row>
    <row r="14" spans="2:8">
      <c r="B14" s="19" t="s">
        <v>14</v>
      </c>
      <c r="C14" s="20"/>
      <c r="D14" s="33">
        <v>71</v>
      </c>
      <c r="E14" s="20">
        <f t="shared" si="0"/>
        <v>0.17373005774689243</v>
      </c>
      <c r="F14" s="151">
        <f>E14+E15</f>
        <v>0.56278751101106006</v>
      </c>
      <c r="G14" s="141" t="s">
        <v>8</v>
      </c>
      <c r="H14" s="11"/>
    </row>
    <row r="15" spans="2:8" ht="15.75" thickBot="1">
      <c r="B15" s="34" t="s">
        <v>15</v>
      </c>
      <c r="C15" s="35"/>
      <c r="D15" s="36">
        <v>159</v>
      </c>
      <c r="E15" s="35">
        <f t="shared" si="0"/>
        <v>0.38905745326416757</v>
      </c>
      <c r="F15" s="151"/>
      <c r="G15" s="141"/>
      <c r="H15" s="11"/>
    </row>
    <row r="16" spans="2:8">
      <c r="B16" s="15" t="s">
        <v>16</v>
      </c>
      <c r="C16" s="16"/>
      <c r="D16" s="31">
        <v>0</v>
      </c>
      <c r="E16" s="16">
        <f t="shared" si="0"/>
        <v>0</v>
      </c>
      <c r="F16" s="150">
        <f>E16+E17</f>
        <v>0</v>
      </c>
      <c r="G16" s="141" t="s">
        <v>8</v>
      </c>
      <c r="H16" s="11"/>
    </row>
    <row r="17" spans="2:11" ht="15.75" thickBot="1">
      <c r="B17" s="24" t="s">
        <v>17</v>
      </c>
      <c r="C17" s="25"/>
      <c r="D17" s="32">
        <v>0</v>
      </c>
      <c r="E17" s="25">
        <f t="shared" si="0"/>
        <v>0</v>
      </c>
      <c r="F17" s="152"/>
      <c r="G17" s="141"/>
      <c r="H17" s="11"/>
    </row>
    <row r="18" spans="2:11" ht="15.75" thickBot="1">
      <c r="B18" s="37" t="s">
        <v>18</v>
      </c>
      <c r="C18" s="38"/>
      <c r="D18" s="39">
        <f>D8+D10+D12+D13+D9</f>
        <v>4932</v>
      </c>
      <c r="E18" s="40">
        <f>D18/408.68</f>
        <v>12.068121757854556</v>
      </c>
      <c r="F18" s="41"/>
    </row>
    <row r="19" spans="2:11" ht="15.75" thickBot="1">
      <c r="I19" s="1" t="s">
        <v>19</v>
      </c>
    </row>
    <row r="20" spans="2:11" ht="15.75" thickBot="1">
      <c r="B20" s="42" t="s">
        <v>20</v>
      </c>
      <c r="C20" s="43" t="s">
        <v>21</v>
      </c>
      <c r="D20" s="43" t="s">
        <v>22</v>
      </c>
      <c r="E20" s="43" t="s">
        <v>23</v>
      </c>
      <c r="F20" s="43" t="s">
        <v>8</v>
      </c>
      <c r="G20" s="44" t="s">
        <v>3</v>
      </c>
      <c r="H20" s="45" t="s">
        <v>8</v>
      </c>
      <c r="I20" s="43" t="s">
        <v>23</v>
      </c>
      <c r="J20" s="44" t="s">
        <v>24</v>
      </c>
    </row>
    <row r="21" spans="2:11">
      <c r="B21" s="46" t="s">
        <v>25</v>
      </c>
      <c r="C21" s="47">
        <v>27.143000000000001</v>
      </c>
      <c r="D21" s="47">
        <v>82.188999999999993</v>
      </c>
      <c r="E21" s="47">
        <f>D21/408.68</f>
        <v>0.2011084467064696</v>
      </c>
      <c r="F21" s="47">
        <f>C21*E21</f>
        <v>5.4586865689537047</v>
      </c>
      <c r="G21" s="48">
        <f>F21*408.64</f>
        <v>2230.6376795372416</v>
      </c>
      <c r="H21" s="48" t="s">
        <v>26</v>
      </c>
      <c r="I21" s="47">
        <v>0.2</v>
      </c>
      <c r="J21" s="49">
        <f>I21/E21-1</f>
        <v>-5.5116864787257969E-3</v>
      </c>
    </row>
    <row r="22" spans="2:11">
      <c r="B22" s="50" t="s">
        <v>27</v>
      </c>
      <c r="C22" s="51">
        <v>9.8569999999999993</v>
      </c>
      <c r="D22" s="51">
        <v>164.05</v>
      </c>
      <c r="E22" s="51">
        <f>D22/408.68</f>
        <v>0.40141430948419304</v>
      </c>
      <c r="F22" s="51">
        <f>C22*E22</f>
        <v>3.9567408485856905</v>
      </c>
      <c r="G22" s="52">
        <f t="shared" ref="G22" si="1">F22*408.64</f>
        <v>1616.8825803660566</v>
      </c>
      <c r="H22" s="52" t="s">
        <v>28</v>
      </c>
      <c r="I22" s="51">
        <v>0.39700000000000002</v>
      </c>
      <c r="J22" s="53">
        <f>I22/E22-1</f>
        <v>-1.0996891191709879E-2</v>
      </c>
    </row>
    <row r="23" spans="2:11" ht="15.75" thickBot="1">
      <c r="B23" s="54" t="s">
        <v>29</v>
      </c>
      <c r="C23" s="55">
        <f>C21+C22</f>
        <v>37</v>
      </c>
      <c r="D23" s="56">
        <v>104</v>
      </c>
      <c r="E23" s="57">
        <f>D23/408.68</f>
        <v>0.25447783106587063</v>
      </c>
      <c r="F23" s="56">
        <f>C23*E23</f>
        <v>9.4156797494372135</v>
      </c>
      <c r="G23" s="58">
        <f>F23*408.64</f>
        <v>3847.6233728100228</v>
      </c>
      <c r="H23" s="59">
        <f>F21+F22</f>
        <v>9.4154274175393944</v>
      </c>
    </row>
    <row r="24" spans="2:11" ht="15.75" thickBot="1">
      <c r="E24" s="2" t="s">
        <v>19</v>
      </c>
      <c r="F24" s="60">
        <v>9.5410000000000004</v>
      </c>
      <c r="G24" s="61">
        <f>F24*408.64</f>
        <v>3898.8342400000001</v>
      </c>
    </row>
    <row r="25" spans="2:11" ht="15.75" thickBot="1">
      <c r="E25" s="62" t="s">
        <v>30</v>
      </c>
      <c r="F25" s="63">
        <f>F24/F23-1</f>
        <v>1.3309740124739955E-2</v>
      </c>
      <c r="G25" s="61"/>
    </row>
    <row r="26" spans="2:11" ht="15.75" thickBot="1">
      <c r="B26" s="64"/>
      <c r="C26" s="64"/>
      <c r="D26" s="64"/>
      <c r="E26" s="64"/>
      <c r="F26" s="64"/>
      <c r="G26" s="64"/>
    </row>
    <row r="27" spans="2:11" ht="15.75" thickBot="1">
      <c r="B27" s="42" t="s">
        <v>31</v>
      </c>
      <c r="C27" s="43" t="s">
        <v>21</v>
      </c>
      <c r="D27" s="43" t="s">
        <v>22</v>
      </c>
      <c r="E27" s="43" t="s">
        <v>23</v>
      </c>
      <c r="F27" s="43" t="s">
        <v>8</v>
      </c>
      <c r="G27" s="65" t="s">
        <v>32</v>
      </c>
      <c r="H27" s="66" t="s">
        <v>3</v>
      </c>
      <c r="I27" s="67" t="s">
        <v>33</v>
      </c>
      <c r="J27" s="65"/>
      <c r="K27" s="68" t="s">
        <v>34</v>
      </c>
    </row>
    <row r="28" spans="2:11">
      <c r="B28" s="46" t="s">
        <v>35</v>
      </c>
      <c r="C28" s="69">
        <v>40</v>
      </c>
      <c r="D28" s="70">
        <f>E28*408.68</f>
        <v>103.03844500000002</v>
      </c>
      <c r="E28" s="47">
        <f>F28/C28</f>
        <v>0.25212500000000004</v>
      </c>
      <c r="F28" s="47">
        <v>10.085000000000001</v>
      </c>
      <c r="G28" s="71">
        <f>E28/E23-1</f>
        <v>-9.2457211538460315E-3</v>
      </c>
      <c r="H28" s="72">
        <f>F28*408.64</f>
        <v>4121.1343999999999</v>
      </c>
      <c r="I28" s="73" t="s">
        <v>36</v>
      </c>
      <c r="J28" s="74"/>
      <c r="K28" s="75">
        <v>10.085000000000001</v>
      </c>
    </row>
    <row r="29" spans="2:11">
      <c r="B29" s="46" t="s">
        <v>37</v>
      </c>
      <c r="C29" s="69">
        <v>35</v>
      </c>
      <c r="D29" s="70">
        <f>E29*408.68</f>
        <v>104.28345942857142</v>
      </c>
      <c r="E29" s="47">
        <f>F29/C29</f>
        <v>0.25517142857142855</v>
      </c>
      <c r="F29" s="47">
        <v>8.9309999999999992</v>
      </c>
      <c r="G29" s="71">
        <f>E29/E$23-1</f>
        <v>2.7255714285712163E-3</v>
      </c>
      <c r="H29" s="72">
        <f t="shared" ref="H29:H31" si="2">F29*408.64</f>
        <v>3649.5638399999993</v>
      </c>
      <c r="I29" s="73" t="s">
        <v>38</v>
      </c>
      <c r="J29" s="74"/>
      <c r="K29" s="75">
        <v>8.9309999999999992</v>
      </c>
    </row>
    <row r="30" spans="2:11">
      <c r="B30" s="46" t="s">
        <v>39</v>
      </c>
      <c r="C30" s="69">
        <v>34.5</v>
      </c>
      <c r="D30" s="70">
        <f>E30*408.68</f>
        <v>109.7868475362319</v>
      </c>
      <c r="E30" s="47">
        <f>F30/C30</f>
        <v>0.26863768115942033</v>
      </c>
      <c r="F30" s="47">
        <v>9.2680000000000007</v>
      </c>
      <c r="G30" s="71">
        <f>E30/E$23-1</f>
        <v>5.5642764771460573E-2</v>
      </c>
      <c r="H30" s="72">
        <f t="shared" si="2"/>
        <v>3787.2755200000001</v>
      </c>
      <c r="I30" s="73" t="s">
        <v>40</v>
      </c>
      <c r="J30" s="74"/>
      <c r="K30" s="75">
        <v>10.5</v>
      </c>
    </row>
    <row r="31" spans="2:11" ht="15.75" thickBot="1">
      <c r="B31" s="54" t="s">
        <v>41</v>
      </c>
      <c r="C31" s="76">
        <v>36.5</v>
      </c>
      <c r="D31" s="77">
        <f>E31*408.68</f>
        <v>113.75859726027397</v>
      </c>
      <c r="E31" s="56">
        <f>F31/C31</f>
        <v>0.27835616438356164</v>
      </c>
      <c r="F31" s="56">
        <v>10.16</v>
      </c>
      <c r="G31" s="78">
        <f>E31/E$23-1</f>
        <v>9.3832665964172612E-2</v>
      </c>
      <c r="H31" s="79">
        <f t="shared" si="2"/>
        <v>4151.7824000000001</v>
      </c>
      <c r="I31" s="80" t="s">
        <v>40</v>
      </c>
      <c r="J31" s="81"/>
      <c r="K31" s="82">
        <f>H40</f>
        <v>10.5</v>
      </c>
    </row>
    <row r="32" spans="2:11" ht="15.75" thickBot="1">
      <c r="B32" s="64"/>
      <c r="C32" s="64"/>
      <c r="D32" s="83" t="s">
        <v>42</v>
      </c>
      <c r="E32" s="84">
        <f>AVERAGE(E30:E31)</f>
        <v>0.27349692277149096</v>
      </c>
      <c r="F32" s="84">
        <f>AVERAGE(F28:F31)</f>
        <v>9.6110000000000007</v>
      </c>
    </row>
    <row r="33" spans="2:12" ht="15.75" thickBot="1">
      <c r="B33" s="64"/>
      <c r="C33" s="64"/>
      <c r="D33" s="85"/>
      <c r="F33" s="62" t="s">
        <v>43</v>
      </c>
      <c r="G33" s="86">
        <f>E32/E23-1</f>
        <v>7.4737715367816593E-2</v>
      </c>
    </row>
    <row r="34" spans="2:12" ht="15.75" thickBot="1">
      <c r="G34" s="87"/>
      <c r="H34" s="88" t="s">
        <v>44</v>
      </c>
      <c r="I34" s="89"/>
      <c r="J34" s="90"/>
      <c r="K34" s="91" t="s">
        <v>45</v>
      </c>
      <c r="L34" s="92"/>
    </row>
    <row r="35" spans="2:12" ht="15.75" thickBot="1">
      <c r="B35" s="3" t="s">
        <v>46</v>
      </c>
      <c r="C35" s="43" t="s">
        <v>21</v>
      </c>
      <c r="D35" s="43" t="s">
        <v>22</v>
      </c>
      <c r="E35" s="43" t="s">
        <v>23</v>
      </c>
      <c r="F35" s="43" t="s">
        <v>8</v>
      </c>
      <c r="G35" s="93" t="s">
        <v>23</v>
      </c>
      <c r="H35" s="94" t="s">
        <v>8</v>
      </c>
      <c r="I35" s="95" t="s">
        <v>3</v>
      </c>
      <c r="J35" s="96" t="s">
        <v>23</v>
      </c>
      <c r="K35" s="97" t="s">
        <v>8</v>
      </c>
      <c r="L35" s="98" t="s">
        <v>3</v>
      </c>
    </row>
    <row r="36" spans="2:12">
      <c r="B36" s="99" t="s">
        <v>25</v>
      </c>
      <c r="C36" s="100">
        <v>28</v>
      </c>
      <c r="D36" s="100">
        <f>E36*408.68</f>
        <v>82.144680000000008</v>
      </c>
      <c r="E36" s="101">
        <v>0.20100000000000001</v>
      </c>
      <c r="F36" s="100">
        <f>C36*E36</f>
        <v>5.6280000000000001</v>
      </c>
      <c r="G36" s="102">
        <f>E36*G38/E38</f>
        <v>0.20527538287010783</v>
      </c>
      <c r="H36" s="103">
        <f>G36*C36</f>
        <v>5.7477107203630187</v>
      </c>
      <c r="I36" s="104">
        <f>F36*408.64</f>
        <v>2299.8259199999998</v>
      </c>
      <c r="J36" s="102">
        <v>0.19</v>
      </c>
      <c r="K36" s="103">
        <f>J36*C36</f>
        <v>5.32</v>
      </c>
      <c r="L36" s="104">
        <f>I36*408.64</f>
        <v>939800.8639487999</v>
      </c>
    </row>
    <row r="37" spans="2:12">
      <c r="B37" s="50" t="s">
        <v>27</v>
      </c>
      <c r="C37" s="51">
        <v>11</v>
      </c>
      <c r="D37" s="105">
        <f>E37*408.68</f>
        <v>183.90600000000001</v>
      </c>
      <c r="E37" s="106">
        <v>0.45</v>
      </c>
      <c r="F37" s="51">
        <f>C37*E37</f>
        <v>4.95</v>
      </c>
      <c r="G37" s="107">
        <f>E37*G38/E38</f>
        <v>0.4595717526942712</v>
      </c>
      <c r="H37" s="108">
        <f>G37*C37</f>
        <v>5.055289279636983</v>
      </c>
      <c r="I37" s="109">
        <f>F37*408.64</f>
        <v>2022.768</v>
      </c>
      <c r="J37" s="107">
        <v>0.43</v>
      </c>
      <c r="K37" s="108">
        <f>J37*C37</f>
        <v>4.7299999999999995</v>
      </c>
      <c r="L37" s="109">
        <f>I37*408.64</f>
        <v>826583.91552000004</v>
      </c>
    </row>
    <row r="38" spans="2:12" ht="15.75" thickBot="1">
      <c r="B38" s="54" t="s">
        <v>29</v>
      </c>
      <c r="C38" s="55">
        <f>C36+C37</f>
        <v>39</v>
      </c>
      <c r="D38" s="56">
        <f>E38*408.68</f>
        <v>110.84659076923077</v>
      </c>
      <c r="E38" s="56">
        <f>F38/C38</f>
        <v>0.27123076923076922</v>
      </c>
      <c r="F38" s="55">
        <f>SUM(F36:F37)</f>
        <v>10.577999999999999</v>
      </c>
      <c r="G38" s="110">
        <v>0.27700000000000002</v>
      </c>
      <c r="H38" s="111">
        <f>G38*C38</f>
        <v>10.803000000000001</v>
      </c>
      <c r="I38" s="112">
        <f>H38*408.64</f>
        <v>4414.5379199999998</v>
      </c>
      <c r="J38" s="113">
        <v>0.254</v>
      </c>
      <c r="K38" s="114">
        <f>J38*C38</f>
        <v>9.9060000000000006</v>
      </c>
      <c r="L38" s="115">
        <f>K38*408.64</f>
        <v>4047.9878400000002</v>
      </c>
    </row>
    <row r="39" spans="2:12" ht="15.75" thickBot="1">
      <c r="B39" s="116" t="s">
        <v>47</v>
      </c>
      <c r="C39" s="116"/>
      <c r="D39" s="85"/>
      <c r="G39" s="117"/>
      <c r="H39" s="118" t="s">
        <v>48</v>
      </c>
      <c r="I39" s="119">
        <f>I38/2</f>
        <v>2207.2689599999999</v>
      </c>
      <c r="K39" s="120" t="s">
        <v>48</v>
      </c>
      <c r="L39" s="121">
        <f>L38/2</f>
        <v>2023.9939200000001</v>
      </c>
    </row>
    <row r="40" spans="2:12" ht="15.75" thickBot="1">
      <c r="E40" s="120" t="s">
        <v>49</v>
      </c>
      <c r="F40" s="122">
        <v>39</v>
      </c>
      <c r="G40" s="122">
        <f>H40/F40</f>
        <v>0.26923076923076922</v>
      </c>
      <c r="H40" s="123">
        <v>10.5</v>
      </c>
      <c r="I40" s="124">
        <f>H40*408.64</f>
        <v>4290.72</v>
      </c>
      <c r="J40" s="125">
        <f>K40/F40</f>
        <v>0.24358974358974358</v>
      </c>
      <c r="K40" s="126">
        <v>9.5</v>
      </c>
      <c r="L40" s="127">
        <f>K40*408.64</f>
        <v>3882.08</v>
      </c>
    </row>
    <row r="41" spans="2:12" ht="15.75" thickBot="1">
      <c r="G41" s="117"/>
      <c r="H41" s="118" t="s">
        <v>48</v>
      </c>
      <c r="I41" s="128">
        <f>I40/2</f>
        <v>2145.36</v>
      </c>
      <c r="J41" s="117"/>
      <c r="K41" s="118" t="s">
        <v>48</v>
      </c>
      <c r="L41" s="129">
        <f>L40/2</f>
        <v>1941.04</v>
      </c>
    </row>
    <row r="42" spans="2:12" ht="15.75" thickBot="1">
      <c r="H42" s="120"/>
    </row>
    <row r="43" spans="2:12" ht="15.75" thickBot="1">
      <c r="B43" s="42" t="s">
        <v>50</v>
      </c>
      <c r="C43" s="43" t="s">
        <v>21</v>
      </c>
      <c r="D43" s="43" t="s">
        <v>22</v>
      </c>
      <c r="E43" s="43" t="s">
        <v>23</v>
      </c>
      <c r="F43" s="130" t="s">
        <v>8</v>
      </c>
      <c r="G43" s="44" t="s">
        <v>3</v>
      </c>
    </row>
    <row r="44" spans="2:12">
      <c r="B44" s="131">
        <f t="shared" ref="B44:B48" si="3">B45-1</f>
        <v>46096</v>
      </c>
      <c r="C44" s="47">
        <v>37</v>
      </c>
      <c r="D44" s="47">
        <f t="shared" ref="D44:D48" si="4">408.68*E44</f>
        <v>103.36290378378379</v>
      </c>
      <c r="E44" s="47">
        <f t="shared" ref="E44:E48" si="5">F44/C44</f>
        <v>0.25291891891891893</v>
      </c>
      <c r="F44" s="132">
        <v>9.3580000000000005</v>
      </c>
      <c r="G44" s="133">
        <f>F44*408.64</f>
        <v>3824.05312</v>
      </c>
    </row>
    <row r="45" spans="2:12">
      <c r="B45" s="134">
        <f t="shared" si="3"/>
        <v>46097</v>
      </c>
      <c r="C45" s="47">
        <v>40</v>
      </c>
      <c r="D45" s="47">
        <f t="shared" si="4"/>
        <v>101.92479200000001</v>
      </c>
      <c r="E45" s="47">
        <f t="shared" si="5"/>
        <v>0.24940000000000001</v>
      </c>
      <c r="F45" s="132">
        <v>9.9760000000000009</v>
      </c>
      <c r="G45" s="48">
        <f t="shared" ref="G45:G52" si="6">F45*408.64</f>
        <v>4076.5926400000003</v>
      </c>
    </row>
    <row r="46" spans="2:12">
      <c r="B46" s="134">
        <f t="shared" si="3"/>
        <v>46098</v>
      </c>
      <c r="C46" s="47">
        <v>39</v>
      </c>
      <c r="D46" s="47">
        <f t="shared" si="4"/>
        <v>96.186505641025647</v>
      </c>
      <c r="E46" s="47">
        <f t="shared" si="5"/>
        <v>0.23535897435897438</v>
      </c>
      <c r="F46" s="132">
        <v>9.1790000000000003</v>
      </c>
      <c r="G46" s="48">
        <f t="shared" si="6"/>
        <v>3750.9065599999999</v>
      </c>
    </row>
    <row r="47" spans="2:12">
      <c r="B47" s="134">
        <f t="shared" si="3"/>
        <v>46099</v>
      </c>
      <c r="C47" s="47">
        <v>36</v>
      </c>
      <c r="D47" s="47">
        <f t="shared" si="4"/>
        <v>104.6674888888889</v>
      </c>
      <c r="E47" s="47">
        <f t="shared" si="5"/>
        <v>0.25611111111111112</v>
      </c>
      <c r="F47" s="132">
        <v>9.2200000000000006</v>
      </c>
      <c r="G47" s="48">
        <f t="shared" si="6"/>
        <v>3767.6608000000001</v>
      </c>
    </row>
    <row r="48" spans="2:12">
      <c r="B48" s="134">
        <f t="shared" si="3"/>
        <v>46100</v>
      </c>
      <c r="C48" s="135">
        <v>39</v>
      </c>
      <c r="D48" s="47">
        <f t="shared" si="4"/>
        <v>105.00980205128207</v>
      </c>
      <c r="E48" s="47">
        <f t="shared" si="5"/>
        <v>0.25694871794871799</v>
      </c>
      <c r="F48" s="132">
        <v>10.021000000000001</v>
      </c>
      <c r="G48" s="48">
        <f t="shared" si="6"/>
        <v>4094.98144</v>
      </c>
    </row>
    <row r="49" spans="2:7">
      <c r="B49" s="134">
        <f>B51-1</f>
        <v>46101</v>
      </c>
      <c r="C49" s="135">
        <v>40</v>
      </c>
      <c r="D49" s="47">
        <v>103.03844500000002</v>
      </c>
      <c r="E49" s="47">
        <v>0.25212500000000004</v>
      </c>
      <c r="F49" s="132">
        <v>10.085000000000001</v>
      </c>
      <c r="G49" s="48">
        <f t="shared" si="6"/>
        <v>4121.1343999999999</v>
      </c>
    </row>
    <row r="50" spans="2:7">
      <c r="B50" s="136">
        <v>46101</v>
      </c>
      <c r="C50" s="132">
        <v>40</v>
      </c>
      <c r="D50" s="47">
        <f>408.68*E50</f>
        <v>103.03844500000002</v>
      </c>
      <c r="E50" s="47">
        <f t="shared" ref="E50:E51" si="7">F50/C50</f>
        <v>0.25212500000000004</v>
      </c>
      <c r="F50" s="132">
        <v>10.085000000000001</v>
      </c>
      <c r="G50" s="137">
        <v>4121.1343999999999</v>
      </c>
    </row>
    <row r="51" spans="2:7" ht="15.75" thickBot="1">
      <c r="B51" s="138">
        <v>46102</v>
      </c>
      <c r="C51" s="55">
        <v>35</v>
      </c>
      <c r="D51" s="55">
        <f>408.68*E51</f>
        <v>104.28345942857142</v>
      </c>
      <c r="E51" s="55">
        <f t="shared" si="7"/>
        <v>0.25517142857142855</v>
      </c>
      <c r="F51" s="56">
        <v>8.9309999999999992</v>
      </c>
      <c r="G51" s="58">
        <f t="shared" si="6"/>
        <v>3649.5638399999993</v>
      </c>
    </row>
    <row r="52" spans="2:7" ht="15.75" thickBot="1">
      <c r="B52" s="54" t="s">
        <v>29</v>
      </c>
      <c r="C52" s="55">
        <f>AVERAGE(C44:C51)</f>
        <v>38.25</v>
      </c>
      <c r="D52" s="55">
        <f>408.68*E52</f>
        <v>102.68898022419397</v>
      </c>
      <c r="E52" s="56">
        <f>AVERAGE(E44:E51)</f>
        <v>0.25126989386364385</v>
      </c>
      <c r="F52" s="56">
        <f>AVERAGE(F44:F51)</f>
        <v>9.6068750000000005</v>
      </c>
      <c r="G52" s="58">
        <f t="shared" si="6"/>
        <v>3925.7534000000001</v>
      </c>
    </row>
    <row r="53" spans="2:7" ht="15.75" thickBot="1">
      <c r="E53" s="120" t="s">
        <v>51</v>
      </c>
      <c r="F53" s="139">
        <v>9.5380000000000003</v>
      </c>
      <c r="G53" s="140">
        <f>F52*408.68</f>
        <v>3926.1376750000004</v>
      </c>
    </row>
  </sheetData>
  <mergeCells count="12">
    <mergeCell ref="F12:F13"/>
    <mergeCell ref="G12:G13"/>
    <mergeCell ref="F14:F15"/>
    <mergeCell ref="G14:G15"/>
    <mergeCell ref="F16:F17"/>
    <mergeCell ref="G16:G17"/>
    <mergeCell ref="G8:G10"/>
    <mergeCell ref="B4:F4"/>
    <mergeCell ref="E5:F5"/>
    <mergeCell ref="E6:F6"/>
    <mergeCell ref="E7:F7"/>
    <mergeCell ref="F8:F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Canal de Panama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ABal - Abelardo Bal</dc:creator>
  <cp:keywords/>
  <dc:description/>
  <cp:lastModifiedBy>ABal - Abelardo Bal</cp:lastModifiedBy>
  <cp:revision/>
  <dcterms:created xsi:type="dcterms:W3CDTF">2026-03-25T14:21:27Z</dcterms:created>
  <dcterms:modified xsi:type="dcterms:W3CDTF">2026-03-25T14:24:29Z</dcterms:modified>
  <cp:category/>
  <cp:contentStatus/>
</cp:coreProperties>
</file>