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19" documentId="8_{29E71870-274C-47BF-AFC6-36C7708B9818}" xr6:coauthVersionLast="47" xr6:coauthVersionMax="47" xr10:uidLastSave="{D4E4E586-2B0C-416C-8FF3-A6D705E5B91D}"/>
  <bookViews>
    <workbookView xWindow="-120" yWindow="-120" windowWidth="29040" windowHeight="157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A161" i="4"/>
  <c r="B160" i="4"/>
  <c r="A160" i="4" s="1"/>
  <c r="B159" i="4"/>
  <c r="B158" i="4"/>
  <c r="B157" i="4"/>
  <c r="B156" i="4"/>
  <c r="A156" i="4" s="1"/>
  <c r="B155" i="4"/>
  <c r="B154" i="4"/>
  <c r="B153" i="4"/>
  <c r="B152" i="4"/>
  <c r="B151" i="4"/>
  <c r="B150" i="4"/>
  <c r="B149" i="4"/>
  <c r="B148" i="4"/>
  <c r="A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A133" i="4"/>
  <c r="B132" i="4"/>
  <c r="F132" i="4" s="1"/>
  <c r="B131" i="4"/>
  <c r="A131" i="4"/>
  <c r="B130" i="4"/>
  <c r="A130" i="4" s="1"/>
  <c r="B129" i="4"/>
  <c r="B128" i="4"/>
  <c r="B127" i="4"/>
  <c r="B126" i="4"/>
  <c r="A126" i="4"/>
  <c r="B125" i="4"/>
  <c r="B124" i="4"/>
  <c r="B123" i="4"/>
  <c r="B122" i="4"/>
  <c r="B121" i="4"/>
  <c r="B120" i="4"/>
  <c r="B119" i="4"/>
  <c r="B118" i="4"/>
  <c r="B117" i="4"/>
  <c r="B116" i="4"/>
  <c r="B115" i="4"/>
  <c r="A115" i="4" s="1"/>
  <c r="B114" i="4"/>
  <c r="B113" i="4"/>
  <c r="A113" i="4" s="1"/>
  <c r="B112" i="4"/>
  <c r="B111" i="4"/>
  <c r="B110" i="4"/>
  <c r="B109" i="4"/>
  <c r="B108" i="4"/>
  <c r="B107" i="4"/>
  <c r="B106" i="4"/>
  <c r="B105" i="4"/>
  <c r="B104" i="4"/>
  <c r="B103" i="4"/>
  <c r="A103" i="4"/>
  <c r="B102" i="4"/>
  <c r="A102" i="4" s="1"/>
  <c r="B101" i="4"/>
  <c r="B100" i="4"/>
  <c r="B99" i="4"/>
  <c r="A99" i="4" s="1"/>
  <c r="B98" i="4"/>
  <c r="B97" i="4"/>
  <c r="B96" i="4"/>
  <c r="B95" i="4"/>
  <c r="B94" i="4"/>
  <c r="B93" i="4"/>
  <c r="B92" i="4"/>
  <c r="AD91" i="4" a="1"/>
  <c r="B91" i="4"/>
  <c r="A91" i="4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/>
  <c r="B50" i="4"/>
  <c r="A50" i="4" s="1"/>
  <c r="B49" i="4"/>
  <c r="A49" i="4" s="1"/>
  <c r="B48" i="4"/>
  <c r="A48" i="4" s="1"/>
  <c r="B47" i="4"/>
  <c r="A47" i="4" s="1"/>
  <c r="S46" i="4"/>
  <c r="B46" i="4"/>
  <c r="A46" i="4" s="1"/>
  <c r="S45" i="4"/>
  <c r="B45" i="4"/>
  <c r="A45" i="4" s="1"/>
  <c r="S44" i="4"/>
  <c r="B44" i="4"/>
  <c r="A44" i="4" s="1"/>
  <c r="S43" i="4"/>
  <c r="B43" i="4"/>
  <c r="A43" i="4" s="1"/>
  <c r="S42" i="4"/>
  <c r="B42" i="4"/>
  <c r="A42" i="4" s="1"/>
  <c r="S41" i="4"/>
  <c r="B41" i="4"/>
  <c r="A41" i="4"/>
  <c r="S40" i="4"/>
  <c r="B40" i="4"/>
  <c r="A40" i="4" s="1"/>
  <c r="S39" i="4"/>
  <c r="B39" i="4"/>
  <c r="A39" i="4" s="1"/>
  <c r="S38" i="4"/>
  <c r="B38" i="4"/>
  <c r="A38" i="4" s="1"/>
  <c r="S37" i="4"/>
  <c r="B37" i="4"/>
  <c r="A37" i="4" s="1"/>
  <c r="S36" i="4"/>
  <c r="B36" i="4"/>
  <c r="A36" i="4" s="1"/>
  <c r="S35" i="4"/>
  <c r="B35" i="4"/>
  <c r="A35" i="4" s="1"/>
  <c r="S34" i="4"/>
  <c r="B34" i="4"/>
  <c r="A34" i="4" s="1"/>
  <c r="S33" i="4"/>
  <c r="B33" i="4"/>
  <c r="A33" i="4" s="1"/>
  <c r="S32" i="4"/>
  <c r="B32" i="4"/>
  <c r="A32" i="4"/>
  <c r="S31" i="4"/>
  <c r="B31" i="4"/>
  <c r="A31" i="4" s="1"/>
  <c r="S30" i="4"/>
  <c r="B30" i="4"/>
  <c r="A30" i="4" s="1"/>
  <c r="S29" i="4"/>
  <c r="B29" i="4"/>
  <c r="A29" i="4" s="1"/>
  <c r="S28" i="4"/>
  <c r="B28" i="4"/>
  <c r="A28" i="4" s="1"/>
  <c r="S27" i="4"/>
  <c r="B27" i="4"/>
  <c r="A27" i="4" s="1"/>
  <c r="S26" i="4"/>
  <c r="B26" i="4"/>
  <c r="A26" i="4" s="1"/>
  <c r="S25" i="4"/>
  <c r="B25" i="4"/>
  <c r="A25" i="4" s="1"/>
  <c r="S24" i="4"/>
  <c r="B24" i="4"/>
  <c r="A24" i="4" s="1"/>
  <c r="S23" i="4"/>
  <c r="B23" i="4"/>
  <c r="A23" i="4" s="1"/>
  <c r="S22" i="4"/>
  <c r="B22" i="4"/>
  <c r="A22" i="4" s="1"/>
  <c r="S21" i="4"/>
  <c r="B21" i="4"/>
  <c r="A21" i="4" s="1"/>
  <c r="S20" i="4"/>
  <c r="B20" i="4"/>
  <c r="A20" i="4" s="1"/>
  <c r="S19" i="4"/>
  <c r="B19" i="4"/>
  <c r="A19" i="4" s="1"/>
  <c r="S18" i="4"/>
  <c r="B18" i="4"/>
  <c r="A18" i="4" s="1"/>
  <c r="S17" i="4"/>
  <c r="B17" i="4"/>
  <c r="A17" i="4" s="1"/>
  <c r="S16" i="4"/>
  <c r="B16" i="4"/>
  <c r="A16" i="4" s="1"/>
  <c r="S15" i="4"/>
  <c r="B15" i="4"/>
  <c r="A15" i="4" s="1"/>
  <c r="S14" i="4"/>
  <c r="B14" i="4"/>
  <c r="A14" i="4" s="1"/>
  <c r="S11" i="4"/>
  <c r="C8" i="4"/>
  <c r="C7" i="4"/>
  <c r="H168" i="4" l="1"/>
  <c r="E168" i="4"/>
  <c r="H162" i="4"/>
  <c r="G162" i="4"/>
  <c r="A92" i="4"/>
  <c r="M197" i="4"/>
  <c r="H197" i="4"/>
  <c r="E197" i="4"/>
  <c r="N197" i="4"/>
  <c r="F197" i="4"/>
  <c r="A197" i="4"/>
  <c r="L197" i="4"/>
  <c r="G197" i="4"/>
  <c r="K197" i="4"/>
  <c r="AD197" i="4" a="1"/>
  <c r="AD196" i="4" a="1"/>
  <c r="H196" i="4"/>
  <c r="N196" i="4"/>
  <c r="A196" i="4"/>
  <c r="F196" i="4"/>
  <c r="M196" i="4"/>
  <c r="G196" i="4"/>
  <c r="L196" i="4"/>
  <c r="K196" i="4"/>
  <c r="E196" i="4"/>
  <c r="G195" i="4"/>
  <c r="A195" i="4"/>
  <c r="L195" i="4"/>
  <c r="K195" i="4"/>
  <c r="AD195" i="4" a="1"/>
  <c r="F195" i="4"/>
  <c r="M195" i="4"/>
  <c r="N195" i="4"/>
  <c r="H195" i="4"/>
  <c r="E195" i="4"/>
  <c r="M194" i="4"/>
  <c r="E194" i="4"/>
  <c r="A194" i="4"/>
  <c r="L194" i="4"/>
  <c r="AD194" i="4" a="1"/>
  <c r="F194" i="4"/>
  <c r="H194" i="4"/>
  <c r="N194" i="4"/>
  <c r="K194" i="4"/>
  <c r="G194" i="4"/>
  <c r="G193" i="4"/>
  <c r="K193" i="4"/>
  <c r="M193" i="4"/>
  <c r="F193" i="4"/>
  <c r="A193" i="4"/>
  <c r="E193" i="4"/>
  <c r="N193" i="4"/>
  <c r="AD193" i="4" a="1"/>
  <c r="L193" i="4"/>
  <c r="H193" i="4"/>
  <c r="G192" i="4"/>
  <c r="A192" i="4"/>
  <c r="AD192" i="4" a="1"/>
  <c r="K192" i="4"/>
  <c r="N192" i="4"/>
  <c r="M192" i="4"/>
  <c r="H192" i="4"/>
  <c r="L192" i="4"/>
  <c r="E192" i="4"/>
  <c r="F192" i="4"/>
  <c r="A191" i="4"/>
  <c r="K191" i="4"/>
  <c r="N191" i="4"/>
  <c r="L191" i="4"/>
  <c r="F191" i="4"/>
  <c r="AD191" i="4" a="1"/>
  <c r="E191" i="4"/>
  <c r="H191" i="4"/>
  <c r="M191" i="4"/>
  <c r="G191" i="4"/>
  <c r="N190" i="4"/>
  <c r="K190" i="4"/>
  <c r="AD190" i="4" a="1"/>
  <c r="H190" i="4"/>
  <c r="G190" i="4"/>
  <c r="A190" i="4"/>
  <c r="F190" i="4"/>
  <c r="E190" i="4"/>
  <c r="L190" i="4"/>
  <c r="M190" i="4"/>
  <c r="AD189" i="4" a="1"/>
  <c r="A189" i="4"/>
  <c r="H189" i="4"/>
  <c r="E189" i="4"/>
  <c r="M189" i="4"/>
  <c r="L189" i="4"/>
  <c r="F189" i="4"/>
  <c r="K189" i="4"/>
  <c r="N189" i="4"/>
  <c r="G189" i="4"/>
  <c r="L188" i="4"/>
  <c r="A188" i="4"/>
  <c r="E188" i="4"/>
  <c r="N188" i="4"/>
  <c r="H188" i="4"/>
  <c r="M188" i="4"/>
  <c r="AD188" i="4" a="1"/>
  <c r="G188" i="4"/>
  <c r="F188" i="4"/>
  <c r="K188" i="4"/>
  <c r="L187" i="4"/>
  <c r="F187" i="4"/>
  <c r="AD187" i="4" a="1"/>
  <c r="E187" i="4"/>
  <c r="N187" i="4"/>
  <c r="H187" i="4"/>
  <c r="K187" i="4"/>
  <c r="G187" i="4"/>
  <c r="A187" i="4"/>
  <c r="M187" i="4"/>
  <c r="M186" i="4"/>
  <c r="E186" i="4"/>
  <c r="H186" i="4"/>
  <c r="L186" i="4"/>
  <c r="AD186" i="4" a="1"/>
  <c r="K186" i="4"/>
  <c r="A186" i="4"/>
  <c r="G186" i="4"/>
  <c r="F186" i="4"/>
  <c r="N186" i="4"/>
  <c r="M185" i="4"/>
  <c r="G185" i="4"/>
  <c r="K185" i="4"/>
  <c r="F185" i="4"/>
  <c r="L185" i="4"/>
  <c r="A185" i="4"/>
  <c r="AD185" i="4" a="1"/>
  <c r="N185" i="4"/>
  <c r="E185" i="4"/>
  <c r="H185" i="4"/>
  <c r="A184" i="4"/>
  <c r="N184" i="4"/>
  <c r="F184" i="4"/>
  <c r="M184" i="4"/>
  <c r="AD184" i="4" a="1"/>
  <c r="E184" i="4"/>
  <c r="G184" i="4"/>
  <c r="L184" i="4"/>
  <c r="K184" i="4"/>
  <c r="H184" i="4"/>
  <c r="L183" i="4"/>
  <c r="H183" i="4"/>
  <c r="N183" i="4"/>
  <c r="E183" i="4"/>
  <c r="M183" i="4"/>
  <c r="A183" i="4"/>
  <c r="K183" i="4"/>
  <c r="G183" i="4"/>
  <c r="F183" i="4"/>
  <c r="AD183" i="4" a="1"/>
  <c r="N182" i="4"/>
  <c r="AD182" i="4" a="1"/>
  <c r="G182" i="4"/>
  <c r="F182" i="4"/>
  <c r="E182" i="4"/>
  <c r="H182" i="4"/>
  <c r="M182" i="4"/>
  <c r="A182" i="4"/>
  <c r="L182" i="4"/>
  <c r="K182" i="4"/>
  <c r="A181" i="4"/>
  <c r="F181" i="4"/>
  <c r="AD181" i="4" a="1"/>
  <c r="G181" i="4"/>
  <c r="M181" i="4"/>
  <c r="N181" i="4"/>
  <c r="E181" i="4"/>
  <c r="H181" i="4"/>
  <c r="L181" i="4"/>
  <c r="K181" i="4"/>
  <c r="L180" i="4"/>
  <c r="H180" i="4"/>
  <c r="AD180" i="4" a="1"/>
  <c r="E180" i="4"/>
  <c r="N180" i="4"/>
  <c r="G180" i="4"/>
  <c r="A180" i="4"/>
  <c r="F180" i="4"/>
  <c r="K180" i="4"/>
  <c r="M180" i="4"/>
  <c r="H179" i="4"/>
  <c r="A179" i="4"/>
  <c r="K179" i="4"/>
  <c r="N179" i="4"/>
  <c r="L179" i="4"/>
  <c r="F179" i="4"/>
  <c r="M179" i="4"/>
  <c r="E179" i="4"/>
  <c r="G179" i="4"/>
  <c r="AD179" i="4" a="1"/>
  <c r="H178" i="4"/>
  <c r="M178" i="4"/>
  <c r="F178" i="4"/>
  <c r="A178" i="4"/>
  <c r="G178" i="4"/>
  <c r="K178" i="4"/>
  <c r="N178" i="4"/>
  <c r="E178" i="4"/>
  <c r="AD178" i="4" a="1"/>
  <c r="L178" i="4"/>
  <c r="N177" i="4"/>
  <c r="A177" i="4"/>
  <c r="F177" i="4"/>
  <c r="L177" i="4"/>
  <c r="AD177" i="4" a="1"/>
  <c r="K177" i="4"/>
  <c r="M177" i="4"/>
  <c r="H177" i="4"/>
  <c r="E177" i="4"/>
  <c r="G177" i="4"/>
  <c r="F176" i="4"/>
  <c r="H176" i="4"/>
  <c r="L176" i="4"/>
  <c r="A176" i="4"/>
  <c r="AD176" i="4" a="1"/>
  <c r="E176" i="4"/>
  <c r="G176" i="4"/>
  <c r="M176" i="4"/>
  <c r="N176" i="4"/>
  <c r="K176" i="4"/>
  <c r="K175" i="4"/>
  <c r="AD175" i="4" a="1"/>
  <c r="M175" i="4"/>
  <c r="G175" i="4"/>
  <c r="F175" i="4"/>
  <c r="N175" i="4"/>
  <c r="E175" i="4"/>
  <c r="A175" i="4"/>
  <c r="L175" i="4"/>
  <c r="H175" i="4"/>
  <c r="N174" i="4"/>
  <c r="F174" i="4"/>
  <c r="G174" i="4"/>
  <c r="H174" i="4"/>
  <c r="A174" i="4"/>
  <c r="L174" i="4"/>
  <c r="K174" i="4"/>
  <c r="AD174" i="4" a="1"/>
  <c r="M174" i="4"/>
  <c r="E174" i="4"/>
  <c r="N173" i="4"/>
  <c r="M173" i="4"/>
  <c r="H173" i="4"/>
  <c r="K173" i="4"/>
  <c r="A173" i="4"/>
  <c r="E173" i="4"/>
  <c r="G173" i="4"/>
  <c r="L173" i="4"/>
  <c r="AD173" i="4" a="1"/>
  <c r="F173" i="4"/>
  <c r="H172" i="4"/>
  <c r="F172" i="4"/>
  <c r="N172" i="4"/>
  <c r="E172" i="4"/>
  <c r="M172" i="4"/>
  <c r="AD172" i="4" a="1"/>
  <c r="A172" i="4"/>
  <c r="L172" i="4"/>
  <c r="G172" i="4"/>
  <c r="K172" i="4"/>
  <c r="E171" i="4"/>
  <c r="K171" i="4"/>
  <c r="N171" i="4"/>
  <c r="F171" i="4"/>
  <c r="L171" i="4"/>
  <c r="G171" i="4"/>
  <c r="AD171" i="4" a="1"/>
  <c r="H171" i="4"/>
  <c r="M171" i="4"/>
  <c r="A171" i="4"/>
  <c r="AD170" i="4" a="1"/>
  <c r="M170" i="4"/>
  <c r="G170" i="4"/>
  <c r="F170" i="4"/>
  <c r="E170" i="4"/>
  <c r="H170" i="4"/>
  <c r="L170" i="4"/>
  <c r="N170" i="4"/>
  <c r="A170" i="4"/>
  <c r="K170" i="4"/>
  <c r="F169" i="4"/>
  <c r="E169" i="4"/>
  <c r="K169" i="4"/>
  <c r="M169" i="4"/>
  <c r="G169" i="4"/>
  <c r="H169" i="4"/>
  <c r="L169" i="4"/>
  <c r="N169" i="4"/>
  <c r="A169" i="4"/>
  <c r="AD169" i="4" a="1"/>
  <c r="A168" i="4"/>
  <c r="F168" i="4"/>
  <c r="G168" i="4"/>
  <c r="L168" i="4"/>
  <c r="M168" i="4"/>
  <c r="K168" i="4"/>
  <c r="N168" i="4"/>
  <c r="AD168" i="4" a="1"/>
  <c r="A167" i="4"/>
  <c r="K167" i="4"/>
  <c r="N167" i="4"/>
  <c r="H167" i="4"/>
  <c r="L167" i="4"/>
  <c r="AD167" i="4" a="1"/>
  <c r="F167" i="4"/>
  <c r="G167" i="4"/>
  <c r="M167" i="4"/>
  <c r="E167" i="4"/>
  <c r="E166" i="4"/>
  <c r="H166" i="4"/>
  <c r="N166" i="4"/>
  <c r="K166" i="4"/>
  <c r="G166" i="4"/>
  <c r="L166" i="4"/>
  <c r="AD166" i="4" a="1"/>
  <c r="M166" i="4"/>
  <c r="A166" i="4"/>
  <c r="F166" i="4"/>
  <c r="AD165" i="4" a="1"/>
  <c r="L165" i="4"/>
  <c r="E165" i="4"/>
  <c r="K165" i="4"/>
  <c r="F165" i="4"/>
  <c r="M165" i="4"/>
  <c r="N165" i="4"/>
  <c r="H165" i="4"/>
  <c r="A165" i="4"/>
  <c r="G165" i="4"/>
  <c r="M164" i="4"/>
  <c r="H164" i="4"/>
  <c r="A164" i="4"/>
  <c r="G164" i="4"/>
  <c r="E164" i="4"/>
  <c r="N164" i="4"/>
  <c r="F164" i="4"/>
  <c r="K164" i="4"/>
  <c r="AD164" i="4" a="1"/>
  <c r="L164" i="4"/>
  <c r="E163" i="4"/>
  <c r="AD163" i="4" a="1"/>
  <c r="F163" i="4"/>
  <c r="M163" i="4"/>
  <c r="N163" i="4"/>
  <c r="A163" i="4"/>
  <c r="G163" i="4"/>
  <c r="K163" i="4"/>
  <c r="H163" i="4"/>
  <c r="L163" i="4"/>
  <c r="E162" i="4"/>
  <c r="AD162" i="4" a="1"/>
  <c r="F162" i="4"/>
  <c r="K162" i="4"/>
  <c r="M162" i="4"/>
  <c r="A162" i="4"/>
  <c r="L162" i="4"/>
  <c r="N162" i="4"/>
  <c r="L161" i="4"/>
  <c r="E161" i="4"/>
  <c r="F161" i="4"/>
  <c r="G161" i="4"/>
  <c r="M161" i="4"/>
  <c r="H161" i="4"/>
  <c r="AD161" i="4" a="1"/>
  <c r="K161" i="4"/>
  <c r="N161" i="4"/>
  <c r="F160" i="4"/>
  <c r="K160" i="4"/>
  <c r="L160" i="4"/>
  <c r="N160" i="4"/>
  <c r="G160" i="4"/>
  <c r="M160" i="4"/>
  <c r="E160" i="4"/>
  <c r="H160" i="4"/>
  <c r="AD160" i="4" a="1"/>
  <c r="L159" i="4"/>
  <c r="N159" i="4"/>
  <c r="AD159" i="4" a="1"/>
  <c r="M159" i="4"/>
  <c r="H159" i="4"/>
  <c r="E159" i="4"/>
  <c r="K159" i="4"/>
  <c r="F159" i="4"/>
  <c r="G159" i="4"/>
  <c r="A159" i="4"/>
  <c r="M158" i="4"/>
  <c r="E158" i="4"/>
  <c r="G158" i="4"/>
  <c r="F158" i="4"/>
  <c r="AD158" i="4" a="1"/>
  <c r="K158" i="4"/>
  <c r="L158" i="4"/>
  <c r="A158" i="4"/>
  <c r="N158" i="4"/>
  <c r="H158" i="4"/>
  <c r="L157" i="4"/>
  <c r="N157" i="4"/>
  <c r="AD157" i="4" a="1"/>
  <c r="K157" i="4"/>
  <c r="G157" i="4"/>
  <c r="F157" i="4"/>
  <c r="H157" i="4"/>
  <c r="A157" i="4"/>
  <c r="E157" i="4"/>
  <c r="M157" i="4"/>
  <c r="F156" i="4"/>
  <c r="K156" i="4"/>
  <c r="M156" i="4"/>
  <c r="E156" i="4"/>
  <c r="N156" i="4"/>
  <c r="AD156" i="4" a="1"/>
  <c r="G156" i="4"/>
  <c r="L156" i="4"/>
  <c r="H156" i="4"/>
  <c r="N155" i="4"/>
  <c r="F155" i="4"/>
  <c r="G155" i="4"/>
  <c r="L155" i="4"/>
  <c r="H155" i="4"/>
  <c r="A155" i="4"/>
  <c r="K155" i="4"/>
  <c r="AD155" i="4" a="1"/>
  <c r="M155" i="4"/>
  <c r="E155" i="4"/>
  <c r="K154" i="4"/>
  <c r="M154" i="4"/>
  <c r="A154" i="4"/>
  <c r="N154" i="4"/>
  <c r="F154" i="4"/>
  <c r="G154" i="4"/>
  <c r="E154" i="4"/>
  <c r="L154" i="4"/>
  <c r="AD154" i="4" a="1"/>
  <c r="H154" i="4"/>
  <c r="K153" i="4"/>
  <c r="G153" i="4"/>
  <c r="M153" i="4"/>
  <c r="E153" i="4"/>
  <c r="H153" i="4"/>
  <c r="L153" i="4"/>
  <c r="F153" i="4"/>
  <c r="A153" i="4"/>
  <c r="N153" i="4"/>
  <c r="AD153" i="4" a="1"/>
  <c r="F152" i="4"/>
  <c r="AD152" i="4" a="1"/>
  <c r="H152" i="4"/>
  <c r="M152" i="4"/>
  <c r="K152" i="4"/>
  <c r="A152" i="4"/>
  <c r="L152" i="4"/>
  <c r="N152" i="4"/>
  <c r="E152" i="4"/>
  <c r="G152" i="4"/>
  <c r="F151" i="4"/>
  <c r="N151" i="4"/>
  <c r="L151" i="4"/>
  <c r="K151" i="4"/>
  <c r="H151" i="4"/>
  <c r="AD151" i="4" a="1"/>
  <c r="A151" i="4"/>
  <c r="E151" i="4"/>
  <c r="M151" i="4"/>
  <c r="G151" i="4"/>
  <c r="N150" i="4"/>
  <c r="A150" i="4"/>
  <c r="AD150" i="4" a="1"/>
  <c r="K150" i="4"/>
  <c r="M150" i="4"/>
  <c r="F150" i="4"/>
  <c r="E150" i="4"/>
  <c r="H150" i="4"/>
  <c r="G150" i="4"/>
  <c r="L150" i="4"/>
  <c r="K149" i="4"/>
  <c r="M149" i="4"/>
  <c r="A149" i="4"/>
  <c r="G149" i="4"/>
  <c r="F149" i="4"/>
  <c r="E149" i="4"/>
  <c r="N149" i="4"/>
  <c r="L149" i="4"/>
  <c r="H149" i="4"/>
  <c r="AD149" i="4" a="1"/>
  <c r="F148" i="4"/>
  <c r="E148" i="4"/>
  <c r="L148" i="4"/>
  <c r="H148" i="4"/>
  <c r="M148" i="4"/>
  <c r="AD148" i="4" a="1"/>
  <c r="K148" i="4"/>
  <c r="N148" i="4"/>
  <c r="G148" i="4"/>
  <c r="L147" i="4"/>
  <c r="N147" i="4"/>
  <c r="M147" i="4"/>
  <c r="E147" i="4"/>
  <c r="A147" i="4"/>
  <c r="G147" i="4"/>
  <c r="K147" i="4"/>
  <c r="AD147" i="4" a="1"/>
  <c r="H147" i="4"/>
  <c r="F147" i="4"/>
  <c r="M146" i="4"/>
  <c r="K146" i="4"/>
  <c r="A146" i="4"/>
  <c r="AD146" i="4" a="1"/>
  <c r="H146" i="4"/>
  <c r="L146" i="4"/>
  <c r="F146" i="4"/>
  <c r="N146" i="4"/>
  <c r="E146" i="4"/>
  <c r="G146" i="4"/>
  <c r="K145" i="4"/>
  <c r="AD145" i="4" a="1"/>
  <c r="G145" i="4"/>
  <c r="E145" i="4"/>
  <c r="N145" i="4"/>
  <c r="M145" i="4"/>
  <c r="A145" i="4"/>
  <c r="L145" i="4"/>
  <c r="F145" i="4"/>
  <c r="H145" i="4"/>
  <c r="L144" i="4"/>
  <c r="G144" i="4"/>
  <c r="N144" i="4"/>
  <c r="AD144" i="4" a="1"/>
  <c r="M144" i="4"/>
  <c r="E144" i="4"/>
  <c r="A144" i="4"/>
  <c r="F144" i="4"/>
  <c r="H144" i="4"/>
  <c r="K144" i="4"/>
  <c r="AD143" i="4" a="1"/>
  <c r="E143" i="4"/>
  <c r="K143" i="4"/>
  <c r="A143" i="4"/>
  <c r="N143" i="4"/>
  <c r="L143" i="4"/>
  <c r="H143" i="4"/>
  <c r="G143" i="4"/>
  <c r="F143" i="4"/>
  <c r="M143" i="4"/>
  <c r="F142" i="4"/>
  <c r="M142" i="4"/>
  <c r="AD142" i="4" a="1"/>
  <c r="N142" i="4"/>
  <c r="A142" i="4"/>
  <c r="E142" i="4"/>
  <c r="H142" i="4"/>
  <c r="K142" i="4"/>
  <c r="L142" i="4"/>
  <c r="G142" i="4"/>
  <c r="AD141" i="4" a="1"/>
  <c r="K141" i="4"/>
  <c r="H141" i="4"/>
  <c r="F141" i="4"/>
  <c r="N141" i="4"/>
  <c r="E141" i="4"/>
  <c r="M141" i="4"/>
  <c r="A141" i="4"/>
  <c r="L141" i="4"/>
  <c r="G141" i="4"/>
  <c r="A140" i="4"/>
  <c r="G140" i="4"/>
  <c r="H140" i="4"/>
  <c r="AD140" i="4" a="1"/>
  <c r="K140" i="4"/>
  <c r="E140" i="4"/>
  <c r="N140" i="4"/>
  <c r="F140" i="4"/>
  <c r="M140" i="4"/>
  <c r="L140" i="4"/>
  <c r="K139" i="4"/>
  <c r="E139" i="4"/>
  <c r="L139" i="4"/>
  <c r="F139" i="4"/>
  <c r="A139" i="4"/>
  <c r="G139" i="4"/>
  <c r="N139" i="4"/>
  <c r="H139" i="4"/>
  <c r="AD139" i="4" a="1"/>
  <c r="M139" i="4"/>
  <c r="M138" i="4"/>
  <c r="F138" i="4"/>
  <c r="N138" i="4"/>
  <c r="K138" i="4"/>
  <c r="H138" i="4"/>
  <c r="G138" i="4"/>
  <c r="E138" i="4"/>
  <c r="A138" i="4"/>
  <c r="L138" i="4"/>
  <c r="AD138" i="4" a="1"/>
  <c r="AD137" i="4" a="1"/>
  <c r="N137" i="4"/>
  <c r="H137" i="4"/>
  <c r="A137" i="4"/>
  <c r="M137" i="4"/>
  <c r="E137" i="4"/>
  <c r="G137" i="4"/>
  <c r="L137" i="4"/>
  <c r="F137" i="4"/>
  <c r="K137" i="4"/>
  <c r="M136" i="4"/>
  <c r="F136" i="4"/>
  <c r="E136" i="4"/>
  <c r="AD136" i="4" a="1"/>
  <c r="H136" i="4"/>
  <c r="N136" i="4"/>
  <c r="G136" i="4"/>
  <c r="L136" i="4"/>
  <c r="A136" i="4"/>
  <c r="K136" i="4"/>
  <c r="M135" i="4"/>
  <c r="AD135" i="4" a="1"/>
  <c r="F135" i="4"/>
  <c r="G135" i="4"/>
  <c r="N135" i="4"/>
  <c r="K135" i="4"/>
  <c r="A135" i="4"/>
  <c r="H135" i="4"/>
  <c r="E135" i="4"/>
  <c r="L135" i="4"/>
  <c r="AD134" i="4" a="1"/>
  <c r="M134" i="4"/>
  <c r="N134" i="4"/>
  <c r="H134" i="4"/>
  <c r="E134" i="4"/>
  <c r="A134" i="4"/>
  <c r="L134" i="4"/>
  <c r="G134" i="4"/>
  <c r="K134" i="4"/>
  <c r="F134" i="4"/>
  <c r="M133" i="4"/>
  <c r="E133" i="4"/>
  <c r="K133" i="4"/>
  <c r="F133" i="4"/>
  <c r="H133" i="4"/>
  <c r="L133" i="4"/>
  <c r="N133" i="4"/>
  <c r="G133" i="4"/>
  <c r="AD133" i="4" a="1"/>
  <c r="M132" i="4"/>
  <c r="A132" i="4"/>
  <c r="N132" i="4"/>
  <c r="H132" i="4"/>
  <c r="AD132" i="4" a="1"/>
  <c r="G132" i="4"/>
  <c r="L132" i="4"/>
  <c r="K132" i="4"/>
  <c r="E132" i="4"/>
  <c r="G131" i="4"/>
  <c r="L131" i="4"/>
  <c r="F131" i="4"/>
  <c r="K131" i="4"/>
  <c r="M131" i="4"/>
  <c r="N131" i="4"/>
  <c r="H131" i="4"/>
  <c r="AD131" i="4" a="1"/>
  <c r="E131" i="4"/>
  <c r="N130" i="4"/>
  <c r="G130" i="4"/>
  <c r="K130" i="4"/>
  <c r="H130" i="4"/>
  <c r="M130" i="4"/>
  <c r="AD130" i="4" a="1"/>
  <c r="L130" i="4"/>
  <c r="E130" i="4"/>
  <c r="F130" i="4"/>
  <c r="H129" i="4"/>
  <c r="N129" i="4"/>
  <c r="K129" i="4"/>
  <c r="G129" i="4"/>
  <c r="M129" i="4"/>
  <c r="L129" i="4"/>
  <c r="E129" i="4"/>
  <c r="AD129" i="4" a="1"/>
  <c r="A129" i="4"/>
  <c r="F129" i="4"/>
  <c r="AD128" i="4" a="1"/>
  <c r="M128" i="4"/>
  <c r="N128" i="4"/>
  <c r="A128" i="4"/>
  <c r="F128" i="4"/>
  <c r="H128" i="4"/>
  <c r="L128" i="4"/>
  <c r="E128" i="4"/>
  <c r="G128" i="4"/>
  <c r="K128" i="4"/>
  <c r="K127" i="4"/>
  <c r="E127" i="4"/>
  <c r="AD127" i="4" a="1"/>
  <c r="M127" i="4"/>
  <c r="L127" i="4"/>
  <c r="A127" i="4"/>
  <c r="F127" i="4"/>
  <c r="N127" i="4"/>
  <c r="G127" i="4"/>
  <c r="H127" i="4"/>
  <c r="L126" i="4"/>
  <c r="G126" i="4"/>
  <c r="K126" i="4"/>
  <c r="N126" i="4"/>
  <c r="AD126" i="4" a="1"/>
  <c r="M126" i="4"/>
  <c r="H126" i="4"/>
  <c r="F126" i="4"/>
  <c r="E126" i="4"/>
  <c r="M125" i="4"/>
  <c r="H125" i="4"/>
  <c r="A125" i="4"/>
  <c r="K125" i="4"/>
  <c r="F125" i="4"/>
  <c r="AD125" i="4" a="1"/>
  <c r="N125" i="4"/>
  <c r="L125" i="4"/>
  <c r="E125" i="4"/>
  <c r="G125" i="4"/>
  <c r="N124" i="4"/>
  <c r="F124" i="4"/>
  <c r="A124" i="4"/>
  <c r="E124" i="4"/>
  <c r="K124" i="4"/>
  <c r="M124" i="4"/>
  <c r="G124" i="4"/>
  <c r="H124" i="4"/>
  <c r="L124" i="4"/>
  <c r="AD124" i="4" a="1"/>
  <c r="M123" i="4"/>
  <c r="AD123" i="4" a="1"/>
  <c r="H123" i="4"/>
  <c r="E123" i="4"/>
  <c r="K123" i="4"/>
  <c r="A123" i="4"/>
  <c r="N123" i="4"/>
  <c r="G123" i="4"/>
  <c r="L123" i="4"/>
  <c r="F123" i="4"/>
  <c r="F122" i="4"/>
  <c r="N122" i="4"/>
  <c r="A122" i="4"/>
  <c r="L122" i="4"/>
  <c r="G122" i="4"/>
  <c r="AD122" i="4" a="1"/>
  <c r="M122" i="4"/>
  <c r="E122" i="4"/>
  <c r="H122" i="4"/>
  <c r="K122" i="4"/>
  <c r="E121" i="4"/>
  <c r="M121" i="4"/>
  <c r="A121" i="4"/>
  <c r="F121" i="4"/>
  <c r="K121" i="4"/>
  <c r="L121" i="4"/>
  <c r="H121" i="4"/>
  <c r="AD121" i="4" a="1"/>
  <c r="N121" i="4"/>
  <c r="G121" i="4"/>
  <c r="M120" i="4"/>
  <c r="L120" i="4"/>
  <c r="AD120" i="4" a="1"/>
  <c r="A120" i="4"/>
  <c r="F120" i="4"/>
  <c r="E120" i="4"/>
  <c r="K120" i="4"/>
  <c r="H120" i="4"/>
  <c r="N120" i="4"/>
  <c r="G120" i="4"/>
  <c r="A119" i="4"/>
  <c r="K119" i="4"/>
  <c r="F119" i="4"/>
  <c r="H119" i="4"/>
  <c r="G119" i="4"/>
  <c r="E119" i="4"/>
  <c r="M119" i="4"/>
  <c r="AD119" i="4" a="1"/>
  <c r="L119" i="4"/>
  <c r="N119" i="4"/>
  <c r="L118" i="4"/>
  <c r="K118" i="4"/>
  <c r="AD118" i="4" a="1"/>
  <c r="M118" i="4"/>
  <c r="F118" i="4"/>
  <c r="H118" i="4"/>
  <c r="N118" i="4"/>
  <c r="E118" i="4"/>
  <c r="A118" i="4"/>
  <c r="G118" i="4"/>
  <c r="L117" i="4"/>
  <c r="H117" i="4"/>
  <c r="K117" i="4"/>
  <c r="G117" i="4"/>
  <c r="M117" i="4"/>
  <c r="E117" i="4"/>
  <c r="F117" i="4"/>
  <c r="A117" i="4"/>
  <c r="N117" i="4"/>
  <c r="AD117" i="4" a="1"/>
  <c r="AD116" i="4" a="1"/>
  <c r="G116" i="4"/>
  <c r="M116" i="4"/>
  <c r="E116" i="4"/>
  <c r="K116" i="4"/>
  <c r="F116" i="4"/>
  <c r="L116" i="4"/>
  <c r="N116" i="4"/>
  <c r="A116" i="4"/>
  <c r="H116" i="4"/>
  <c r="H115" i="4"/>
  <c r="E115" i="4"/>
  <c r="AD115" i="4" a="1"/>
  <c r="G115" i="4"/>
  <c r="L115" i="4"/>
  <c r="F115" i="4"/>
  <c r="M115" i="4"/>
  <c r="N115" i="4"/>
  <c r="K115" i="4"/>
  <c r="G114" i="4"/>
  <c r="E114" i="4"/>
  <c r="N114" i="4"/>
  <c r="AD114" i="4" a="1"/>
  <c r="L114" i="4"/>
  <c r="F114" i="4"/>
  <c r="M114" i="4"/>
  <c r="A114" i="4"/>
  <c r="H114" i="4"/>
  <c r="K114" i="4"/>
  <c r="H113" i="4"/>
  <c r="F113" i="4"/>
  <c r="AD113" i="4" a="1"/>
  <c r="N113" i="4"/>
  <c r="M113" i="4"/>
  <c r="K113" i="4"/>
  <c r="E113" i="4"/>
  <c r="L113" i="4"/>
  <c r="G113" i="4"/>
  <c r="K112" i="4"/>
  <c r="L112" i="4"/>
  <c r="G112" i="4"/>
  <c r="F112" i="4"/>
  <c r="H112" i="4"/>
  <c r="M112" i="4"/>
  <c r="A112" i="4"/>
  <c r="E112" i="4"/>
  <c r="N112" i="4"/>
  <c r="AD112" i="4" a="1"/>
  <c r="AD111" i="4" a="1"/>
  <c r="H111" i="4"/>
  <c r="M111" i="4"/>
  <c r="K111" i="4"/>
  <c r="A111" i="4"/>
  <c r="G111" i="4"/>
  <c r="N111" i="4"/>
  <c r="E111" i="4"/>
  <c r="L111" i="4"/>
  <c r="F111" i="4"/>
  <c r="L110" i="4"/>
  <c r="N110" i="4"/>
  <c r="G110" i="4"/>
  <c r="H110" i="4"/>
  <c r="AD110" i="4" a="1"/>
  <c r="F110" i="4"/>
  <c r="A110" i="4"/>
  <c r="M110" i="4"/>
  <c r="K110" i="4"/>
  <c r="E110" i="4"/>
  <c r="G109" i="4"/>
  <c r="N109" i="4"/>
  <c r="M109" i="4"/>
  <c r="E109" i="4"/>
  <c r="AD109" i="4" a="1"/>
  <c r="H109" i="4"/>
  <c r="F109" i="4"/>
  <c r="L109" i="4"/>
  <c r="K109" i="4"/>
  <c r="A109" i="4"/>
  <c r="L108" i="4"/>
  <c r="E108" i="4"/>
  <c r="M108" i="4"/>
  <c r="AD108" i="4" a="1"/>
  <c r="A108" i="4"/>
  <c r="F108" i="4"/>
  <c r="G108" i="4"/>
  <c r="H108" i="4"/>
  <c r="K108" i="4"/>
  <c r="N108" i="4"/>
  <c r="F107" i="4"/>
  <c r="N107" i="4"/>
  <c r="L107" i="4"/>
  <c r="M107" i="4"/>
  <c r="E107" i="4"/>
  <c r="K107" i="4"/>
  <c r="A107" i="4"/>
  <c r="H107" i="4"/>
  <c r="G107" i="4"/>
  <c r="AD107" i="4" a="1"/>
  <c r="F106" i="4"/>
  <c r="E106" i="4"/>
  <c r="AD106" i="4" a="1"/>
  <c r="G106" i="4"/>
  <c r="A106" i="4"/>
  <c r="M106" i="4"/>
  <c r="L106" i="4"/>
  <c r="H106" i="4"/>
  <c r="N106" i="4"/>
  <c r="K106" i="4"/>
  <c r="F105" i="4"/>
  <c r="M105" i="4"/>
  <c r="L105" i="4"/>
  <c r="K105" i="4"/>
  <c r="H105" i="4"/>
  <c r="E105" i="4"/>
  <c r="A105" i="4"/>
  <c r="N105" i="4"/>
  <c r="G105" i="4"/>
  <c r="AD105" i="4" a="1"/>
  <c r="M104" i="4"/>
  <c r="H104" i="4"/>
  <c r="K104" i="4"/>
  <c r="A104" i="4"/>
  <c r="L104" i="4"/>
  <c r="E104" i="4"/>
  <c r="G104" i="4"/>
  <c r="N104" i="4"/>
  <c r="F104" i="4"/>
  <c r="AD104" i="4" a="1"/>
  <c r="H103" i="4"/>
  <c r="F103" i="4"/>
  <c r="M103" i="4"/>
  <c r="G103" i="4"/>
  <c r="L103" i="4"/>
  <c r="E103" i="4"/>
  <c r="AD103" i="4" a="1"/>
  <c r="N103" i="4"/>
  <c r="K103" i="4"/>
  <c r="AD102" i="4" a="1"/>
  <c r="H102" i="4"/>
  <c r="L102" i="4"/>
  <c r="K102" i="4"/>
  <c r="N102" i="4"/>
  <c r="M102" i="4"/>
  <c r="E102" i="4"/>
  <c r="F102" i="4"/>
  <c r="G102" i="4"/>
  <c r="L101" i="4"/>
  <c r="F101" i="4"/>
  <c r="K101" i="4"/>
  <c r="N101" i="4"/>
  <c r="M101" i="4"/>
  <c r="A101" i="4"/>
  <c r="AD101" i="4" a="1"/>
  <c r="E101" i="4"/>
  <c r="H101" i="4"/>
  <c r="G101" i="4"/>
  <c r="H100" i="4"/>
  <c r="L100" i="4"/>
  <c r="K100" i="4"/>
  <c r="N100" i="4"/>
  <c r="E100" i="4"/>
  <c r="AD100" i="4" a="1"/>
  <c r="A100" i="4"/>
  <c r="F100" i="4"/>
  <c r="G100" i="4"/>
  <c r="M100" i="4"/>
  <c r="L99" i="4"/>
  <c r="AD99" i="4" a="1"/>
  <c r="K99" i="4"/>
  <c r="N99" i="4"/>
  <c r="G99" i="4"/>
  <c r="E99" i="4"/>
  <c r="M99" i="4"/>
  <c r="F99" i="4"/>
  <c r="H99" i="4"/>
  <c r="N98" i="4"/>
  <c r="H98" i="4"/>
  <c r="AD98" i="4" a="1"/>
  <c r="G98" i="4"/>
  <c r="F98" i="4"/>
  <c r="K98" i="4"/>
  <c r="E98" i="4"/>
  <c r="M98" i="4"/>
  <c r="A98" i="4"/>
  <c r="L98" i="4"/>
  <c r="G97" i="4"/>
  <c r="F97" i="4"/>
  <c r="M97" i="4"/>
  <c r="N97" i="4"/>
  <c r="L97" i="4"/>
  <c r="K97" i="4"/>
  <c r="AD97" i="4" a="1"/>
  <c r="H97" i="4"/>
  <c r="E97" i="4"/>
  <c r="A97" i="4"/>
  <c r="M96" i="4"/>
  <c r="G96" i="4"/>
  <c r="H96" i="4"/>
  <c r="K96" i="4"/>
  <c r="A96" i="4"/>
  <c r="AD96" i="4" a="1"/>
  <c r="E96" i="4"/>
  <c r="F96" i="4"/>
  <c r="L96" i="4"/>
  <c r="N96" i="4"/>
  <c r="H95" i="4"/>
  <c r="AD95" i="4" a="1"/>
  <c r="A95" i="4"/>
  <c r="K95" i="4"/>
  <c r="F95" i="4"/>
  <c r="G95" i="4"/>
  <c r="M95" i="4"/>
  <c r="N95" i="4"/>
  <c r="E95" i="4"/>
  <c r="L95" i="4"/>
  <c r="H94" i="4"/>
  <c r="F94" i="4"/>
  <c r="E94" i="4"/>
  <c r="N94" i="4"/>
  <c r="AD94" i="4" a="1"/>
  <c r="M94" i="4"/>
  <c r="L94" i="4"/>
  <c r="G94" i="4"/>
  <c r="A94" i="4"/>
  <c r="K94" i="4"/>
  <c r="AD93" i="4" a="1"/>
  <c r="N93" i="4"/>
  <c r="G93" i="4"/>
  <c r="M93" i="4"/>
  <c r="K93" i="4"/>
  <c r="F93" i="4"/>
  <c r="A93" i="4"/>
  <c r="H93" i="4"/>
  <c r="L93" i="4"/>
  <c r="E93" i="4"/>
  <c r="F92" i="4"/>
  <c r="K92" i="4"/>
  <c r="E92" i="4"/>
  <c r="H92" i="4"/>
  <c r="AD92" i="4" a="1"/>
  <c r="N92" i="4"/>
  <c r="M92" i="4"/>
  <c r="G92" i="4"/>
  <c r="L92" i="4"/>
  <c r="E91" i="4"/>
  <c r="F91" i="4"/>
  <c r="G91" i="4"/>
  <c r="H91" i="4"/>
  <c r="L91" i="4"/>
  <c r="N91" i="4"/>
  <c r="M91" i="4"/>
  <c r="K91" i="4"/>
  <c r="AD90" i="4" a="1"/>
  <c r="N90" i="4"/>
  <c r="M90" i="4"/>
  <c r="L90" i="4"/>
  <c r="K90" i="4"/>
  <c r="H90" i="4"/>
  <c r="G90" i="4"/>
  <c r="F90" i="4"/>
  <c r="E90" i="4"/>
  <c r="M89" i="4"/>
  <c r="AD89" i="4" a="1"/>
  <c r="F89" i="4"/>
  <c r="E89" i="4"/>
  <c r="G89" i="4"/>
  <c r="H89" i="4"/>
  <c r="K89" i="4"/>
  <c r="L89" i="4"/>
  <c r="N89" i="4"/>
  <c r="F88" i="4"/>
  <c r="E88" i="4"/>
  <c r="H88" i="4"/>
  <c r="K88" i="4"/>
  <c r="G88" i="4"/>
  <c r="AD88" i="4" a="1"/>
  <c r="N88" i="4"/>
  <c r="M88" i="4"/>
  <c r="L88" i="4"/>
  <c r="AD87" i="4" a="1"/>
  <c r="L87" i="4"/>
  <c r="M87" i="4"/>
  <c r="F87" i="4"/>
  <c r="N87" i="4"/>
  <c r="G87" i="4"/>
  <c r="H87" i="4"/>
  <c r="E87" i="4"/>
  <c r="K87" i="4"/>
  <c r="AD86" i="4" a="1"/>
  <c r="E86" i="4"/>
  <c r="F86" i="4"/>
  <c r="G86" i="4"/>
  <c r="H86" i="4"/>
  <c r="K86" i="4"/>
  <c r="L86" i="4"/>
  <c r="M86" i="4"/>
  <c r="N86" i="4"/>
  <c r="N85" i="4"/>
  <c r="AD85" i="4" a="1"/>
  <c r="M85" i="4"/>
  <c r="L85" i="4"/>
  <c r="H85" i="4"/>
  <c r="G85" i="4"/>
  <c r="F85" i="4"/>
  <c r="E85" i="4"/>
  <c r="K85" i="4"/>
  <c r="F84" i="4"/>
  <c r="N84" i="4"/>
  <c r="AD84" i="4" a="1"/>
  <c r="M84" i="4"/>
  <c r="E84" i="4"/>
  <c r="G84" i="4"/>
  <c r="H84" i="4"/>
  <c r="K84" i="4"/>
  <c r="L84" i="4"/>
  <c r="AD83" i="4" a="1"/>
  <c r="E83" i="4"/>
  <c r="F83" i="4"/>
  <c r="G83" i="4"/>
  <c r="H83" i="4"/>
  <c r="K83" i="4"/>
  <c r="L83" i="4"/>
  <c r="N83" i="4"/>
  <c r="M83" i="4"/>
  <c r="E82" i="4"/>
  <c r="F82" i="4"/>
  <c r="G82" i="4"/>
  <c r="H82" i="4"/>
  <c r="K82" i="4"/>
  <c r="L82" i="4"/>
  <c r="N82" i="4"/>
  <c r="AD82" i="4" a="1"/>
  <c r="M82" i="4"/>
  <c r="AD81" i="4" a="1"/>
  <c r="E81" i="4"/>
  <c r="F81" i="4"/>
  <c r="G81" i="4"/>
  <c r="H81" i="4"/>
  <c r="K81" i="4"/>
  <c r="L81" i="4"/>
  <c r="M81" i="4"/>
  <c r="N81" i="4"/>
  <c r="N80" i="4"/>
  <c r="F80" i="4"/>
  <c r="AD80" i="4" a="1"/>
  <c r="E80" i="4"/>
  <c r="M80" i="4"/>
  <c r="L80" i="4"/>
  <c r="K80" i="4"/>
  <c r="H80" i="4"/>
  <c r="G80" i="4"/>
  <c r="H79" i="4"/>
  <c r="F79" i="4"/>
  <c r="E79" i="4"/>
  <c r="AD79" i="4" a="1"/>
  <c r="K79" i="4"/>
  <c r="N79" i="4"/>
  <c r="M79" i="4"/>
  <c r="G79" i="4"/>
  <c r="L79" i="4"/>
  <c r="L78" i="4"/>
  <c r="N78" i="4"/>
  <c r="AD78" i="4" a="1"/>
  <c r="M78" i="4"/>
  <c r="K78" i="4"/>
  <c r="G78" i="4"/>
  <c r="E78" i="4"/>
  <c r="F78" i="4"/>
  <c r="H78" i="4"/>
  <c r="L77" i="4"/>
  <c r="AD77" i="4" a="1"/>
  <c r="H77" i="4"/>
  <c r="N77" i="4"/>
  <c r="E77" i="4"/>
  <c r="F77" i="4"/>
  <c r="G77" i="4"/>
  <c r="M77" i="4"/>
  <c r="K77" i="4"/>
  <c r="AD76" i="4" a="1"/>
  <c r="N76" i="4"/>
  <c r="E76" i="4"/>
  <c r="F76" i="4"/>
  <c r="G76" i="4"/>
  <c r="H76" i="4"/>
  <c r="M76" i="4"/>
  <c r="K76" i="4"/>
  <c r="L76" i="4"/>
  <c r="AD75" i="4" a="1"/>
  <c r="F75" i="4"/>
  <c r="E75" i="4"/>
  <c r="G75" i="4"/>
  <c r="H75" i="4"/>
  <c r="K75" i="4"/>
  <c r="L75" i="4"/>
  <c r="M75" i="4"/>
  <c r="N75" i="4"/>
  <c r="N74" i="4"/>
  <c r="M74" i="4"/>
  <c r="AD74" i="4" a="1"/>
  <c r="E74" i="4"/>
  <c r="F74" i="4"/>
  <c r="G74" i="4"/>
  <c r="H74" i="4"/>
  <c r="K74" i="4"/>
  <c r="L74" i="4"/>
  <c r="E73" i="4"/>
  <c r="F73" i="4"/>
  <c r="G73" i="4"/>
  <c r="H73" i="4"/>
  <c r="K73" i="4"/>
  <c r="AD73" i="4" a="1"/>
  <c r="N73" i="4"/>
  <c r="L73" i="4"/>
  <c r="M73" i="4"/>
  <c r="N72" i="4"/>
  <c r="AD72" i="4" a="1"/>
  <c r="M72" i="4"/>
  <c r="H72" i="4"/>
  <c r="K72" i="4"/>
  <c r="L72" i="4"/>
  <c r="E72" i="4"/>
  <c r="F72" i="4"/>
  <c r="G72" i="4"/>
  <c r="L71" i="4"/>
  <c r="K71" i="4"/>
  <c r="H71" i="4"/>
  <c r="G71" i="4"/>
  <c r="F71" i="4"/>
  <c r="E71" i="4"/>
  <c r="M71" i="4"/>
  <c r="N71" i="4"/>
  <c r="AD71" i="4" a="1"/>
  <c r="H70" i="4"/>
  <c r="G70" i="4"/>
  <c r="F70" i="4"/>
  <c r="E70" i="4"/>
  <c r="AD70" i="4" a="1"/>
  <c r="N70" i="4"/>
  <c r="M70" i="4"/>
  <c r="L70" i="4"/>
  <c r="K70" i="4"/>
  <c r="L69" i="4"/>
  <c r="K69" i="4"/>
  <c r="G69" i="4"/>
  <c r="F69" i="4"/>
  <c r="E69" i="4"/>
  <c r="H69" i="4"/>
  <c r="AD69" i="4" a="1"/>
  <c r="N69" i="4"/>
  <c r="M69" i="4"/>
  <c r="L68" i="4"/>
  <c r="K68" i="4"/>
  <c r="H68" i="4"/>
  <c r="G68" i="4"/>
  <c r="F68" i="4"/>
  <c r="E68" i="4"/>
  <c r="AD68" i="4" a="1"/>
  <c r="N68" i="4"/>
  <c r="M68" i="4"/>
  <c r="AD67" i="4" a="1"/>
  <c r="F67" i="4"/>
  <c r="E67" i="4"/>
  <c r="L67" i="4"/>
  <c r="N67" i="4"/>
  <c r="M67" i="4"/>
  <c r="G67" i="4"/>
  <c r="K67" i="4"/>
  <c r="H67" i="4"/>
  <c r="N66" i="4"/>
  <c r="M66" i="4"/>
  <c r="L66" i="4"/>
  <c r="K66" i="4"/>
  <c r="H66" i="4"/>
  <c r="G66" i="4"/>
  <c r="F66" i="4"/>
  <c r="E66" i="4"/>
  <c r="AD66" i="4" a="1"/>
  <c r="K65" i="4"/>
  <c r="L65" i="4"/>
  <c r="M65" i="4"/>
  <c r="N65" i="4"/>
  <c r="AD65" i="4" a="1"/>
  <c r="H65" i="4"/>
  <c r="G65" i="4"/>
  <c r="F65" i="4"/>
  <c r="E65" i="4"/>
  <c r="K64" i="4"/>
  <c r="H64" i="4"/>
  <c r="G64" i="4"/>
  <c r="F64" i="4"/>
  <c r="E64" i="4"/>
  <c r="N64" i="4"/>
  <c r="M64" i="4"/>
  <c r="AD64" i="4" a="1"/>
  <c r="L64" i="4"/>
  <c r="M63" i="4"/>
  <c r="N63" i="4"/>
  <c r="AD63" i="4" a="1"/>
  <c r="G63" i="4"/>
  <c r="E63" i="4"/>
  <c r="F63" i="4"/>
  <c r="L63" i="4"/>
  <c r="H63" i="4"/>
  <c r="K63" i="4"/>
  <c r="H62" i="4"/>
  <c r="M62" i="4"/>
  <c r="E62" i="4"/>
  <c r="L62" i="4"/>
  <c r="N62" i="4"/>
  <c r="G62" i="4"/>
  <c r="F62" i="4"/>
  <c r="AD62" i="4" a="1"/>
  <c r="K62" i="4"/>
  <c r="M61" i="4"/>
  <c r="E61" i="4"/>
  <c r="G61" i="4"/>
  <c r="H61" i="4"/>
  <c r="K61" i="4"/>
  <c r="L61" i="4"/>
  <c r="AD61" i="4" a="1"/>
  <c r="N61" i="4"/>
  <c r="F61" i="4"/>
  <c r="AD60" i="4" a="1"/>
  <c r="F60" i="4"/>
  <c r="N60" i="4"/>
  <c r="M60" i="4"/>
  <c r="L60" i="4"/>
  <c r="K60" i="4"/>
  <c r="H60" i="4"/>
  <c r="G60" i="4"/>
  <c r="E60" i="4"/>
  <c r="L59" i="4"/>
  <c r="M59" i="4"/>
  <c r="E59" i="4"/>
  <c r="F59" i="4"/>
  <c r="G59" i="4"/>
  <c r="H59" i="4"/>
  <c r="K59" i="4"/>
  <c r="N59" i="4"/>
  <c r="AD59" i="4" a="1"/>
  <c r="H58" i="4"/>
  <c r="N58" i="4"/>
  <c r="AD58" i="4" a="1"/>
  <c r="E58" i="4"/>
  <c r="F58" i="4"/>
  <c r="G58" i="4"/>
  <c r="K58" i="4"/>
  <c r="L58" i="4"/>
  <c r="M58" i="4"/>
  <c r="F57" i="4"/>
  <c r="H57" i="4"/>
  <c r="M57" i="4"/>
  <c r="L57" i="4"/>
  <c r="K57" i="4"/>
  <c r="AD57" i="4" a="1"/>
  <c r="G57" i="4"/>
  <c r="N57" i="4"/>
  <c r="E57" i="4"/>
  <c r="M56" i="4"/>
  <c r="L56" i="4"/>
  <c r="K56" i="4"/>
  <c r="G56" i="4"/>
  <c r="F56" i="4"/>
  <c r="E56" i="4"/>
  <c r="N56" i="4"/>
  <c r="AD56" i="4" a="1"/>
  <c r="H56" i="4"/>
  <c r="G55" i="4"/>
  <c r="E55" i="4"/>
  <c r="AD55" i="4" a="1"/>
  <c r="F55" i="4"/>
  <c r="N55" i="4"/>
  <c r="M55" i="4"/>
  <c r="L55" i="4"/>
  <c r="K55" i="4"/>
  <c r="H55" i="4"/>
  <c r="E54" i="4"/>
  <c r="F54" i="4"/>
  <c r="H54" i="4"/>
  <c r="K54" i="4"/>
  <c r="G54" i="4"/>
  <c r="AD54" i="4" a="1"/>
  <c r="N54" i="4"/>
  <c r="M54" i="4"/>
  <c r="L54" i="4"/>
  <c r="F53" i="4"/>
  <c r="G53" i="4"/>
  <c r="K53" i="4"/>
  <c r="L53" i="4"/>
  <c r="M53" i="4"/>
  <c r="N53" i="4"/>
  <c r="AD53" i="4" a="1"/>
  <c r="H53" i="4"/>
  <c r="E53" i="4"/>
  <c r="F52" i="4"/>
  <c r="E52" i="4"/>
  <c r="AD52" i="4" a="1"/>
  <c r="N52" i="4"/>
  <c r="M52" i="4"/>
  <c r="L52" i="4"/>
  <c r="K52" i="4"/>
  <c r="H52" i="4"/>
  <c r="G52" i="4"/>
  <c r="K51" i="4"/>
  <c r="L51" i="4"/>
  <c r="M51" i="4"/>
  <c r="N51" i="4"/>
  <c r="AD51" i="4" a="1"/>
  <c r="E51" i="4"/>
  <c r="F51" i="4"/>
  <c r="G51" i="4"/>
  <c r="H51" i="4"/>
  <c r="L50" i="4"/>
  <c r="M50" i="4"/>
  <c r="N50" i="4"/>
  <c r="G50" i="4"/>
  <c r="AD50" i="4" a="1"/>
  <c r="F50" i="4"/>
  <c r="H50" i="4"/>
  <c r="K50" i="4"/>
  <c r="E50" i="4"/>
  <c r="F49" i="4"/>
  <c r="E49" i="4"/>
  <c r="H49" i="4"/>
  <c r="AD49" i="4" a="1"/>
  <c r="G49" i="4"/>
  <c r="N49" i="4"/>
  <c r="M49" i="4"/>
  <c r="L49" i="4"/>
  <c r="K49" i="4"/>
  <c r="H48" i="4"/>
  <c r="G48" i="4"/>
  <c r="F48" i="4"/>
  <c r="E48" i="4"/>
  <c r="AD48" i="4" a="1"/>
  <c r="N48" i="4"/>
  <c r="M48" i="4"/>
  <c r="L48" i="4"/>
  <c r="K48" i="4"/>
  <c r="M47" i="4"/>
  <c r="L47" i="4"/>
  <c r="K47" i="4"/>
  <c r="G47" i="4"/>
  <c r="C47" i="4"/>
  <c r="D47" i="4"/>
  <c r="V47" i="4" s="1"/>
  <c r="AD47" i="4" a="1"/>
  <c r="N47" i="4"/>
  <c r="H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X14" i="4" l="1"/>
  <c r="Z14" i="4" s="1"/>
  <c r="Y14" i="4"/>
  <c r="AA14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5" i="4"/>
  <c r="W17" i="4"/>
  <c r="W19" i="4"/>
  <c r="W18" i="4"/>
  <c r="W16" i="4"/>
  <c r="AF14" i="4" l="1"/>
  <c r="AG14" i="4"/>
  <c r="AB14" i="4"/>
  <c r="AC14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AA21" i="4"/>
  <c r="Z21" i="4"/>
  <c r="Y21" i="4"/>
  <c r="X21" i="4"/>
  <c r="AA20" i="4"/>
  <c r="Z20" i="4"/>
  <c r="Y20" i="4"/>
  <c r="X20" i="4"/>
  <c r="AA15" i="4"/>
  <c r="Z15" i="4"/>
  <c r="Y15" i="4"/>
  <c r="X15" i="4"/>
  <c r="AA17" i="4"/>
  <c r="Z17" i="4"/>
  <c r="Y17" i="4"/>
  <c r="X17" i="4"/>
  <c r="AA19" i="4"/>
  <c r="Z19" i="4"/>
  <c r="Y19" i="4"/>
  <c r="X19" i="4"/>
  <c r="AA18" i="4"/>
  <c r="Z18" i="4"/>
  <c r="Y18" i="4"/>
  <c r="X18" i="4"/>
  <c r="AA16" i="4"/>
  <c r="Z16" i="4"/>
  <c r="Y16" i="4"/>
  <c r="X16" i="4"/>
  <c r="AI14" i="4" l="1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B29" i="4"/>
  <c r="AB28" i="4"/>
  <c r="AC28" i="4"/>
  <c r="AC29" i="4"/>
  <c r="AB27" i="4"/>
  <c r="AB26" i="4"/>
  <c r="AC26" i="4"/>
  <c r="AC27" i="4"/>
  <c r="AB17" i="4"/>
  <c r="AB16" i="4"/>
  <c r="AC16" i="4"/>
  <c r="AC17" i="4"/>
  <c r="AB20" i="4"/>
  <c r="AB21" i="4"/>
  <c r="AC20" i="4"/>
  <c r="AC21" i="4"/>
  <c r="AB24" i="4"/>
  <c r="AB25" i="4"/>
  <c r="AC24" i="4"/>
  <c r="AC25" i="4"/>
  <c r="AB23" i="4"/>
  <c r="AB22" i="4"/>
  <c r="AC22" i="4"/>
  <c r="AC23" i="4"/>
  <c r="AB19" i="4"/>
  <c r="AB18" i="4"/>
  <c r="AC18" i="4"/>
  <c r="AC19" i="4"/>
  <c r="AB15" i="4"/>
  <c r="AC15" i="4"/>
  <c r="J47" i="4" l="1"/>
  <c r="Q47" i="4"/>
  <c r="O47" i="4"/>
  <c r="S47" i="4" l="1"/>
  <c r="I47" i="4"/>
  <c r="P47" i="4"/>
  <c r="R47" i="4" l="1"/>
  <c r="D48" i="4"/>
  <c r="V48" i="4" s="1"/>
  <c r="W48" i="4" s="1"/>
  <c r="Y48" i="4" l="1"/>
  <c r="X48" i="4"/>
  <c r="Z48" i="4" s="1"/>
  <c r="AA48" i="4"/>
  <c r="C48" i="4"/>
  <c r="J48" i="4"/>
  <c r="O48" i="4"/>
  <c r="Q48" i="4"/>
  <c r="AC48" i="4" l="1"/>
  <c r="AB48" i="4"/>
  <c r="S48" i="4"/>
  <c r="I48" i="4"/>
  <c r="P48" i="4"/>
  <c r="R48" i="4" l="1"/>
  <c r="D49" i="4"/>
  <c r="V49" i="4" s="1"/>
  <c r="W49" i="4" s="1"/>
  <c r="X49" i="4" l="1"/>
  <c r="Z49" i="4" s="1"/>
  <c r="AA49" i="4"/>
  <c r="Y49" i="4"/>
  <c r="C49" i="4"/>
  <c r="O49" i="4"/>
  <c r="Q49" i="4"/>
  <c r="J49" i="4"/>
  <c r="AB49" i="4" l="1"/>
  <c r="AC49" i="4"/>
  <c r="S49" i="4"/>
  <c r="I49" i="4"/>
  <c r="P49" i="4"/>
  <c r="R49" i="4" l="1"/>
  <c r="D50" i="4"/>
  <c r="V50" i="4" s="1"/>
  <c r="W50" i="4" s="1"/>
  <c r="Y50" i="4" l="1"/>
  <c r="AA50" i="4"/>
  <c r="X50" i="4"/>
  <c r="Z50" i="4"/>
  <c r="C50" i="4"/>
  <c r="O50" i="4"/>
  <c r="J50" i="4"/>
  <c r="Q50" i="4"/>
  <c r="AC50" i="4" l="1"/>
  <c r="AB50" i="4"/>
  <c r="S50" i="4"/>
  <c r="I50" i="4"/>
  <c r="P50" i="4"/>
  <c r="R50" i="4" l="1"/>
  <c r="D51" i="4"/>
  <c r="V51" i="4" s="1"/>
  <c r="W51" i="4" s="1"/>
  <c r="Y51" i="4" l="1"/>
  <c r="X51" i="4"/>
  <c r="Z51" i="4" s="1"/>
  <c r="AA51" i="4"/>
  <c r="C51" i="4"/>
  <c r="Q51" i="4"/>
  <c r="J51" i="4"/>
  <c r="O51" i="4"/>
  <c r="AH14" i="4" l="1"/>
  <c r="AF15" i="4"/>
  <c r="AI15" i="4" s="1"/>
  <c r="AG15" i="4"/>
  <c r="AB51" i="4"/>
  <c r="AC51" i="4"/>
  <c r="S51" i="4"/>
  <c r="I51" i="4"/>
  <c r="P51" i="4"/>
  <c r="R51" i="4" l="1"/>
  <c r="D52" i="4"/>
  <c r="V52" i="4" s="1"/>
  <c r="W52" i="4" s="1"/>
  <c r="AA52" i="4" l="1"/>
  <c r="X52" i="4"/>
  <c r="Z52" i="4"/>
  <c r="Y52" i="4"/>
  <c r="C52" i="4"/>
  <c r="O52" i="4"/>
  <c r="J52" i="4"/>
  <c r="Q52" i="4"/>
  <c r="AB52" i="4" l="1"/>
  <c r="AC52" i="4"/>
  <c r="S52" i="4"/>
  <c r="I52" i="4"/>
  <c r="P52" i="4"/>
  <c r="D53" i="4" l="1"/>
  <c r="V53" i="4" s="1"/>
  <c r="W53" i="4" s="1"/>
  <c r="R52" i="4"/>
  <c r="Z53" i="4" l="1"/>
  <c r="X53" i="4"/>
  <c r="Y53" i="4"/>
  <c r="AA53" i="4"/>
  <c r="J53" i="4"/>
  <c r="Q53" i="4"/>
  <c r="O53" i="4"/>
  <c r="C53" i="4"/>
  <c r="AB53" i="4" l="1"/>
  <c r="AC53" i="4"/>
  <c r="S53" i="4"/>
  <c r="I53" i="4"/>
  <c r="P53" i="4"/>
  <c r="D54" i="4" l="1"/>
  <c r="V54" i="4" s="1"/>
  <c r="W54" i="4" s="1"/>
  <c r="R53" i="4"/>
  <c r="X54" i="4" l="1"/>
  <c r="Z54" i="4"/>
  <c r="AA54" i="4"/>
  <c r="Y54" i="4"/>
  <c r="J54" i="4"/>
  <c r="Q54" i="4"/>
  <c r="O54" i="4"/>
  <c r="C54" i="4"/>
  <c r="AC54" i="4" l="1"/>
  <c r="AB54" i="4"/>
  <c r="S54" i="4"/>
  <c r="P54" i="4"/>
  <c r="I54" i="4"/>
  <c r="D55" i="4" l="1"/>
  <c r="V55" i="4" s="1"/>
  <c r="W55" i="4" s="1"/>
  <c r="R54" i="4"/>
  <c r="AA55" i="4" l="1"/>
  <c r="Y55" i="4"/>
  <c r="Z55" i="4"/>
  <c r="X55" i="4"/>
  <c r="O55" i="4"/>
  <c r="J55" i="4"/>
  <c r="Q55" i="4"/>
  <c r="C55" i="4"/>
  <c r="AC55" i="4" l="1"/>
  <c r="AB55" i="4"/>
  <c r="I55" i="4"/>
  <c r="P55" i="4"/>
  <c r="S55" i="4"/>
  <c r="R55" i="4" l="1"/>
  <c r="D56" i="4"/>
  <c r="V56" i="4" s="1"/>
  <c r="W56" i="4" s="1"/>
  <c r="AA56" i="4" l="1"/>
  <c r="Y56" i="4"/>
  <c r="Z56" i="4"/>
  <c r="X56" i="4"/>
  <c r="C56" i="4"/>
  <c r="O56" i="4"/>
  <c r="J56" i="4"/>
  <c r="Q56" i="4"/>
  <c r="AC56" i="4" l="1"/>
  <c r="AB56" i="4"/>
  <c r="P56" i="4"/>
  <c r="I56" i="4"/>
  <c r="S56" i="4"/>
  <c r="R56" i="4" l="1"/>
  <c r="D57" i="4"/>
  <c r="V57" i="4" s="1"/>
  <c r="W57" i="4" s="1"/>
  <c r="AA57" i="4" l="1"/>
  <c r="Z57" i="4"/>
  <c r="X57" i="4"/>
  <c r="Y57" i="4"/>
  <c r="C57" i="4"/>
  <c r="O57" i="4"/>
  <c r="Q57" i="4"/>
  <c r="J57" i="4"/>
  <c r="AB57" i="4" l="1"/>
  <c r="AC57" i="4"/>
  <c r="P57" i="4"/>
  <c r="I57" i="4"/>
  <c r="S57" i="4"/>
  <c r="R57" i="4" l="1"/>
  <c r="D58" i="4"/>
  <c r="V58" i="4" s="1"/>
  <c r="W58" i="4" s="1"/>
  <c r="AA58" i="4" l="1"/>
  <c r="Y58" i="4"/>
  <c r="X58" i="4"/>
  <c r="Z58" i="4"/>
  <c r="C58" i="4"/>
  <c r="O58" i="4"/>
  <c r="Q58" i="4"/>
  <c r="J58" i="4"/>
  <c r="AB58" i="4" l="1"/>
  <c r="AC58" i="4"/>
  <c r="S58" i="4"/>
  <c r="I58" i="4"/>
  <c r="P58" i="4"/>
  <c r="R58" i="4" l="1"/>
  <c r="D59" i="4"/>
  <c r="V59" i="4" s="1"/>
  <c r="W59" i="4" s="1"/>
  <c r="AA59" i="4" l="1"/>
  <c r="X59" i="4"/>
  <c r="Z59" i="4"/>
  <c r="Y59" i="4"/>
  <c r="C59" i="4"/>
  <c r="O59" i="4"/>
  <c r="Q59" i="4"/>
  <c r="J59" i="4"/>
  <c r="AC59" i="4" l="1"/>
  <c r="AB59" i="4"/>
  <c r="I59" i="4"/>
  <c r="P59" i="4"/>
  <c r="S59" i="4"/>
  <c r="R59" i="4" l="1"/>
  <c r="D60" i="4"/>
  <c r="V60" i="4" s="1"/>
  <c r="W60" i="4" s="1"/>
  <c r="Y60" i="4" l="1"/>
  <c r="AA60" i="4"/>
  <c r="X60" i="4"/>
  <c r="Z60" i="4"/>
  <c r="C60" i="4"/>
  <c r="O60" i="4"/>
  <c r="Q60" i="4"/>
  <c r="J60" i="4"/>
  <c r="AC60" i="4" l="1"/>
  <c r="AB60" i="4"/>
  <c r="S60" i="4"/>
  <c r="I60" i="4"/>
  <c r="P60" i="4"/>
  <c r="R60" i="4" l="1"/>
  <c r="D61" i="4"/>
  <c r="V61" i="4" s="1"/>
  <c r="W61" i="4" s="1"/>
  <c r="AA61" i="4" l="1"/>
  <c r="X61" i="4"/>
  <c r="Z61" i="4" s="1"/>
  <c r="Y61" i="4"/>
  <c r="C61" i="4"/>
  <c r="O61" i="4"/>
  <c r="Q61" i="4"/>
  <c r="J61" i="4"/>
  <c r="AC61" i="4" l="1"/>
  <c r="AB61" i="4"/>
  <c r="S61" i="4"/>
  <c r="I61" i="4"/>
  <c r="P61" i="4"/>
  <c r="R61" i="4" l="1"/>
  <c r="D62" i="4"/>
  <c r="V62" i="4" s="1"/>
  <c r="W62" i="4" s="1"/>
  <c r="X62" i="4" l="1"/>
  <c r="Z62" i="4"/>
  <c r="AA62" i="4"/>
  <c r="Y62" i="4"/>
  <c r="C62" i="4"/>
  <c r="O62" i="4"/>
  <c r="Q62" i="4"/>
  <c r="J62" i="4"/>
  <c r="AB62" i="4" l="1"/>
  <c r="AC62" i="4"/>
  <c r="S62" i="4"/>
  <c r="P62" i="4"/>
  <c r="I62" i="4"/>
  <c r="R62" i="4" l="1"/>
  <c r="D63" i="4"/>
  <c r="V63" i="4" s="1"/>
  <c r="W63" i="4" s="1"/>
  <c r="Z63" i="4" l="1"/>
  <c r="Y63" i="4"/>
  <c r="X63" i="4"/>
  <c r="AA63" i="4"/>
  <c r="C63" i="4"/>
  <c r="Q63" i="4"/>
  <c r="O63" i="4"/>
  <c r="J63" i="4"/>
  <c r="AB63" i="4" l="1"/>
  <c r="AC63" i="4"/>
  <c r="I63" i="4"/>
  <c r="P63" i="4"/>
  <c r="S63" i="4"/>
  <c r="R63" i="4" l="1"/>
  <c r="D64" i="4"/>
  <c r="V64" i="4" s="1"/>
  <c r="W64" i="4" s="1"/>
  <c r="AA64" i="4" l="1"/>
  <c r="Z64" i="4"/>
  <c r="X64" i="4"/>
  <c r="Y64" i="4"/>
  <c r="C64" i="4"/>
  <c r="Q64" i="4"/>
  <c r="J64" i="4"/>
  <c r="O64" i="4"/>
  <c r="AC64" i="4" l="1"/>
  <c r="AB64" i="4"/>
  <c r="S64" i="4"/>
  <c r="I64" i="4"/>
  <c r="P64" i="4"/>
  <c r="R64" i="4" l="1"/>
  <c r="D65" i="4"/>
  <c r="V65" i="4" s="1"/>
  <c r="W65" i="4" s="1"/>
  <c r="AA65" i="4" l="1"/>
  <c r="Y65" i="4"/>
  <c r="X65" i="4"/>
  <c r="Z65" i="4" s="1"/>
  <c r="C65" i="4"/>
  <c r="O65" i="4"/>
  <c r="Q65" i="4"/>
  <c r="J65" i="4"/>
  <c r="AB65" i="4" l="1"/>
  <c r="AC65" i="4"/>
  <c r="S65" i="4"/>
  <c r="I65" i="4"/>
  <c r="P65" i="4"/>
  <c r="R65" i="4" l="1"/>
  <c r="D66" i="4"/>
  <c r="V66" i="4" s="1"/>
  <c r="W66" i="4" s="1"/>
  <c r="Z66" i="4" l="1"/>
  <c r="AA66" i="4"/>
  <c r="Y66" i="4"/>
  <c r="X66" i="4"/>
  <c r="C66" i="4"/>
  <c r="O66" i="4"/>
  <c r="J66" i="4"/>
  <c r="Q66" i="4"/>
  <c r="AC66" i="4" l="1"/>
  <c r="AB66" i="4"/>
  <c r="S66" i="4"/>
  <c r="I66" i="4"/>
  <c r="P66" i="4"/>
  <c r="D67" i="4" l="1"/>
  <c r="V67" i="4" s="1"/>
  <c r="W67" i="4" s="1"/>
  <c r="R66" i="4"/>
  <c r="Y67" i="4" l="1"/>
  <c r="AA67" i="4"/>
  <c r="Z67" i="4"/>
  <c r="X67" i="4"/>
  <c r="O67" i="4"/>
  <c r="J67" i="4"/>
  <c r="Q67" i="4"/>
  <c r="C67" i="4"/>
  <c r="AC67" i="4" l="1"/>
  <c r="AB67" i="4"/>
  <c r="S67" i="4"/>
  <c r="I67" i="4"/>
  <c r="P67" i="4"/>
  <c r="D68" i="4" l="1"/>
  <c r="V68" i="4" s="1"/>
  <c r="W68" i="4" s="1"/>
  <c r="R67" i="4"/>
  <c r="Y68" i="4" l="1"/>
  <c r="Z68" i="4"/>
  <c r="X68" i="4"/>
  <c r="AA68" i="4"/>
  <c r="O68" i="4"/>
  <c r="Q68" i="4"/>
  <c r="J68" i="4"/>
  <c r="C68" i="4"/>
  <c r="AB68" i="4" l="1"/>
  <c r="AC68" i="4"/>
  <c r="S68" i="4"/>
  <c r="I68" i="4"/>
  <c r="P68" i="4"/>
  <c r="R68" i="4" l="1"/>
  <c r="D69" i="4"/>
  <c r="V69" i="4" s="1"/>
  <c r="W69" i="4" s="1"/>
  <c r="X69" i="4" l="1"/>
  <c r="Z69" i="4"/>
  <c r="Y69" i="4"/>
  <c r="AA69" i="4"/>
  <c r="C69" i="4"/>
  <c r="O69" i="4"/>
  <c r="Q69" i="4"/>
  <c r="J69" i="4"/>
  <c r="AB69" i="4" l="1"/>
  <c r="AC69" i="4"/>
  <c r="I69" i="4"/>
  <c r="P69" i="4"/>
  <c r="S69" i="4"/>
  <c r="D70" i="4" l="1"/>
  <c r="V70" i="4" s="1"/>
  <c r="W70" i="4" s="1"/>
  <c r="R69" i="4"/>
  <c r="Y70" i="4" l="1"/>
  <c r="X70" i="4"/>
  <c r="Z70" i="4"/>
  <c r="AA70" i="4"/>
  <c r="Q70" i="4"/>
  <c r="O70" i="4"/>
  <c r="J70" i="4"/>
  <c r="C70" i="4"/>
  <c r="AC70" i="4" l="1"/>
  <c r="AB70" i="4"/>
  <c r="S70" i="4"/>
  <c r="I70" i="4"/>
  <c r="P70" i="4"/>
  <c r="R70" i="4" l="1"/>
  <c r="D71" i="4"/>
  <c r="V71" i="4" s="1"/>
  <c r="W71" i="4" s="1"/>
  <c r="Y71" i="4" l="1"/>
  <c r="AA71" i="4"/>
  <c r="Z71" i="4"/>
  <c r="X71" i="4"/>
  <c r="C71" i="4"/>
  <c r="O71" i="4"/>
  <c r="J71" i="4"/>
  <c r="Q71" i="4"/>
  <c r="AB71" i="4" l="1"/>
  <c r="AC71" i="4"/>
  <c r="S71" i="4"/>
  <c r="P71" i="4"/>
  <c r="I71" i="4"/>
  <c r="R71" i="4" l="1"/>
  <c r="D72" i="4"/>
  <c r="V72" i="4" s="1"/>
  <c r="W72" i="4" s="1"/>
  <c r="Z72" i="4" l="1"/>
  <c r="X72" i="4"/>
  <c r="AA72" i="4"/>
  <c r="Y72" i="4"/>
  <c r="C72" i="4"/>
  <c r="O72" i="4"/>
  <c r="Q72" i="4"/>
  <c r="J72" i="4"/>
  <c r="AC72" i="4" l="1"/>
  <c r="AB72" i="4"/>
  <c r="I72" i="4"/>
  <c r="P72" i="4"/>
  <c r="S72" i="4"/>
  <c r="R72" i="4" l="1"/>
  <c r="D73" i="4"/>
  <c r="V73" i="4" s="1"/>
  <c r="W73" i="4" s="1"/>
  <c r="X73" i="4" l="1"/>
  <c r="Z73" i="4" s="1"/>
  <c r="AA73" i="4"/>
  <c r="Y73" i="4"/>
  <c r="C73" i="4"/>
  <c r="J73" i="4"/>
  <c r="O73" i="4"/>
  <c r="Q73" i="4"/>
  <c r="AB73" i="4" l="1"/>
  <c r="AC73" i="4"/>
  <c r="P73" i="4"/>
  <c r="I73" i="4"/>
  <c r="S73" i="4"/>
  <c r="R73" i="4" l="1"/>
  <c r="D74" i="4"/>
  <c r="V74" i="4" s="1"/>
  <c r="W74" i="4" s="1"/>
  <c r="Y74" i="4" l="1"/>
  <c r="AA74" i="4"/>
  <c r="Z74" i="4"/>
  <c r="X74" i="4"/>
  <c r="C74" i="4"/>
  <c r="J74" i="4"/>
  <c r="Q74" i="4"/>
  <c r="O74" i="4"/>
  <c r="AC74" i="4" l="1"/>
  <c r="AB74" i="4"/>
  <c r="S74" i="4"/>
  <c r="D75" i="4" l="1"/>
  <c r="V75" i="4" s="1"/>
  <c r="W75" i="4" s="1"/>
  <c r="X75" i="4" l="1"/>
  <c r="Y75" i="4"/>
  <c r="Z75" i="4"/>
  <c r="AA75" i="4"/>
  <c r="C75" i="4"/>
  <c r="J75" i="4"/>
  <c r="Q75" i="4"/>
  <c r="O75" i="4"/>
  <c r="AB75" i="4" l="1"/>
  <c r="AC75" i="4"/>
  <c r="S75" i="4"/>
  <c r="D76" i="4" l="1"/>
  <c r="V76" i="4" s="1"/>
  <c r="W76" i="4" s="1"/>
  <c r="Y76" i="4" l="1"/>
  <c r="Z76" i="4"/>
  <c r="X76" i="4"/>
  <c r="AA76" i="4"/>
  <c r="C76" i="4"/>
  <c r="AC76" i="4" l="1"/>
  <c r="AB76" i="4"/>
  <c r="D77" i="4" l="1"/>
  <c r="V77" i="4" s="1"/>
  <c r="W77" i="4" s="1"/>
  <c r="X77" i="4" l="1"/>
  <c r="Z77" i="4"/>
  <c r="Y77" i="4"/>
  <c r="AA77" i="4"/>
  <c r="C77" i="4"/>
  <c r="AB77" i="4" l="1"/>
  <c r="AC77" i="4"/>
  <c r="D78" i="4" l="1"/>
  <c r="V78" i="4" s="1"/>
  <c r="W78" i="4" s="1"/>
  <c r="Y78" i="4" l="1"/>
  <c r="AA78" i="4"/>
  <c r="X78" i="4"/>
  <c r="Z78" i="4" s="1"/>
  <c r="C78" i="4"/>
  <c r="AB78" i="4" l="1"/>
  <c r="AC78" i="4"/>
  <c r="D79" i="4" l="1"/>
  <c r="V79" i="4" s="1"/>
  <c r="W79" i="4" s="1"/>
  <c r="AA79" i="4" l="1"/>
  <c r="X79" i="4"/>
  <c r="Z79" i="4" s="1"/>
  <c r="Y79" i="4"/>
  <c r="C79" i="4"/>
  <c r="AB79" i="4" l="1"/>
  <c r="AC79" i="4"/>
  <c r="D80" i="4" l="1"/>
  <c r="V80" i="4" s="1"/>
  <c r="W80" i="4" s="1"/>
  <c r="Y80" i="4" l="1"/>
  <c r="AA80" i="4"/>
  <c r="X80" i="4"/>
  <c r="Z80" i="4"/>
  <c r="C80" i="4"/>
  <c r="AC80" i="4" l="1"/>
  <c r="AB80" i="4"/>
  <c r="D81" i="4" l="1"/>
  <c r="V81" i="4" s="1"/>
  <c r="W81" i="4" s="1"/>
  <c r="Y81" i="4" l="1"/>
  <c r="AA81" i="4"/>
  <c r="X81" i="4"/>
  <c r="Z81" i="4"/>
  <c r="C81" i="4"/>
  <c r="AB81" i="4" l="1"/>
  <c r="AC81" i="4"/>
  <c r="C82" i="4" l="1"/>
  <c r="C83" i="4" l="1"/>
  <c r="C84" i="4" l="1"/>
  <c r="C85" i="4" l="1"/>
  <c r="C86" i="4" l="1"/>
  <c r="C87" i="4" l="1"/>
  <c r="C88" i="4" l="1"/>
  <c r="P74" i="4" l="1"/>
  <c r="I74" i="4"/>
  <c r="R74" i="4" l="1"/>
  <c r="P75" i="4" l="1"/>
  <c r="I75" i="4"/>
  <c r="R75" i="4" l="1"/>
  <c r="J76" i="4" l="1"/>
  <c r="O76" i="4"/>
  <c r="Q76" i="4"/>
  <c r="P76" i="4" l="1"/>
  <c r="I76" i="4"/>
  <c r="S76" i="4"/>
  <c r="R76" i="4" l="1"/>
  <c r="Q77" i="4" l="1"/>
  <c r="O77" i="4"/>
  <c r="J77" i="4"/>
  <c r="P77" i="4" l="1"/>
  <c r="I77" i="4"/>
  <c r="S77" i="4"/>
  <c r="R77" i="4" l="1"/>
  <c r="J78" i="4" l="1"/>
  <c r="O78" i="4"/>
  <c r="Q78" i="4"/>
  <c r="S78" i="4" l="1"/>
  <c r="I78" i="4"/>
  <c r="P78" i="4"/>
  <c r="R78" i="4" l="1"/>
  <c r="J79" i="4" l="1"/>
  <c r="Q79" i="4"/>
  <c r="O79" i="4"/>
  <c r="S79" i="4" l="1"/>
  <c r="I79" i="4"/>
  <c r="P79" i="4"/>
  <c r="R79" i="4" l="1"/>
  <c r="J80" i="4" l="1"/>
  <c r="O80" i="4"/>
  <c r="Q80" i="4"/>
  <c r="S80" i="4" l="1"/>
  <c r="P80" i="4"/>
  <c r="I80" i="4"/>
  <c r="R80" i="4" l="1"/>
  <c r="J81" i="4" l="1"/>
  <c r="Q81" i="4"/>
  <c r="O81" i="4"/>
  <c r="S81" i="4" l="1"/>
  <c r="P81" i="4"/>
  <c r="I81" i="4"/>
  <c r="D82" i="4" l="1"/>
  <c r="V82" i="4" s="1"/>
  <c r="W82" i="4" s="1"/>
  <c r="R81" i="4"/>
  <c r="X82" i="4" l="1"/>
  <c r="Z82" i="4"/>
  <c r="Y82" i="4"/>
  <c r="AA82" i="4"/>
  <c r="J82" i="4"/>
  <c r="Q82" i="4"/>
  <c r="O82" i="4"/>
  <c r="AC82" i="4" l="1"/>
  <c r="AB82" i="4"/>
  <c r="S82" i="4"/>
  <c r="P82" i="4"/>
  <c r="I82" i="4"/>
  <c r="R82" i="4" l="1"/>
  <c r="D83" i="4"/>
  <c r="V83" i="4" s="1"/>
  <c r="W83" i="4" s="1"/>
  <c r="AA83" i="4" l="1"/>
  <c r="Z83" i="4"/>
  <c r="X83" i="4"/>
  <c r="Y83" i="4"/>
  <c r="O83" i="4"/>
  <c r="J83" i="4"/>
  <c r="Q83" i="4"/>
  <c r="AC83" i="4" l="1"/>
  <c r="AB83" i="4"/>
  <c r="P83" i="4"/>
  <c r="I83" i="4"/>
  <c r="S83" i="4"/>
  <c r="R83" i="4" l="1"/>
  <c r="D84" i="4"/>
  <c r="V84" i="4" s="1"/>
  <c r="W84" i="4" s="1"/>
  <c r="Z84" i="4" l="1"/>
  <c r="Y84" i="4"/>
  <c r="AA84" i="4"/>
  <c r="X84" i="4"/>
  <c r="O84" i="4"/>
  <c r="J84" i="4"/>
  <c r="Q84" i="4"/>
  <c r="AC84" i="4" l="1"/>
  <c r="AB84" i="4"/>
  <c r="S84" i="4"/>
  <c r="P84" i="4"/>
  <c r="I84" i="4"/>
  <c r="R84" i="4" l="1"/>
  <c r="D85" i="4"/>
  <c r="V85" i="4" s="1"/>
  <c r="W85" i="4" s="1"/>
  <c r="AA85" i="4" l="1"/>
  <c r="Z85" i="4"/>
  <c r="X85" i="4"/>
  <c r="Y85" i="4"/>
  <c r="J85" i="4"/>
  <c r="Q85" i="4"/>
  <c r="O85" i="4"/>
  <c r="AB85" i="4" l="1"/>
  <c r="AC85" i="4"/>
  <c r="S85" i="4"/>
  <c r="P85" i="4"/>
  <c r="I85" i="4"/>
  <c r="R85" i="4" l="1"/>
  <c r="D86" i="4"/>
  <c r="V86" i="4" s="1"/>
  <c r="W86" i="4" s="1"/>
  <c r="Y86" i="4" l="1"/>
  <c r="X86" i="4"/>
  <c r="Z86" i="4"/>
  <c r="AA86" i="4"/>
  <c r="J86" i="4"/>
  <c r="Q86" i="4"/>
  <c r="O86" i="4"/>
  <c r="AC86" i="4" l="1"/>
  <c r="AB86" i="4"/>
  <c r="S86" i="4"/>
  <c r="P86" i="4"/>
  <c r="I86" i="4"/>
  <c r="R86" i="4" l="1"/>
  <c r="D87" i="4"/>
  <c r="V87" i="4" s="1"/>
  <c r="W87" i="4" s="1"/>
  <c r="AA87" i="4" l="1"/>
  <c r="X87" i="4"/>
  <c r="Z87" i="4" s="1"/>
  <c r="Y87" i="4"/>
  <c r="Q87" i="4"/>
  <c r="J87" i="4"/>
  <c r="O87" i="4"/>
  <c r="AB87" i="4" l="1"/>
  <c r="AC87" i="4"/>
  <c r="S87" i="4"/>
  <c r="P87" i="4"/>
  <c r="I87" i="4"/>
  <c r="R87" i="4" l="1"/>
  <c r="D88" i="4"/>
  <c r="V88" i="4" s="1"/>
  <c r="W88" i="4" s="1"/>
  <c r="AA88" i="4" l="1"/>
  <c r="Z88" i="4"/>
  <c r="Y88" i="4"/>
  <c r="X88" i="4"/>
  <c r="J88" i="4"/>
  <c r="Q88" i="4"/>
  <c r="O88" i="4"/>
  <c r="AB88" i="4" l="1"/>
  <c r="AC88" i="4"/>
  <c r="S88" i="4"/>
  <c r="P88" i="4"/>
  <c r="I88" i="4"/>
  <c r="R88" i="4" l="1"/>
  <c r="D89" i="4"/>
  <c r="V89" i="4" s="1"/>
  <c r="W89" i="4" s="1"/>
  <c r="Z89" i="4" l="1"/>
  <c r="X89" i="4"/>
  <c r="AA89" i="4"/>
  <c r="Y89" i="4"/>
  <c r="C89" i="4"/>
  <c r="J89" i="4"/>
  <c r="Q89" i="4"/>
  <c r="O89" i="4"/>
  <c r="AC89" i="4" l="1"/>
  <c r="AB89" i="4"/>
  <c r="S89" i="4"/>
  <c r="P89" i="4"/>
  <c r="I89" i="4"/>
  <c r="R89" i="4" l="1"/>
  <c r="D90" i="4"/>
  <c r="V90" i="4" s="1"/>
  <c r="W90" i="4" s="1"/>
  <c r="Z90" i="4" l="1"/>
  <c r="X90" i="4"/>
  <c r="Y90" i="4"/>
  <c r="AA90" i="4"/>
  <c r="C90" i="4"/>
  <c r="J90" i="4"/>
  <c r="Q90" i="4"/>
  <c r="O90" i="4"/>
  <c r="AB90" i="4" l="1"/>
  <c r="AC90" i="4"/>
  <c r="S90" i="4"/>
  <c r="I90" i="4"/>
  <c r="P90" i="4"/>
  <c r="R90" i="4" l="1"/>
  <c r="D91" i="4"/>
  <c r="V91" i="4" s="1"/>
  <c r="W91" i="4" s="1"/>
  <c r="AA91" i="4" l="1"/>
  <c r="Z91" i="4"/>
  <c r="X91" i="4"/>
  <c r="Y91" i="4"/>
  <c r="C91" i="4"/>
  <c r="J91" i="4"/>
  <c r="O91" i="4"/>
  <c r="Q91" i="4"/>
  <c r="AB91" i="4" l="1"/>
  <c r="AC91" i="4"/>
  <c r="S91" i="4"/>
  <c r="P91" i="4"/>
  <c r="I91" i="4"/>
  <c r="R91" i="4" l="1"/>
  <c r="D92" i="4"/>
  <c r="V92" i="4" s="1"/>
  <c r="W92" i="4" s="1"/>
  <c r="AA92" i="4" l="1"/>
  <c r="Z92" i="4"/>
  <c r="X92" i="4"/>
  <c r="Y92" i="4"/>
  <c r="C92" i="4"/>
  <c r="O92" i="4"/>
  <c r="Q92" i="4"/>
  <c r="J92" i="4"/>
  <c r="AC92" i="4" l="1"/>
  <c r="AB92" i="4"/>
  <c r="I92" i="4"/>
  <c r="P92" i="4"/>
  <c r="S92" i="4"/>
  <c r="R92" i="4" l="1"/>
  <c r="D93" i="4"/>
  <c r="V93" i="4" s="1"/>
  <c r="W93" i="4" s="1"/>
  <c r="AA93" i="4" l="1"/>
  <c r="Z93" i="4"/>
  <c r="X93" i="4"/>
  <c r="Y93" i="4"/>
  <c r="C93" i="4"/>
  <c r="J93" i="4"/>
  <c r="Q93" i="4"/>
  <c r="O93" i="4"/>
  <c r="AC93" i="4" l="1"/>
  <c r="AB93" i="4"/>
  <c r="S93" i="4"/>
  <c r="P93" i="4"/>
  <c r="I93" i="4"/>
  <c r="R93" i="4" l="1"/>
  <c r="D94" i="4"/>
  <c r="V94" i="4" s="1"/>
  <c r="W94" i="4" s="1"/>
  <c r="Y94" i="4" l="1"/>
  <c r="Z94" i="4"/>
  <c r="X94" i="4"/>
  <c r="AA94" i="4"/>
  <c r="C94" i="4"/>
  <c r="J94" i="4"/>
  <c r="Q94" i="4"/>
  <c r="O94" i="4"/>
  <c r="AC94" i="4" l="1"/>
  <c r="AB94" i="4"/>
  <c r="S94" i="4"/>
  <c r="P94" i="4"/>
  <c r="I94" i="4"/>
  <c r="R94" i="4" l="1"/>
  <c r="D95" i="4"/>
  <c r="V95" i="4" s="1"/>
  <c r="W95" i="4" s="1"/>
  <c r="X95" i="4" l="1"/>
  <c r="AA95" i="4"/>
  <c r="Z95" i="4"/>
  <c r="Y95" i="4"/>
  <c r="C95" i="4"/>
  <c r="Q95" i="4"/>
  <c r="O95" i="4"/>
  <c r="J95" i="4"/>
  <c r="AB95" i="4" l="1"/>
  <c r="AC95" i="4"/>
  <c r="S95" i="4"/>
  <c r="P95" i="4"/>
  <c r="I95" i="4"/>
  <c r="R95" i="4" l="1"/>
  <c r="D96" i="4"/>
  <c r="V96" i="4" s="1"/>
  <c r="W96" i="4" s="1"/>
  <c r="Z96" i="4" l="1"/>
  <c r="X96" i="4"/>
  <c r="Y96" i="4"/>
  <c r="AA96" i="4"/>
  <c r="C96" i="4"/>
  <c r="O96" i="4"/>
  <c r="Q96" i="4"/>
  <c r="J96" i="4"/>
  <c r="AC96" i="4" l="1"/>
  <c r="AB96" i="4"/>
  <c r="S96" i="4"/>
  <c r="P96" i="4"/>
  <c r="I96" i="4"/>
  <c r="D97" i="4" l="1"/>
  <c r="V97" i="4" s="1"/>
  <c r="W97" i="4" s="1"/>
  <c r="R96" i="4"/>
  <c r="X97" i="4" l="1"/>
  <c r="Y97" i="4"/>
  <c r="AA97" i="4"/>
  <c r="Z97" i="4"/>
  <c r="J97" i="4"/>
  <c r="Q97" i="4"/>
  <c r="O97" i="4"/>
  <c r="C97" i="4"/>
  <c r="AC97" i="4" l="1"/>
  <c r="AB97" i="4"/>
  <c r="S97" i="4"/>
  <c r="I97" i="4"/>
  <c r="P97" i="4"/>
  <c r="R97" i="4" l="1"/>
  <c r="D98" i="4"/>
  <c r="V98" i="4" s="1"/>
  <c r="W98" i="4" s="1"/>
  <c r="AA98" i="4" l="1"/>
  <c r="X98" i="4"/>
  <c r="Z98" i="4"/>
  <c r="Y98" i="4"/>
  <c r="C98" i="4"/>
  <c r="O98" i="4"/>
  <c r="J98" i="4"/>
  <c r="Q98" i="4"/>
  <c r="AC98" i="4" l="1"/>
  <c r="AB98" i="4"/>
  <c r="P98" i="4"/>
  <c r="I98" i="4"/>
  <c r="S98" i="4"/>
  <c r="D99" i="4" l="1"/>
  <c r="V99" i="4" s="1"/>
  <c r="W99" i="4" s="1"/>
  <c r="R98" i="4"/>
  <c r="X99" i="4" l="1"/>
  <c r="Z99" i="4"/>
  <c r="AA99" i="4"/>
  <c r="Y99" i="4"/>
  <c r="J99" i="4"/>
  <c r="Q99" i="4"/>
  <c r="O99" i="4"/>
  <c r="C99" i="4"/>
  <c r="AC99" i="4" l="1"/>
  <c r="AB99" i="4"/>
  <c r="S99" i="4"/>
  <c r="I99" i="4"/>
  <c r="P99" i="4"/>
  <c r="R99" i="4" l="1"/>
  <c r="D100" i="4"/>
  <c r="V100" i="4" s="1"/>
  <c r="W100" i="4" s="1"/>
  <c r="Z100" i="4" l="1"/>
  <c r="X100" i="4"/>
  <c r="Y100" i="4"/>
  <c r="AA100" i="4"/>
  <c r="C100" i="4"/>
  <c r="Q100" i="4"/>
  <c r="O100" i="4"/>
  <c r="J100" i="4"/>
  <c r="AB100" i="4" l="1"/>
  <c r="AC100" i="4"/>
  <c r="P100" i="4"/>
  <c r="I100" i="4"/>
  <c r="S100" i="4"/>
  <c r="R100" i="4" l="1"/>
  <c r="D101" i="4"/>
  <c r="V101" i="4" s="1"/>
  <c r="W101" i="4" s="1"/>
  <c r="Y101" i="4" l="1"/>
  <c r="AA101" i="4"/>
  <c r="X101" i="4"/>
  <c r="Z101" i="4" s="1"/>
  <c r="C101" i="4"/>
  <c r="O101" i="4"/>
  <c r="J101" i="4"/>
  <c r="Q101" i="4"/>
  <c r="AC101" i="4" l="1"/>
  <c r="AB101" i="4"/>
  <c r="S101" i="4"/>
  <c r="P101" i="4"/>
  <c r="I101" i="4"/>
  <c r="D102" i="4" l="1"/>
  <c r="V102" i="4" s="1"/>
  <c r="W102" i="4" s="1"/>
  <c r="R101" i="4"/>
  <c r="Y102" i="4" l="1"/>
  <c r="AA102" i="4"/>
  <c r="Z102" i="4"/>
  <c r="X102" i="4"/>
  <c r="Q102" i="4"/>
  <c r="O102" i="4"/>
  <c r="J102" i="4"/>
  <c r="C102" i="4"/>
  <c r="AC102" i="4" l="1"/>
  <c r="AB102" i="4"/>
  <c r="P102" i="4"/>
  <c r="I102" i="4"/>
  <c r="S102" i="4"/>
  <c r="R102" i="4" l="1"/>
  <c r="D103" i="4"/>
  <c r="V103" i="4" s="1"/>
  <c r="W103" i="4" s="1"/>
  <c r="Y103" i="4" l="1"/>
  <c r="Z103" i="4"/>
  <c r="AA103" i="4"/>
  <c r="X103" i="4"/>
  <c r="C103" i="4"/>
  <c r="J103" i="4"/>
  <c r="Q103" i="4"/>
  <c r="O103" i="4"/>
  <c r="AB103" i="4" l="1"/>
  <c r="AC103" i="4"/>
  <c r="S103" i="4"/>
  <c r="I103" i="4"/>
  <c r="P103" i="4"/>
  <c r="R103" i="4" l="1"/>
  <c r="D104" i="4"/>
  <c r="V104" i="4" s="1"/>
  <c r="W104" i="4" s="1"/>
  <c r="AA104" i="4" l="1"/>
  <c r="X104" i="4"/>
  <c r="Z104" i="4" s="1"/>
  <c r="Y104" i="4"/>
  <c r="C104" i="4"/>
  <c r="O104" i="4"/>
  <c r="J104" i="4"/>
  <c r="Q104" i="4"/>
  <c r="AB104" i="4" l="1"/>
  <c r="AC104" i="4"/>
  <c r="S104" i="4"/>
  <c r="P104" i="4"/>
  <c r="I104" i="4"/>
  <c r="D105" i="4" l="1"/>
  <c r="V105" i="4" s="1"/>
  <c r="W105" i="4" s="1"/>
  <c r="R104" i="4"/>
  <c r="Y105" i="4" l="1"/>
  <c r="AA105" i="4"/>
  <c r="Z105" i="4"/>
  <c r="X105" i="4"/>
  <c r="Q105" i="4"/>
  <c r="J105" i="4"/>
  <c r="O105" i="4"/>
  <c r="C105" i="4"/>
  <c r="AB105" i="4" l="1"/>
  <c r="AC105" i="4"/>
  <c r="S105" i="4"/>
  <c r="I105" i="4"/>
  <c r="P105" i="4"/>
  <c r="R105" i="4" l="1"/>
  <c r="D106" i="4"/>
  <c r="V106" i="4" s="1"/>
  <c r="W106" i="4" s="1"/>
  <c r="X106" i="4" l="1"/>
  <c r="AA106" i="4"/>
  <c r="Z106" i="4"/>
  <c r="Y106" i="4"/>
  <c r="C106" i="4"/>
  <c r="J106" i="4"/>
  <c r="O106" i="4"/>
  <c r="Q106" i="4"/>
  <c r="AB106" i="4" l="1"/>
  <c r="AC106" i="4"/>
  <c r="S106" i="4"/>
  <c r="P106" i="4"/>
  <c r="I106" i="4"/>
  <c r="D107" i="4" l="1"/>
  <c r="V107" i="4" s="1"/>
  <c r="W107" i="4" s="1"/>
  <c r="R106" i="4"/>
  <c r="X107" i="4" l="1"/>
  <c r="AA107" i="4"/>
  <c r="Z107" i="4"/>
  <c r="Y107" i="4"/>
  <c r="Q107" i="4"/>
  <c r="J107" i="4"/>
  <c r="O107" i="4"/>
  <c r="C107" i="4"/>
  <c r="AB107" i="4" l="1"/>
  <c r="AC107" i="4"/>
  <c r="S107" i="4"/>
  <c r="P107" i="4"/>
  <c r="I107" i="4"/>
  <c r="R107" i="4" l="1"/>
  <c r="D108" i="4"/>
  <c r="V108" i="4" s="1"/>
  <c r="W108" i="4" s="1"/>
  <c r="Z108" i="4" l="1"/>
  <c r="Y108" i="4"/>
  <c r="X108" i="4"/>
  <c r="AA108" i="4"/>
  <c r="C108" i="4"/>
  <c r="O108" i="4"/>
  <c r="J108" i="4"/>
  <c r="Q108" i="4"/>
  <c r="AB108" i="4" l="1"/>
  <c r="AC108" i="4"/>
  <c r="S108" i="4"/>
  <c r="I108" i="4"/>
  <c r="P108" i="4"/>
  <c r="R108" i="4" l="1"/>
  <c r="D109" i="4"/>
  <c r="V109" i="4" s="1"/>
  <c r="W109" i="4" s="1"/>
  <c r="Y109" i="4" l="1"/>
  <c r="Z109" i="4"/>
  <c r="X109" i="4"/>
  <c r="AA109" i="4"/>
  <c r="C109" i="4"/>
  <c r="J109" i="4"/>
  <c r="Q109" i="4"/>
  <c r="O109" i="4"/>
  <c r="AB109" i="4" l="1"/>
  <c r="AC109" i="4"/>
  <c r="S109" i="4"/>
  <c r="P109" i="4"/>
  <c r="I109" i="4"/>
  <c r="R109" i="4" l="1"/>
  <c r="C110" i="4" l="1"/>
  <c r="D110" i="4" l="1"/>
  <c r="V110" i="4" s="1"/>
  <c r="W110" i="4" s="1"/>
  <c r="P110" i="4"/>
  <c r="I110" i="4"/>
  <c r="AA110" i="4" l="1"/>
  <c r="X110" i="4"/>
  <c r="Z110" i="4" s="1"/>
  <c r="Y110" i="4"/>
  <c r="Q110" i="4"/>
  <c r="O110" i="4"/>
  <c r="J110" i="4"/>
  <c r="R110" i="4"/>
  <c r="AB110" i="4" l="1"/>
  <c r="AC110" i="4"/>
  <c r="S110" i="4"/>
  <c r="C111" i="4"/>
  <c r="I111" i="4" l="1"/>
  <c r="P111" i="4"/>
  <c r="D111" i="4"/>
  <c r="V111" i="4" s="1"/>
  <c r="W111" i="4" s="1"/>
  <c r="Y111" i="4" l="1"/>
  <c r="AA111" i="4"/>
  <c r="Z111" i="4"/>
  <c r="X111" i="4"/>
  <c r="R111" i="4"/>
  <c r="O111" i="4"/>
  <c r="J111" i="4"/>
  <c r="Q111" i="4"/>
  <c r="AC111" i="4" l="1"/>
  <c r="AB111" i="4"/>
  <c r="C112" i="4"/>
  <c r="S111" i="4"/>
  <c r="P112" i="4" l="1"/>
  <c r="I112" i="4"/>
  <c r="D112" i="4"/>
  <c r="V112" i="4" s="1"/>
  <c r="W112" i="4" s="1"/>
  <c r="Y112" i="4" l="1"/>
  <c r="Z112" i="4"/>
  <c r="AA112" i="4"/>
  <c r="X112" i="4"/>
  <c r="R112" i="4"/>
  <c r="J112" i="4"/>
  <c r="Q112" i="4"/>
  <c r="O112" i="4"/>
  <c r="AB112" i="4" l="1"/>
  <c r="AC112" i="4"/>
  <c r="S112" i="4"/>
  <c r="C113" i="4"/>
  <c r="P113" i="4" l="1"/>
  <c r="I113" i="4"/>
  <c r="D113" i="4"/>
  <c r="V113" i="4" s="1"/>
  <c r="W113" i="4" s="1"/>
  <c r="X113" i="4" l="1"/>
  <c r="AA113" i="4"/>
  <c r="Z113" i="4"/>
  <c r="Y113" i="4"/>
  <c r="R113" i="4"/>
  <c r="Q113" i="4"/>
  <c r="J113" i="4"/>
  <c r="O113" i="4"/>
  <c r="AC113" i="4" l="1"/>
  <c r="AB113" i="4"/>
  <c r="S113" i="4"/>
  <c r="C114" i="4"/>
  <c r="P114" i="4" l="1"/>
  <c r="I114" i="4"/>
  <c r="D114" i="4"/>
  <c r="V114" i="4" s="1"/>
  <c r="W114" i="4" s="1"/>
  <c r="Y114" i="4" l="1"/>
  <c r="X114" i="4"/>
  <c r="Z114" i="4"/>
  <c r="AA114" i="4"/>
  <c r="R114" i="4"/>
  <c r="J114" i="4"/>
  <c r="Q114" i="4"/>
  <c r="O114" i="4"/>
  <c r="AC114" i="4" l="1"/>
  <c r="AB114" i="4"/>
  <c r="S114" i="4"/>
  <c r="C115" i="4"/>
  <c r="D115" i="4" l="1"/>
  <c r="V115" i="4" s="1"/>
  <c r="W115" i="4" s="1"/>
  <c r="P115" i="4"/>
  <c r="I115" i="4"/>
  <c r="AA115" i="4" l="1"/>
  <c r="Y115" i="4"/>
  <c r="Z115" i="4"/>
  <c r="X115" i="4"/>
  <c r="Q115" i="4"/>
  <c r="J115" i="4"/>
  <c r="O115" i="4"/>
  <c r="R115" i="4"/>
  <c r="AB115" i="4" l="1"/>
  <c r="AC115" i="4"/>
  <c r="S115" i="4"/>
  <c r="C116" i="4"/>
  <c r="P116" i="4" l="1"/>
  <c r="I116" i="4"/>
  <c r="D116" i="4"/>
  <c r="V116" i="4" s="1"/>
  <c r="W116" i="4" s="1"/>
  <c r="Z116" i="4" l="1"/>
  <c r="AA116" i="4"/>
  <c r="Y116" i="4"/>
  <c r="X116" i="4"/>
  <c r="R116" i="4"/>
  <c r="J116" i="4"/>
  <c r="Q116" i="4"/>
  <c r="O116" i="4"/>
  <c r="AC116" i="4" l="1"/>
  <c r="AB116" i="4"/>
  <c r="S116" i="4"/>
  <c r="C117" i="4"/>
  <c r="P117" i="4" l="1"/>
  <c r="I117" i="4"/>
  <c r="D117" i="4"/>
  <c r="V117" i="4" s="1"/>
  <c r="W117" i="4" s="1"/>
  <c r="Z117" i="4" l="1"/>
  <c r="Y117" i="4"/>
  <c r="AA117" i="4"/>
  <c r="X117" i="4"/>
  <c r="R117" i="4"/>
  <c r="J117" i="4"/>
  <c r="Q117" i="4"/>
  <c r="O117" i="4"/>
  <c r="AB117" i="4" l="1"/>
  <c r="AC117" i="4"/>
  <c r="S117" i="4"/>
  <c r="C118" i="4"/>
  <c r="P118" i="4" l="1"/>
  <c r="I118" i="4"/>
  <c r="D118" i="4"/>
  <c r="V118" i="4" s="1"/>
  <c r="W118" i="4" s="1"/>
  <c r="X118" i="4" l="1"/>
  <c r="AA118" i="4"/>
  <c r="Y118" i="4"/>
  <c r="Z118" i="4"/>
  <c r="R118" i="4"/>
  <c r="Q118" i="4"/>
  <c r="J118" i="4"/>
  <c r="O118" i="4"/>
  <c r="AB118" i="4" l="1"/>
  <c r="AC118" i="4"/>
  <c r="S118" i="4"/>
  <c r="C119" i="4"/>
  <c r="P119" i="4" l="1"/>
  <c r="I119" i="4"/>
  <c r="D119" i="4"/>
  <c r="V119" i="4" s="1"/>
  <c r="W119" i="4" s="1"/>
  <c r="X119" i="4" l="1"/>
  <c r="Y119" i="4"/>
  <c r="Z119" i="4"/>
  <c r="AA119" i="4"/>
  <c r="R119" i="4"/>
  <c r="J119" i="4"/>
  <c r="O119" i="4"/>
  <c r="Q119" i="4"/>
  <c r="AC119" i="4" l="1"/>
  <c r="AB119" i="4"/>
  <c r="C120" i="4"/>
  <c r="S119" i="4"/>
  <c r="I120" i="4" l="1"/>
  <c r="P120" i="4"/>
  <c r="D120" i="4"/>
  <c r="V120" i="4" s="1"/>
  <c r="W120" i="4" s="1"/>
  <c r="Y120" i="4" l="1"/>
  <c r="AA120" i="4"/>
  <c r="X120" i="4"/>
  <c r="Z120" i="4"/>
  <c r="R120" i="4"/>
  <c r="Q120" i="4"/>
  <c r="J120" i="4"/>
  <c r="O120" i="4"/>
  <c r="AC120" i="4" l="1"/>
  <c r="AB120" i="4"/>
  <c r="C121" i="4"/>
  <c r="S120" i="4"/>
  <c r="D121" i="4" l="1"/>
  <c r="V121" i="4" s="1"/>
  <c r="W121" i="4" s="1"/>
  <c r="P121" i="4"/>
  <c r="I121" i="4"/>
  <c r="X121" i="4" l="1"/>
  <c r="Y121" i="4"/>
  <c r="Z121" i="4"/>
  <c r="AA121" i="4"/>
  <c r="J121" i="4"/>
  <c r="O121" i="4"/>
  <c r="Q121" i="4"/>
  <c r="R121" i="4"/>
  <c r="AC121" i="4" l="1"/>
  <c r="AB121" i="4"/>
  <c r="S121" i="4"/>
  <c r="C122" i="4"/>
  <c r="I122" i="4" l="1"/>
  <c r="P122" i="4"/>
  <c r="D122" i="4"/>
  <c r="V122" i="4" s="1"/>
  <c r="W122" i="4" s="1"/>
  <c r="Y122" i="4" l="1"/>
  <c r="Z122" i="4"/>
  <c r="X122" i="4"/>
  <c r="AA122" i="4"/>
  <c r="R122" i="4"/>
  <c r="Q122" i="4"/>
  <c r="O122" i="4"/>
  <c r="J122" i="4"/>
  <c r="AB122" i="4" l="1"/>
  <c r="AC122" i="4"/>
  <c r="C123" i="4"/>
  <c r="S122" i="4"/>
  <c r="P123" i="4" l="1"/>
  <c r="I123" i="4"/>
  <c r="D123" i="4"/>
  <c r="V123" i="4" s="1"/>
  <c r="W123" i="4" s="1"/>
  <c r="X123" i="4" l="1"/>
  <c r="Z123" i="4" s="1"/>
  <c r="AA123" i="4"/>
  <c r="Y123" i="4"/>
  <c r="R123" i="4"/>
  <c r="Q123" i="4"/>
  <c r="J123" i="4"/>
  <c r="O123" i="4"/>
  <c r="AB123" i="4" l="1"/>
  <c r="AC123" i="4"/>
  <c r="C124" i="4"/>
  <c r="S123" i="4"/>
  <c r="D124" i="4" l="1"/>
  <c r="V124" i="4" s="1"/>
  <c r="W124" i="4" s="1"/>
  <c r="P124" i="4"/>
  <c r="I124" i="4"/>
  <c r="Y124" i="4" l="1"/>
  <c r="Z124" i="4"/>
  <c r="AA124" i="4"/>
  <c r="X124" i="4"/>
  <c r="Q124" i="4"/>
  <c r="J124" i="4"/>
  <c r="O124" i="4"/>
  <c r="R124" i="4"/>
  <c r="AB124" i="4" l="1"/>
  <c r="AC124" i="4"/>
  <c r="S124" i="4"/>
  <c r="C125" i="4"/>
  <c r="P125" i="4" l="1"/>
  <c r="I125" i="4"/>
  <c r="D125" i="4"/>
  <c r="V125" i="4" s="1"/>
  <c r="W125" i="4" s="1"/>
  <c r="X125" i="4" l="1"/>
  <c r="Z125" i="4" s="1"/>
  <c r="Y125" i="4"/>
  <c r="AA125" i="4"/>
  <c r="R125" i="4"/>
  <c r="Q125" i="4"/>
  <c r="J125" i="4"/>
  <c r="O125" i="4"/>
  <c r="AC125" i="4" l="1"/>
  <c r="AB125" i="4"/>
  <c r="C126" i="4"/>
  <c r="S125" i="4"/>
  <c r="P126" i="4" l="1"/>
  <c r="I126" i="4"/>
  <c r="D126" i="4"/>
  <c r="V126" i="4" s="1"/>
  <c r="W126" i="4" s="1"/>
  <c r="Y126" i="4" l="1"/>
  <c r="AA126" i="4"/>
  <c r="Z126" i="4"/>
  <c r="X126" i="4"/>
  <c r="R126" i="4"/>
  <c r="Q126" i="4"/>
  <c r="O126" i="4"/>
  <c r="J126" i="4"/>
  <c r="AC126" i="4" l="1"/>
  <c r="AB126" i="4"/>
  <c r="C127" i="4"/>
  <c r="S126" i="4"/>
  <c r="D127" i="4" l="1"/>
  <c r="V127" i="4" s="1"/>
  <c r="W127" i="4" s="1"/>
  <c r="P127" i="4"/>
  <c r="I127" i="4"/>
  <c r="AA127" i="4" l="1"/>
  <c r="Y127" i="4"/>
  <c r="X127" i="4"/>
  <c r="Z127" i="4"/>
  <c r="J127" i="4"/>
  <c r="Q127" i="4"/>
  <c r="O127" i="4"/>
  <c r="R127" i="4"/>
  <c r="AB127" i="4" l="1"/>
  <c r="AC127" i="4"/>
  <c r="S127" i="4"/>
  <c r="C128" i="4"/>
  <c r="I128" i="4" l="1"/>
  <c r="P128" i="4"/>
  <c r="D128" i="4"/>
  <c r="V128" i="4" s="1"/>
  <c r="W128" i="4" s="1"/>
  <c r="X128" i="4" l="1"/>
  <c r="Y128" i="4"/>
  <c r="Z128" i="4"/>
  <c r="AA128" i="4"/>
  <c r="R128" i="4"/>
  <c r="Q128" i="4"/>
  <c r="J128" i="4"/>
  <c r="O128" i="4"/>
  <c r="AC128" i="4" l="1"/>
  <c r="AB128" i="4"/>
  <c r="C129" i="4"/>
  <c r="S128" i="4"/>
  <c r="D129" i="4" l="1"/>
  <c r="V129" i="4" s="1"/>
  <c r="W129" i="4" s="1"/>
  <c r="P129" i="4"/>
  <c r="I129" i="4"/>
  <c r="AA129" i="4" l="1"/>
  <c r="X129" i="4"/>
  <c r="Y129" i="4"/>
  <c r="Z129" i="4"/>
  <c r="J129" i="4"/>
  <c r="Q129" i="4"/>
  <c r="O129" i="4"/>
  <c r="R129" i="4"/>
  <c r="AC129" i="4" l="1"/>
  <c r="AB129" i="4"/>
  <c r="S129" i="4"/>
  <c r="C130" i="4"/>
  <c r="D130" i="4" l="1"/>
  <c r="V130" i="4" s="1"/>
  <c r="W130" i="4" s="1"/>
  <c r="P130" i="4"/>
  <c r="I130" i="4"/>
  <c r="X130" i="4" l="1"/>
  <c r="AA130" i="4"/>
  <c r="Z130" i="4"/>
  <c r="Y130" i="4"/>
  <c r="J130" i="4"/>
  <c r="O130" i="4"/>
  <c r="Q130" i="4"/>
  <c r="R130" i="4"/>
  <c r="AC130" i="4" l="1"/>
  <c r="AB130" i="4"/>
  <c r="S130" i="4"/>
  <c r="C131" i="4"/>
  <c r="D131" i="4" l="1"/>
  <c r="V131" i="4" s="1"/>
  <c r="W131" i="4" s="1"/>
  <c r="P131" i="4"/>
  <c r="I131" i="4"/>
  <c r="AA131" i="4" l="1"/>
  <c r="X131" i="4"/>
  <c r="Z131" i="4"/>
  <c r="Y131" i="4"/>
  <c r="J131" i="4"/>
  <c r="O131" i="4"/>
  <c r="Q131" i="4"/>
  <c r="R131" i="4"/>
  <c r="AC131" i="4" l="1"/>
  <c r="AB131" i="4"/>
  <c r="S131" i="4"/>
  <c r="C132" i="4"/>
  <c r="P132" i="4" l="1"/>
  <c r="I132" i="4"/>
  <c r="D132" i="4"/>
  <c r="V132" i="4" s="1"/>
  <c r="W132" i="4" s="1"/>
  <c r="AA132" i="4" l="1"/>
  <c r="Y132" i="4"/>
  <c r="Z132" i="4"/>
  <c r="X132" i="4"/>
  <c r="R132" i="4"/>
  <c r="J132" i="4"/>
  <c r="Q132" i="4"/>
  <c r="O132" i="4"/>
  <c r="AB132" i="4" l="1"/>
  <c r="AC132" i="4"/>
  <c r="C133" i="4"/>
  <c r="S132" i="4"/>
  <c r="D133" i="4" l="1"/>
  <c r="V133" i="4" s="1"/>
  <c r="W133" i="4" s="1"/>
  <c r="I133" i="4"/>
  <c r="P133" i="4"/>
  <c r="X133" i="4" l="1"/>
  <c r="Z133" i="4"/>
  <c r="AA133" i="4"/>
  <c r="Y133" i="4"/>
  <c r="O133" i="4"/>
  <c r="J133" i="4"/>
  <c r="Q133" i="4"/>
  <c r="R133" i="4"/>
  <c r="AB133" i="4" l="1"/>
  <c r="AC133" i="4"/>
  <c r="S133" i="4"/>
  <c r="C134" i="4"/>
  <c r="P134" i="4" l="1"/>
  <c r="I134" i="4"/>
  <c r="D134" i="4"/>
  <c r="V134" i="4" s="1"/>
  <c r="W134" i="4" s="1"/>
  <c r="AA134" i="4" l="1"/>
  <c r="Z134" i="4"/>
  <c r="X134" i="4"/>
  <c r="Y134" i="4"/>
  <c r="R134" i="4"/>
  <c r="O134" i="4"/>
  <c r="Q134" i="4"/>
  <c r="J134" i="4"/>
  <c r="AC134" i="4" l="1"/>
  <c r="AB134" i="4"/>
  <c r="C135" i="4"/>
  <c r="S134" i="4"/>
  <c r="D135" i="4" l="1"/>
  <c r="V135" i="4" s="1"/>
  <c r="W135" i="4" s="1"/>
  <c r="P135" i="4"/>
  <c r="I135" i="4"/>
  <c r="X135" i="4" l="1"/>
  <c r="AA135" i="4"/>
  <c r="Y135" i="4"/>
  <c r="Z135" i="4"/>
  <c r="J135" i="4"/>
  <c r="Q135" i="4"/>
  <c r="O135" i="4"/>
  <c r="R135" i="4"/>
  <c r="AB135" i="4" l="1"/>
  <c r="AC135" i="4"/>
  <c r="S135" i="4"/>
  <c r="C136" i="4"/>
  <c r="I136" i="4" l="1"/>
  <c r="P136" i="4"/>
  <c r="D136" i="4"/>
  <c r="V136" i="4" s="1"/>
  <c r="W136" i="4" s="1"/>
  <c r="AA136" i="4" l="1"/>
  <c r="Z136" i="4"/>
  <c r="Y136" i="4"/>
  <c r="X136" i="4"/>
  <c r="R136" i="4"/>
  <c r="J136" i="4"/>
  <c r="Q136" i="4"/>
  <c r="O136" i="4"/>
  <c r="AB136" i="4" l="1"/>
  <c r="AC136" i="4"/>
  <c r="C137" i="4"/>
  <c r="S136" i="4"/>
  <c r="P137" i="4" l="1"/>
  <c r="I137" i="4"/>
  <c r="D137" i="4"/>
  <c r="V137" i="4" s="1"/>
  <c r="W137" i="4" s="1"/>
  <c r="AA137" i="4" l="1"/>
  <c r="Y137" i="4"/>
  <c r="X137" i="4"/>
  <c r="Z137" i="4"/>
  <c r="R137" i="4"/>
  <c r="J137" i="4"/>
  <c r="Q137" i="4"/>
  <c r="O137" i="4"/>
  <c r="AB137" i="4" l="1"/>
  <c r="AC137" i="4"/>
  <c r="C138" i="4"/>
  <c r="S137" i="4"/>
  <c r="I138" i="4" l="1"/>
  <c r="P138" i="4"/>
  <c r="D138" i="4"/>
  <c r="V138" i="4" s="1"/>
  <c r="W138" i="4" s="1"/>
  <c r="X138" i="4" l="1"/>
  <c r="Z138" i="4"/>
  <c r="Y138" i="4"/>
  <c r="AA138" i="4"/>
  <c r="R138" i="4"/>
  <c r="O138" i="4"/>
  <c r="Q138" i="4"/>
  <c r="J138" i="4"/>
  <c r="AB138" i="4" l="1"/>
  <c r="AC138" i="4"/>
  <c r="C139" i="4"/>
  <c r="S138" i="4"/>
  <c r="P139" i="4" l="1"/>
  <c r="I139" i="4"/>
  <c r="D139" i="4"/>
  <c r="V139" i="4" s="1"/>
  <c r="W139" i="4" s="1"/>
  <c r="Z139" i="4" l="1"/>
  <c r="Y139" i="4"/>
  <c r="X139" i="4"/>
  <c r="AA139" i="4"/>
  <c r="R139" i="4"/>
  <c r="Q139" i="4"/>
  <c r="J139" i="4"/>
  <c r="O139" i="4"/>
  <c r="AB139" i="4" l="1"/>
  <c r="AC139" i="4"/>
  <c r="C140" i="4"/>
  <c r="S139" i="4"/>
  <c r="I140" i="4" l="1"/>
  <c r="P140" i="4"/>
  <c r="D140" i="4"/>
  <c r="V140" i="4" s="1"/>
  <c r="W140" i="4" s="1"/>
  <c r="Z140" i="4" l="1"/>
  <c r="Y140" i="4"/>
  <c r="AA140" i="4"/>
  <c r="X140" i="4"/>
  <c r="R140" i="4"/>
  <c r="J140" i="4"/>
  <c r="Q140" i="4"/>
  <c r="O140" i="4"/>
  <c r="AB140" i="4" l="1"/>
  <c r="AC140" i="4"/>
  <c r="C141" i="4"/>
  <c r="S140" i="4"/>
  <c r="I141" i="4" l="1"/>
  <c r="P141" i="4"/>
  <c r="D141" i="4"/>
  <c r="V141" i="4" s="1"/>
  <c r="W141" i="4" s="1"/>
  <c r="Y141" i="4" l="1"/>
  <c r="Z141" i="4"/>
  <c r="X141" i="4"/>
  <c r="AA141" i="4"/>
  <c r="R141" i="4"/>
  <c r="J141" i="4"/>
  <c r="O141" i="4"/>
  <c r="Q141" i="4"/>
  <c r="AB141" i="4" l="1"/>
  <c r="AC141" i="4"/>
  <c r="C142" i="4"/>
  <c r="S141" i="4"/>
  <c r="D142" i="4" l="1"/>
  <c r="V142" i="4" s="1"/>
  <c r="W142" i="4" s="1"/>
  <c r="P142" i="4"/>
  <c r="I142" i="4"/>
  <c r="AA142" i="4" l="1"/>
  <c r="Y142" i="4"/>
  <c r="X142" i="4"/>
  <c r="Z142" i="4"/>
  <c r="O142" i="4"/>
  <c r="J142" i="4"/>
  <c r="Q142" i="4"/>
  <c r="R142" i="4"/>
  <c r="AB142" i="4" l="1"/>
  <c r="AC142" i="4"/>
  <c r="S142" i="4"/>
  <c r="C143" i="4"/>
  <c r="D143" i="4" l="1"/>
  <c r="V143" i="4" s="1"/>
  <c r="W143" i="4" s="1"/>
  <c r="P143" i="4"/>
  <c r="I143" i="4"/>
  <c r="AA143" i="4" l="1"/>
  <c r="Z143" i="4"/>
  <c r="X143" i="4"/>
  <c r="Y143" i="4"/>
  <c r="J143" i="4"/>
  <c r="Q143" i="4"/>
  <c r="O143" i="4"/>
  <c r="R143" i="4"/>
  <c r="AB143" i="4" l="1"/>
  <c r="AC143" i="4"/>
  <c r="S143" i="4"/>
  <c r="C144" i="4"/>
  <c r="P144" i="4" l="1"/>
  <c r="I144" i="4"/>
  <c r="D144" i="4"/>
  <c r="V144" i="4" s="1"/>
  <c r="W144" i="4" s="1"/>
  <c r="X144" i="4" l="1"/>
  <c r="Z144" i="4" s="1"/>
  <c r="AA144" i="4"/>
  <c r="Y144" i="4"/>
  <c r="R144" i="4"/>
  <c r="J144" i="4"/>
  <c r="Q144" i="4"/>
  <c r="O144" i="4"/>
  <c r="AB144" i="4" l="1"/>
  <c r="AC144" i="4"/>
  <c r="C145" i="4"/>
  <c r="S144" i="4"/>
  <c r="P145" i="4" l="1"/>
  <c r="I145" i="4"/>
  <c r="D145" i="4"/>
  <c r="V145" i="4" s="1"/>
  <c r="W145" i="4" s="1"/>
  <c r="Z145" i="4" l="1"/>
  <c r="AA145" i="4"/>
  <c r="Y145" i="4"/>
  <c r="X145" i="4"/>
  <c r="R145" i="4"/>
  <c r="O145" i="4"/>
  <c r="J145" i="4"/>
  <c r="Q145" i="4"/>
  <c r="AB145" i="4" l="1"/>
  <c r="AC145" i="4"/>
  <c r="C146" i="4"/>
  <c r="S145" i="4"/>
  <c r="P146" i="4" l="1"/>
  <c r="I146" i="4"/>
  <c r="D146" i="4"/>
  <c r="V146" i="4" s="1"/>
  <c r="W146" i="4" s="1"/>
  <c r="Z146" i="4" l="1"/>
  <c r="AA146" i="4"/>
  <c r="X146" i="4"/>
  <c r="Y146" i="4"/>
  <c r="R146" i="4"/>
  <c r="O146" i="4"/>
  <c r="J146" i="4"/>
  <c r="Q146" i="4"/>
  <c r="AC146" i="4" l="1"/>
  <c r="AB146" i="4"/>
  <c r="C147" i="4"/>
  <c r="S146" i="4"/>
  <c r="P147" i="4" l="1"/>
  <c r="I147" i="4"/>
  <c r="D147" i="4"/>
  <c r="V147" i="4" s="1"/>
  <c r="W147" i="4" s="1"/>
  <c r="X147" i="4" l="1"/>
  <c r="Z147" i="4" s="1"/>
  <c r="AA147" i="4"/>
  <c r="Y147" i="4"/>
  <c r="R147" i="4"/>
  <c r="O147" i="4"/>
  <c r="J147" i="4"/>
  <c r="Q147" i="4"/>
  <c r="AC147" i="4" l="1"/>
  <c r="AB147" i="4"/>
  <c r="C148" i="4"/>
  <c r="S147" i="4"/>
  <c r="I148" i="4" l="1"/>
  <c r="P148" i="4"/>
  <c r="D148" i="4"/>
  <c r="V148" i="4" s="1"/>
  <c r="W148" i="4" s="1"/>
  <c r="X148" i="4" l="1"/>
  <c r="Y148" i="4"/>
  <c r="AA148" i="4"/>
  <c r="Z148" i="4"/>
  <c r="R148" i="4"/>
  <c r="O148" i="4"/>
  <c r="J148" i="4"/>
  <c r="Q148" i="4"/>
  <c r="AB148" i="4" l="1"/>
  <c r="AC148" i="4"/>
  <c r="C149" i="4"/>
  <c r="S148" i="4"/>
  <c r="D149" i="4" l="1"/>
  <c r="V149" i="4" s="1"/>
  <c r="W149" i="4" s="1"/>
  <c r="P149" i="4"/>
  <c r="I149" i="4"/>
  <c r="X149" i="4" l="1"/>
  <c r="Z149" i="4" s="1"/>
  <c r="AA149" i="4"/>
  <c r="Y149" i="4"/>
  <c r="J149" i="4"/>
  <c r="Q149" i="4"/>
  <c r="O149" i="4"/>
  <c r="R149" i="4"/>
  <c r="AB149" i="4" l="1"/>
  <c r="AC149" i="4"/>
  <c r="S149" i="4"/>
  <c r="C150" i="4"/>
  <c r="P150" i="4" l="1"/>
  <c r="I150" i="4"/>
  <c r="D150" i="4"/>
  <c r="V150" i="4" s="1"/>
  <c r="W150" i="4" s="1"/>
  <c r="AA150" i="4" l="1"/>
  <c r="Y150" i="4"/>
  <c r="X150" i="4"/>
  <c r="Z150" i="4"/>
  <c r="R150" i="4"/>
  <c r="O150" i="4"/>
  <c r="J150" i="4"/>
  <c r="Q150" i="4"/>
  <c r="AB150" i="4" l="1"/>
  <c r="AC150" i="4"/>
  <c r="C151" i="4"/>
  <c r="S150" i="4"/>
  <c r="P151" i="4" l="1"/>
  <c r="I151" i="4"/>
  <c r="D151" i="4"/>
  <c r="V151" i="4" s="1"/>
  <c r="W151" i="4" s="1"/>
  <c r="Y151" i="4" l="1"/>
  <c r="Z151" i="4"/>
  <c r="AA151" i="4"/>
  <c r="X151" i="4"/>
  <c r="R151" i="4"/>
  <c r="Q151" i="4"/>
  <c r="O151" i="4"/>
  <c r="J151" i="4"/>
  <c r="AC151" i="4" l="1"/>
  <c r="AB151" i="4"/>
  <c r="C152" i="4"/>
  <c r="S151" i="4"/>
  <c r="I152" i="4" l="1"/>
  <c r="P152" i="4"/>
  <c r="D152" i="4"/>
  <c r="V152" i="4" s="1"/>
  <c r="W152" i="4" s="1"/>
  <c r="Y152" i="4" l="1"/>
  <c r="Z152" i="4"/>
  <c r="AA152" i="4"/>
  <c r="X152" i="4"/>
  <c r="R152" i="4"/>
  <c r="Q152" i="4"/>
  <c r="J152" i="4"/>
  <c r="O152" i="4"/>
  <c r="AC152" i="4" l="1"/>
  <c r="AB152" i="4"/>
  <c r="C153" i="4"/>
  <c r="S152" i="4"/>
  <c r="I153" i="4" l="1"/>
  <c r="P153" i="4"/>
  <c r="D153" i="4"/>
  <c r="V153" i="4" s="1"/>
  <c r="W153" i="4" s="1"/>
  <c r="Z153" i="4" l="1"/>
  <c r="AA153" i="4"/>
  <c r="X153" i="4"/>
  <c r="Y153" i="4"/>
  <c r="R153" i="4"/>
  <c r="J153" i="4"/>
  <c r="Q153" i="4"/>
  <c r="O153" i="4"/>
  <c r="AC153" i="4" l="1"/>
  <c r="AB153" i="4"/>
  <c r="C154" i="4"/>
  <c r="S153" i="4"/>
  <c r="P154" i="4" l="1"/>
  <c r="I154" i="4"/>
  <c r="D154" i="4"/>
  <c r="V154" i="4" s="1"/>
  <c r="W154" i="4" s="1"/>
  <c r="AA154" i="4" l="1"/>
  <c r="Y154" i="4"/>
  <c r="X154" i="4"/>
  <c r="Z154" i="4"/>
  <c r="R154" i="4"/>
  <c r="J154" i="4"/>
  <c r="Q154" i="4"/>
  <c r="O154" i="4"/>
  <c r="AC154" i="4" l="1"/>
  <c r="AB154" i="4"/>
  <c r="C155" i="4"/>
  <c r="S154" i="4"/>
  <c r="D155" i="4" l="1"/>
  <c r="V155" i="4" s="1"/>
  <c r="W155" i="4" s="1"/>
  <c r="P155" i="4"/>
  <c r="I155" i="4"/>
  <c r="Z155" i="4" l="1"/>
  <c r="X155" i="4"/>
  <c r="Y155" i="4"/>
  <c r="AA155" i="4"/>
  <c r="Q155" i="4"/>
  <c r="J155" i="4"/>
  <c r="O155" i="4"/>
  <c r="R155" i="4"/>
  <c r="AC155" i="4" l="1"/>
  <c r="AB155" i="4"/>
  <c r="S155" i="4"/>
  <c r="C156" i="4"/>
  <c r="D156" i="4" l="1"/>
  <c r="V156" i="4" s="1"/>
  <c r="W156" i="4" s="1"/>
  <c r="I156" i="4"/>
  <c r="P156" i="4"/>
  <c r="Y156" i="4" l="1"/>
  <c r="Z156" i="4"/>
  <c r="X156" i="4"/>
  <c r="AA156" i="4"/>
  <c r="J156" i="4"/>
  <c r="Q156" i="4"/>
  <c r="O156" i="4"/>
  <c r="R156" i="4"/>
  <c r="AC156" i="4" l="1"/>
  <c r="AB156" i="4"/>
  <c r="S156" i="4"/>
  <c r="C157" i="4"/>
  <c r="D157" i="4" l="1"/>
  <c r="V157" i="4" s="1"/>
  <c r="W157" i="4" s="1"/>
  <c r="P157" i="4"/>
  <c r="I157" i="4"/>
  <c r="AA157" i="4" l="1"/>
  <c r="X157" i="4"/>
  <c r="Z157" i="4"/>
  <c r="Y157" i="4"/>
  <c r="J157" i="4"/>
  <c r="Q157" i="4"/>
  <c r="O157" i="4"/>
  <c r="R157" i="4"/>
  <c r="AB157" i="4" l="1"/>
  <c r="AC157" i="4"/>
  <c r="S157" i="4"/>
  <c r="C158" i="4"/>
  <c r="D158" i="4" l="1"/>
  <c r="V158" i="4" s="1"/>
  <c r="W158" i="4" s="1"/>
  <c r="P158" i="4"/>
  <c r="I158" i="4"/>
  <c r="Y158" i="4" l="1"/>
  <c r="X158" i="4"/>
  <c r="Z158" i="4"/>
  <c r="AA158" i="4"/>
  <c r="Q158" i="4"/>
  <c r="J158" i="4"/>
  <c r="O158" i="4"/>
  <c r="R158" i="4"/>
  <c r="AB158" i="4" l="1"/>
  <c r="AC158" i="4"/>
  <c r="S158" i="4"/>
  <c r="C159" i="4"/>
  <c r="P159" i="4" l="1"/>
  <c r="I159" i="4"/>
  <c r="D159" i="4"/>
  <c r="V159" i="4" s="1"/>
  <c r="W159" i="4" s="1"/>
  <c r="Z159" i="4" l="1"/>
  <c r="AA159" i="4"/>
  <c r="X159" i="4"/>
  <c r="Y159" i="4"/>
  <c r="R159" i="4"/>
  <c r="O159" i="4"/>
  <c r="J159" i="4"/>
  <c r="Q159" i="4"/>
  <c r="AB159" i="4" l="1"/>
  <c r="AC159" i="4"/>
  <c r="C160" i="4"/>
  <c r="S159" i="4"/>
  <c r="P160" i="4" l="1"/>
  <c r="I160" i="4"/>
  <c r="D160" i="4"/>
  <c r="V160" i="4" s="1"/>
  <c r="W160" i="4" s="1"/>
  <c r="Y160" i="4" l="1"/>
  <c r="X160" i="4"/>
  <c r="AA160" i="4"/>
  <c r="Z160" i="4"/>
  <c r="R160" i="4"/>
  <c r="Q160" i="4"/>
  <c r="J160" i="4"/>
  <c r="O160" i="4"/>
  <c r="AB160" i="4" l="1"/>
  <c r="AC160" i="4"/>
  <c r="C161" i="4"/>
  <c r="S160" i="4"/>
  <c r="D161" i="4" l="1"/>
  <c r="V161" i="4" s="1"/>
  <c r="W161" i="4" s="1"/>
  <c r="P161" i="4"/>
  <c r="I161" i="4"/>
  <c r="AA161" i="4" l="1"/>
  <c r="Y161" i="4"/>
  <c r="Z161" i="4"/>
  <c r="X161" i="4"/>
  <c r="O161" i="4"/>
  <c r="J161" i="4"/>
  <c r="Q161" i="4"/>
  <c r="R161" i="4"/>
  <c r="AB161" i="4" l="1"/>
  <c r="AC161" i="4"/>
  <c r="S161" i="4"/>
  <c r="C162" i="4"/>
  <c r="D162" i="4" l="1"/>
  <c r="V162" i="4" s="1"/>
  <c r="W162" i="4" s="1"/>
  <c r="P162" i="4"/>
  <c r="I162" i="4"/>
  <c r="X162" i="4" l="1"/>
  <c r="Y162" i="4"/>
  <c r="Z162" i="4"/>
  <c r="AA162" i="4"/>
  <c r="J162" i="4"/>
  <c r="Q162" i="4"/>
  <c r="O162" i="4"/>
  <c r="R162" i="4"/>
  <c r="AC162" i="4" l="1"/>
  <c r="AB162" i="4"/>
  <c r="S162" i="4"/>
  <c r="C163" i="4"/>
  <c r="P163" i="4" l="1"/>
  <c r="I163" i="4"/>
  <c r="D163" i="4"/>
  <c r="V163" i="4" s="1"/>
  <c r="W163" i="4" s="1"/>
  <c r="Z163" i="4" l="1"/>
  <c r="AA163" i="4"/>
  <c r="Y163" i="4"/>
  <c r="X163" i="4"/>
  <c r="R163" i="4"/>
  <c r="O163" i="4"/>
  <c r="Q163" i="4"/>
  <c r="J163" i="4"/>
  <c r="AB163" i="4" l="1"/>
  <c r="AC163" i="4"/>
  <c r="C164" i="4"/>
  <c r="S163" i="4"/>
  <c r="I164" i="4" l="1"/>
  <c r="P164" i="4"/>
  <c r="D164" i="4"/>
  <c r="V164" i="4" s="1"/>
  <c r="W164" i="4" s="1"/>
  <c r="Z164" i="4" l="1"/>
  <c r="X164" i="4"/>
  <c r="Y164" i="4"/>
  <c r="AA164" i="4"/>
  <c r="R164" i="4"/>
  <c r="J164" i="4"/>
  <c r="Q164" i="4"/>
  <c r="O164" i="4"/>
  <c r="AB164" i="4" l="1"/>
  <c r="AC164" i="4"/>
  <c r="C165" i="4"/>
  <c r="S164" i="4"/>
  <c r="I165" i="4" l="1"/>
  <c r="P165" i="4"/>
  <c r="D165" i="4"/>
  <c r="V165" i="4" s="1"/>
  <c r="W165" i="4" s="1"/>
  <c r="AA165" i="4" l="1"/>
  <c r="Z165" i="4"/>
  <c r="X165" i="4"/>
  <c r="Y165" i="4"/>
  <c r="R165" i="4"/>
  <c r="J165" i="4"/>
  <c r="O165" i="4"/>
  <c r="Q165" i="4"/>
  <c r="AC165" i="4" l="1"/>
  <c r="AB165" i="4"/>
  <c r="C166" i="4"/>
  <c r="S165" i="4"/>
  <c r="I166" i="4" l="1"/>
  <c r="P166" i="4"/>
  <c r="D166" i="4"/>
  <c r="V166" i="4" s="1"/>
  <c r="W166" i="4" s="1"/>
  <c r="AF18" i="4"/>
  <c r="AF19" i="4"/>
  <c r="AG16" i="4"/>
  <c r="AG17" i="4"/>
  <c r="AG18" i="4"/>
  <c r="AH15" i="4"/>
  <c r="AF17" i="4"/>
  <c r="AG19" i="4"/>
  <c r="AF16" i="4"/>
  <c r="Y166" i="4" l="1"/>
  <c r="X166" i="4"/>
  <c r="AA166" i="4"/>
  <c r="Z166" i="4"/>
  <c r="R166" i="4"/>
  <c r="J166" i="4"/>
  <c r="Q166" i="4"/>
  <c r="O166" i="4"/>
  <c r="AI19" i="4"/>
  <c r="AI17" i="4"/>
  <c r="AH17" i="4"/>
  <c r="AI18" i="4"/>
  <c r="AH18" i="4"/>
  <c r="AI16" i="4"/>
  <c r="AH16" i="4"/>
  <c r="AB166" i="4" l="1"/>
  <c r="AC166" i="4"/>
  <c r="C167" i="4"/>
  <c r="S166" i="4"/>
  <c r="I167" i="4" l="1"/>
  <c r="P167" i="4"/>
  <c r="D167" i="4"/>
  <c r="V167" i="4" s="1"/>
  <c r="W167" i="4" s="1"/>
  <c r="AA167" i="4" l="1"/>
  <c r="Z167" i="4"/>
  <c r="X167" i="4"/>
  <c r="Y167" i="4"/>
  <c r="R167" i="4"/>
  <c r="J167" i="4"/>
  <c r="Q167" i="4"/>
  <c r="O167" i="4"/>
  <c r="AB167" i="4" l="1"/>
  <c r="AC167" i="4"/>
  <c r="C168" i="4"/>
  <c r="S167" i="4"/>
  <c r="P168" i="4" l="1"/>
  <c r="I168" i="4"/>
  <c r="D168" i="4"/>
  <c r="V168" i="4" s="1"/>
  <c r="W168" i="4" s="1"/>
  <c r="X168" i="4" l="1"/>
  <c r="Z168" i="4"/>
  <c r="Y168" i="4"/>
  <c r="AA168" i="4"/>
  <c r="R168" i="4"/>
  <c r="J168" i="4"/>
  <c r="Q168" i="4"/>
  <c r="O168" i="4"/>
  <c r="AC168" i="4" l="1"/>
  <c r="AB168" i="4"/>
  <c r="C169" i="4"/>
  <c r="S168" i="4"/>
  <c r="I169" i="4" l="1"/>
  <c r="P169" i="4"/>
  <c r="D169" i="4"/>
  <c r="V169" i="4" s="1"/>
  <c r="W169" i="4" s="1"/>
  <c r="Z169" i="4" l="1"/>
  <c r="Y169" i="4"/>
  <c r="X169" i="4"/>
  <c r="AA169" i="4"/>
  <c r="R169" i="4"/>
  <c r="J169" i="4"/>
  <c r="Q169" i="4"/>
  <c r="O169" i="4"/>
  <c r="AB169" i="4" l="1"/>
  <c r="AC169" i="4"/>
  <c r="C170" i="4"/>
  <c r="S169" i="4"/>
  <c r="P170" i="4" l="1"/>
  <c r="I170" i="4"/>
  <c r="D170" i="4"/>
  <c r="V170" i="4" s="1"/>
  <c r="W170" i="4" s="1"/>
  <c r="Y170" i="4" l="1"/>
  <c r="AA170" i="4"/>
  <c r="X170" i="4"/>
  <c r="Z170" i="4" s="1"/>
  <c r="R170" i="4"/>
  <c r="Q170" i="4"/>
  <c r="J170" i="4"/>
  <c r="O170" i="4"/>
  <c r="AH19" i="4" l="1"/>
  <c r="AC170" i="4"/>
  <c r="AB170" i="4"/>
  <c r="C171" i="4"/>
  <c r="S170" i="4"/>
  <c r="P171" i="4" l="1"/>
  <c r="I171" i="4"/>
  <c r="D171" i="4"/>
  <c r="V171" i="4" s="1"/>
  <c r="W171" i="4" s="1"/>
  <c r="Z171" i="4" l="1"/>
  <c r="X171" i="4"/>
  <c r="Y171" i="4"/>
  <c r="AA171" i="4"/>
  <c r="R171" i="4"/>
  <c r="J171" i="4"/>
  <c r="Q171" i="4"/>
  <c r="O171" i="4"/>
  <c r="AC171" i="4" l="1"/>
  <c r="AB171" i="4"/>
  <c r="C172" i="4"/>
  <c r="S171" i="4"/>
  <c r="P172" i="4" l="1"/>
  <c r="I172" i="4"/>
  <c r="D172" i="4"/>
  <c r="V172" i="4" s="1"/>
  <c r="W172" i="4" s="1"/>
  <c r="X172" i="4" l="1"/>
  <c r="Z172" i="4"/>
  <c r="AA172" i="4"/>
  <c r="Y172" i="4"/>
  <c r="R172" i="4"/>
  <c r="J172" i="4"/>
  <c r="Q172" i="4"/>
  <c r="O172" i="4"/>
  <c r="AC172" i="4" l="1"/>
  <c r="AB172" i="4"/>
  <c r="C173" i="4"/>
  <c r="S172" i="4"/>
  <c r="P173" i="4" l="1"/>
  <c r="I173" i="4"/>
  <c r="D173" i="4"/>
  <c r="V173" i="4" s="1"/>
  <c r="W173" i="4" s="1"/>
  <c r="AA173" i="4" l="1"/>
  <c r="Z173" i="4"/>
  <c r="X173" i="4"/>
  <c r="Y173" i="4"/>
  <c r="R173" i="4"/>
  <c r="J173" i="4"/>
  <c r="Q173" i="4"/>
  <c r="O173" i="4"/>
  <c r="AC173" i="4" l="1"/>
  <c r="AB173" i="4"/>
  <c r="C174" i="4"/>
  <c r="S173" i="4"/>
  <c r="P174" i="4" l="1"/>
  <c r="I174" i="4"/>
  <c r="D174" i="4"/>
  <c r="V174" i="4" s="1"/>
  <c r="W174" i="4" s="1"/>
  <c r="AA174" i="4" l="1"/>
  <c r="X174" i="4"/>
  <c r="Y174" i="4"/>
  <c r="Z174" i="4"/>
  <c r="R174" i="4"/>
  <c r="J174" i="4"/>
  <c r="Q174" i="4"/>
  <c r="O174" i="4"/>
  <c r="AC174" i="4" l="1"/>
  <c r="AB174" i="4"/>
  <c r="C175" i="4"/>
  <c r="S174" i="4"/>
  <c r="P175" i="4" l="1"/>
  <c r="I175" i="4"/>
  <c r="D175" i="4"/>
  <c r="V175" i="4" s="1"/>
  <c r="W175" i="4" s="1"/>
  <c r="Z175" i="4" l="1"/>
  <c r="AA175" i="4"/>
  <c r="X175" i="4"/>
  <c r="Y175" i="4"/>
  <c r="R175" i="4"/>
  <c r="O175" i="4"/>
  <c r="Q175" i="4"/>
  <c r="J175" i="4"/>
  <c r="AC175" i="4" l="1"/>
  <c r="AB175" i="4"/>
  <c r="C176" i="4"/>
  <c r="S175" i="4"/>
  <c r="P176" i="4" l="1"/>
  <c r="I176" i="4"/>
  <c r="D176" i="4"/>
  <c r="V176" i="4" s="1"/>
  <c r="W176" i="4" s="1"/>
  <c r="Y176" i="4" l="1"/>
  <c r="AA176" i="4"/>
  <c r="X176" i="4"/>
  <c r="Z176" i="4" s="1"/>
  <c r="R176" i="4"/>
  <c r="J176" i="4"/>
  <c r="O176" i="4"/>
  <c r="Q176" i="4"/>
  <c r="AB176" i="4" l="1"/>
  <c r="AC176" i="4"/>
  <c r="C177" i="4"/>
  <c r="S176" i="4"/>
  <c r="P177" i="4" l="1"/>
  <c r="I177" i="4"/>
  <c r="D177" i="4"/>
  <c r="V177" i="4" s="1"/>
  <c r="W177" i="4" s="1"/>
  <c r="AA177" i="4" l="1"/>
  <c r="Y177" i="4"/>
  <c r="X177" i="4"/>
  <c r="Z177" i="4"/>
  <c r="R177" i="4"/>
  <c r="Q177" i="4"/>
  <c r="J177" i="4"/>
  <c r="O177" i="4"/>
  <c r="AC177" i="4" l="1"/>
  <c r="AB177" i="4"/>
  <c r="C178" i="4"/>
  <c r="S177" i="4"/>
  <c r="P178" i="4" l="1"/>
  <c r="I178" i="4"/>
  <c r="D178" i="4"/>
  <c r="V178" i="4" s="1"/>
  <c r="W178" i="4" s="1"/>
  <c r="AA178" i="4" l="1"/>
  <c r="X178" i="4"/>
  <c r="Z178" i="4"/>
  <c r="Y178" i="4"/>
  <c r="R178" i="4"/>
  <c r="Q178" i="4"/>
  <c r="O178" i="4"/>
  <c r="J178" i="4"/>
  <c r="AC178" i="4" l="1"/>
  <c r="AB178" i="4"/>
  <c r="C179" i="4"/>
  <c r="S178" i="4"/>
  <c r="I179" i="4" l="1"/>
  <c r="P179" i="4"/>
  <c r="D179" i="4"/>
  <c r="V179" i="4" s="1"/>
  <c r="W179" i="4" s="1"/>
  <c r="Z179" i="4" l="1"/>
  <c r="X179" i="4"/>
  <c r="AA179" i="4"/>
  <c r="Y179" i="4"/>
  <c r="R179" i="4"/>
  <c r="Q179" i="4"/>
  <c r="O179" i="4"/>
  <c r="J179" i="4"/>
  <c r="AB179" i="4" l="1"/>
  <c r="AC179" i="4"/>
  <c r="C180" i="4"/>
  <c r="S179" i="4"/>
  <c r="D180" i="4" l="1"/>
  <c r="V180" i="4" s="1"/>
  <c r="W180" i="4" s="1"/>
  <c r="I180" i="4"/>
  <c r="P180" i="4"/>
  <c r="Z180" i="4" l="1"/>
  <c r="X180" i="4"/>
  <c r="Y180" i="4"/>
  <c r="AA180" i="4"/>
  <c r="O180" i="4"/>
  <c r="J180" i="4"/>
  <c r="Q180" i="4"/>
  <c r="R180" i="4"/>
  <c r="AC180" i="4" l="1"/>
  <c r="AB180" i="4"/>
  <c r="S180" i="4"/>
  <c r="C181" i="4"/>
  <c r="I181" i="4" l="1"/>
  <c r="P181" i="4"/>
  <c r="D181" i="4"/>
  <c r="V181" i="4" s="1"/>
  <c r="W181" i="4" s="1"/>
  <c r="AA181" i="4" l="1"/>
  <c r="X181" i="4"/>
  <c r="Z181" i="4"/>
  <c r="Y181" i="4"/>
  <c r="R181" i="4"/>
  <c r="J181" i="4"/>
  <c r="Q181" i="4"/>
  <c r="O181" i="4"/>
  <c r="AC181" i="4" l="1"/>
  <c r="AB181" i="4"/>
  <c r="C182" i="4"/>
  <c r="S181" i="4"/>
  <c r="I182" i="4" l="1"/>
  <c r="P182" i="4"/>
  <c r="D182" i="4"/>
  <c r="V182" i="4" s="1"/>
  <c r="W182" i="4" s="1"/>
  <c r="Y182" i="4" l="1"/>
  <c r="AA182" i="4"/>
  <c r="X182" i="4"/>
  <c r="Z182" i="4" s="1"/>
  <c r="R182" i="4"/>
  <c r="Q182" i="4"/>
  <c r="O182" i="4"/>
  <c r="J182" i="4"/>
  <c r="AB182" i="4" l="1"/>
  <c r="AC182" i="4"/>
  <c r="C183" i="4"/>
  <c r="S182" i="4"/>
  <c r="P183" i="4" l="1"/>
  <c r="I183" i="4"/>
  <c r="D183" i="4"/>
  <c r="V183" i="4" s="1"/>
  <c r="W183" i="4" s="1"/>
  <c r="Y183" i="4" l="1"/>
  <c r="Z183" i="4"/>
  <c r="X183" i="4"/>
  <c r="AA183" i="4"/>
  <c r="R183" i="4"/>
  <c r="Q183" i="4"/>
  <c r="J183" i="4"/>
  <c r="O183" i="4"/>
  <c r="AC183" i="4" l="1"/>
  <c r="AB183" i="4"/>
  <c r="C184" i="4"/>
  <c r="S183" i="4"/>
  <c r="P184" i="4" l="1"/>
  <c r="I184" i="4"/>
  <c r="D184" i="4"/>
  <c r="V184" i="4" s="1"/>
  <c r="W184" i="4" s="1"/>
  <c r="Y184" i="4" l="1"/>
  <c r="AA184" i="4"/>
  <c r="Z184" i="4"/>
  <c r="X184" i="4"/>
  <c r="R184" i="4"/>
  <c r="O184" i="4"/>
  <c r="J184" i="4"/>
  <c r="Q184" i="4"/>
  <c r="AB184" i="4" l="1"/>
  <c r="AC184" i="4"/>
  <c r="C185" i="4"/>
  <c r="S184" i="4"/>
  <c r="I185" i="4" l="1"/>
  <c r="P185" i="4"/>
  <c r="D185" i="4"/>
  <c r="V185" i="4" s="1"/>
  <c r="W185" i="4" s="1"/>
  <c r="Z185" i="4" l="1"/>
  <c r="X185" i="4"/>
  <c r="AA185" i="4"/>
  <c r="Y185" i="4"/>
  <c r="R185" i="4"/>
  <c r="J185" i="4"/>
  <c r="Q185" i="4"/>
  <c r="O185" i="4"/>
  <c r="AC185" i="4" l="1"/>
  <c r="AB185" i="4"/>
  <c r="C186" i="4"/>
  <c r="S185" i="4"/>
  <c r="P186" i="4" l="1"/>
  <c r="I186" i="4"/>
  <c r="D186" i="4"/>
  <c r="V186" i="4" s="1"/>
  <c r="W186" i="4" s="1"/>
  <c r="X186" i="4" l="1"/>
  <c r="Y186" i="4"/>
  <c r="Z186" i="4"/>
  <c r="AA186" i="4"/>
  <c r="R186" i="4"/>
  <c r="O186" i="4"/>
  <c r="J186" i="4"/>
  <c r="Q186" i="4"/>
  <c r="AB186" i="4" l="1"/>
  <c r="AC186" i="4"/>
  <c r="C187" i="4"/>
  <c r="S186" i="4"/>
  <c r="P187" i="4" l="1"/>
  <c r="I187" i="4"/>
  <c r="D187" i="4"/>
  <c r="V187" i="4" s="1"/>
  <c r="W187" i="4" s="1"/>
  <c r="X187" i="4" l="1"/>
  <c r="AA187" i="4"/>
  <c r="Z187" i="4"/>
  <c r="Y187" i="4"/>
  <c r="R187" i="4"/>
  <c r="Q187" i="4"/>
  <c r="O187" i="4"/>
  <c r="J187" i="4"/>
  <c r="AC187" i="4" l="1"/>
  <c r="AB187" i="4"/>
  <c r="C188" i="4"/>
  <c r="S187" i="4"/>
  <c r="I188" i="4" l="1"/>
  <c r="P188" i="4"/>
  <c r="D188" i="4"/>
  <c r="V188" i="4" s="1"/>
  <c r="W188" i="4" s="1"/>
  <c r="X188" i="4" l="1"/>
  <c r="Z188" i="4"/>
  <c r="Y188" i="4"/>
  <c r="AA188" i="4"/>
  <c r="R188" i="4"/>
  <c r="J188" i="4"/>
  <c r="O188" i="4"/>
  <c r="Q188" i="4"/>
  <c r="AB188" i="4" l="1"/>
  <c r="AC188" i="4"/>
  <c r="C189" i="4"/>
  <c r="S188" i="4"/>
  <c r="D189" i="4" l="1"/>
  <c r="V189" i="4" s="1"/>
  <c r="W189" i="4" s="1"/>
  <c r="P189" i="4"/>
  <c r="I189" i="4"/>
  <c r="Y189" i="4" l="1"/>
  <c r="X189" i="4"/>
  <c r="Z189" i="4" s="1"/>
  <c r="AA189" i="4"/>
  <c r="J189" i="4"/>
  <c r="O189" i="4"/>
  <c r="Q189" i="4"/>
  <c r="R189" i="4"/>
  <c r="AC189" i="4" l="1"/>
  <c r="AB189" i="4"/>
  <c r="S189" i="4"/>
  <c r="C190" i="4"/>
  <c r="D190" i="4" l="1"/>
  <c r="V190" i="4" s="1"/>
  <c r="W190" i="4" s="1"/>
  <c r="I190" i="4"/>
  <c r="P190" i="4"/>
  <c r="X190" i="4" l="1"/>
  <c r="Z190" i="4"/>
  <c r="Y190" i="4"/>
  <c r="AA190" i="4"/>
  <c r="O190" i="4"/>
  <c r="J190" i="4"/>
  <c r="Q190" i="4"/>
  <c r="R190" i="4"/>
  <c r="AC190" i="4" l="1"/>
  <c r="AB190" i="4"/>
  <c r="S190" i="4"/>
  <c r="C191" i="4"/>
  <c r="D191" i="4" l="1"/>
  <c r="V191" i="4" s="1"/>
  <c r="W191" i="4" s="1"/>
  <c r="P191" i="4"/>
  <c r="I191" i="4"/>
  <c r="Y191" i="4" l="1"/>
  <c r="AA191" i="4"/>
  <c r="X191" i="4"/>
  <c r="Z191" i="4"/>
  <c r="Q191" i="4"/>
  <c r="J191" i="4"/>
  <c r="O191" i="4"/>
  <c r="R191" i="4"/>
  <c r="AB191" i="4" l="1"/>
  <c r="AC191" i="4"/>
  <c r="S191" i="4"/>
  <c r="C192" i="4"/>
  <c r="D192" i="4" l="1"/>
  <c r="V192" i="4" s="1"/>
  <c r="W192" i="4" s="1"/>
  <c r="P192" i="4"/>
  <c r="I192" i="4"/>
  <c r="Z192" i="4" l="1"/>
  <c r="X192" i="4"/>
  <c r="AA192" i="4"/>
  <c r="Y192" i="4"/>
  <c r="J192" i="4"/>
  <c r="Q192" i="4"/>
  <c r="O192" i="4"/>
  <c r="R192" i="4"/>
  <c r="AC192" i="4" l="1"/>
  <c r="AB192" i="4"/>
  <c r="S192" i="4"/>
  <c r="C193" i="4"/>
  <c r="I193" i="4" l="1"/>
  <c r="P193" i="4"/>
  <c r="D193" i="4"/>
  <c r="V193" i="4" s="1"/>
  <c r="W193" i="4" s="1"/>
  <c r="Y193" i="4" l="1"/>
  <c r="Z193" i="4"/>
  <c r="X193" i="4"/>
  <c r="AA193" i="4"/>
  <c r="R193" i="4"/>
  <c r="J193" i="4"/>
  <c r="Q193" i="4"/>
  <c r="O193" i="4"/>
  <c r="AC193" i="4" l="1"/>
  <c r="AB193" i="4"/>
  <c r="C194" i="4"/>
  <c r="S193" i="4"/>
  <c r="P194" i="4" l="1"/>
  <c r="I194" i="4"/>
  <c r="D194" i="4"/>
  <c r="V194" i="4" s="1"/>
  <c r="W194" i="4" s="1"/>
  <c r="Z194" i="4" l="1"/>
  <c r="Y194" i="4"/>
  <c r="AA194" i="4"/>
  <c r="X194" i="4"/>
  <c r="R194" i="4"/>
  <c r="J194" i="4"/>
  <c r="Q194" i="4"/>
  <c r="O194" i="4"/>
  <c r="AC194" i="4" l="1"/>
  <c r="AB194" i="4"/>
  <c r="C195" i="4"/>
  <c r="S194" i="4"/>
  <c r="P195" i="4" l="1"/>
  <c r="I195" i="4"/>
  <c r="D195" i="4"/>
  <c r="V195" i="4" s="1"/>
  <c r="W195" i="4" s="1"/>
  <c r="AA195" i="4" l="1"/>
  <c r="X195" i="4"/>
  <c r="Y195" i="4"/>
  <c r="Z195" i="4"/>
  <c r="R195" i="4"/>
  <c r="O195" i="4"/>
  <c r="J195" i="4"/>
  <c r="Q195" i="4"/>
  <c r="AB195" i="4" l="1"/>
  <c r="AC195" i="4"/>
  <c r="C196" i="4"/>
  <c r="S195" i="4"/>
  <c r="I196" i="4" l="1"/>
  <c r="P196" i="4"/>
  <c r="D196" i="4"/>
  <c r="V196" i="4" s="1"/>
  <c r="W196" i="4" s="1"/>
  <c r="Z196" i="4" l="1"/>
  <c r="X196" i="4"/>
  <c r="Y196" i="4"/>
  <c r="AA196" i="4"/>
  <c r="R196" i="4"/>
  <c r="O196" i="4"/>
  <c r="J196" i="4"/>
  <c r="Q196" i="4"/>
  <c r="AB196" i="4" l="1"/>
  <c r="AC196" i="4"/>
  <c r="C197" i="4"/>
  <c r="S196" i="4"/>
  <c r="P197" i="4" l="1"/>
  <c r="I197" i="4"/>
  <c r="D197" i="4"/>
  <c r="V197" i="4" s="1"/>
  <c r="W197" i="4" s="1"/>
  <c r="X197" i="4" l="1"/>
  <c r="Y197" i="4"/>
  <c r="AA197" i="4"/>
  <c r="Z197" i="4"/>
  <c r="AB197" i="4" s="1"/>
  <c r="R197" i="4"/>
  <c r="O197" i="4"/>
  <c r="Q197" i="4"/>
  <c r="J197" i="4"/>
  <c r="AG20" i="4" l="1"/>
  <c r="AF22" i="4"/>
  <c r="AI22" i="4" s="1"/>
  <c r="AF21" i="4"/>
  <c r="AI21" i="4" s="1"/>
  <c r="AG21" i="4"/>
  <c r="AF20" i="4"/>
  <c r="AI20" i="4" s="1"/>
  <c r="AG22" i="4"/>
  <c r="AH21" i="4"/>
  <c r="AH20" i="4"/>
  <c r="AH22" i="4"/>
  <c r="AG27" i="4"/>
  <c r="AF27" i="4"/>
  <c r="AG26" i="4"/>
  <c r="AF24" i="4"/>
  <c r="AF23" i="4"/>
  <c r="AF26" i="4"/>
  <c r="AG25" i="4"/>
  <c r="AG24" i="4"/>
  <c r="AF25" i="4"/>
  <c r="AG23" i="4"/>
  <c r="S197" i="4"/>
  <c r="AI24" i="4" l="1"/>
  <c r="AH24" i="4"/>
  <c r="AI26" i="4"/>
  <c r="AH26" i="4"/>
  <c r="AI27" i="4"/>
  <c r="AH27" i="4"/>
  <c r="AI23" i="4"/>
  <c r="AH23" i="4"/>
  <c r="AI25" i="4"/>
  <c r="AH2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<sst xmlns="http://schemas.openxmlformats.org/spreadsheetml/2006/main" count="72" uniqueCount="51">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</sst>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V44">
            <v>47.60807218155</v>
          </cell>
        </row>
        <row r="45">
          <cell r="A45">
            <v>46237</v>
          </cell>
          <cell r="B45">
            <v>227.23</v>
          </cell>
          <cell r="C45">
            <v>227.23</v>
          </cell>
          <cell r="D45">
            <v>368.32062614927997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L45">
            <v>50.629029113108096</v>
          </cell>
          <cell r="M45">
            <v>53</v>
          </cell>
          <cell r="N45">
            <v>483.42902911310813</v>
          </cell>
          <cell r="O45">
            <v>2.3631580393698188</v>
          </cell>
          <cell r="P45">
            <v>370.68378418864978</v>
          </cell>
          <cell r="Q45">
            <v>227.46299999999999</v>
          </cell>
          <cell r="R45">
            <v>251.85</v>
          </cell>
          <cell r="S45">
            <v>2.0929388252833997E-3</v>
          </cell>
          <cell r="V45">
            <v>41.040601794750003</v>
          </cell>
        </row>
        <row r="46">
          <cell r="A46">
            <v>46238</v>
          </cell>
          <cell r="B46">
            <v>227.34</v>
          </cell>
          <cell r="C46">
            <v>227.34</v>
          </cell>
          <cell r="D46">
            <v>369.43230246624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L46">
            <v>47.740217771326094</v>
          </cell>
          <cell r="M46">
            <v>53</v>
          </cell>
          <cell r="N46">
            <v>480.54021777132613</v>
          </cell>
          <cell r="O46">
            <v>2.0118494801041558</v>
          </cell>
          <cell r="P46">
            <v>371.44415194634416</v>
          </cell>
          <cell r="Q46">
            <v>227.53899999999999</v>
          </cell>
          <cell r="R46">
            <v>251.85</v>
          </cell>
          <cell r="S46">
            <v>2.0929388252833997E-3</v>
          </cell>
          <cell r="V46">
            <v>36.892721289900003</v>
          </cell>
        </row>
        <row r="47">
          <cell r="A47">
            <v>46239</v>
          </cell>
          <cell r="B47">
            <v>228.11</v>
          </cell>
          <cell r="C47">
            <v>228.11</v>
          </cell>
          <cell r="D47">
            <v>377.21403668495998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L47">
            <v>67.985305903055988</v>
          </cell>
          <cell r="M47">
            <v>53</v>
          </cell>
          <cell r="N47">
            <v>500.78530590305598</v>
          </cell>
          <cell r="O47">
            <v>1.803039278394615</v>
          </cell>
          <cell r="P47">
            <v>379.01707596335461</v>
          </cell>
          <cell r="Q47">
            <v>228.28800000000001</v>
          </cell>
          <cell r="R47">
            <v>251.85</v>
          </cell>
          <cell r="S47">
            <v>2.0929388252833997E-3</v>
          </cell>
          <cell r="V47">
            <v>35.049209404350002</v>
          </cell>
        </row>
        <row r="48">
          <cell r="A48">
            <v>46240</v>
          </cell>
          <cell r="B48">
            <v>228.67</v>
          </cell>
          <cell r="C48">
            <v>228.67</v>
          </cell>
          <cell r="D48">
            <v>382.87347975312002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L48">
            <v>62.37067522469556</v>
          </cell>
          <cell r="M48">
            <v>53</v>
          </cell>
          <cell r="N48">
            <v>495.17067522469557</v>
          </cell>
          <cell r="O48">
            <v>1.6475440752976902</v>
          </cell>
          <cell r="P48">
            <v>384.5210238284177</v>
          </cell>
          <cell r="Q48">
            <v>228.833</v>
          </cell>
          <cell r="R48">
            <v>251.85</v>
          </cell>
          <cell r="S48">
            <v>2.0929388252833997E-3</v>
          </cell>
          <cell r="V48">
            <v>33.090504572999997</v>
          </cell>
        </row>
        <row r="49">
          <cell r="A49">
            <v>46241</v>
          </cell>
          <cell r="B49">
            <v>228.85</v>
          </cell>
          <cell r="C49">
            <v>228.85</v>
          </cell>
          <cell r="D49">
            <v>384.69258645359997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0</v>
          </cell>
          <cell r="J49" t="str">
            <v>0</v>
          </cell>
          <cell r="L49">
            <v>51.222417892418939</v>
          </cell>
          <cell r="M49">
            <v>53</v>
          </cell>
          <cell r="N49">
            <v>484.02241789241896</v>
          </cell>
          <cell r="O49">
            <v>1.5354501375476692</v>
          </cell>
          <cell r="P49">
            <v>386.22803659114766</v>
          </cell>
          <cell r="Q49">
            <v>229.001</v>
          </cell>
          <cell r="R49">
            <v>251.85</v>
          </cell>
          <cell r="S49">
            <v>2.0929388252833997E-3</v>
          </cell>
          <cell r="V49">
            <v>31.477435212750002</v>
          </cell>
        </row>
        <row r="50">
          <cell r="A50">
            <v>46242</v>
          </cell>
          <cell r="B50">
            <v>228.97</v>
          </cell>
          <cell r="C50">
            <v>228.97</v>
          </cell>
          <cell r="D50">
            <v>385.90532425392001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0</v>
          </cell>
          <cell r="J50" t="str">
            <v>0</v>
          </cell>
          <cell r="L50">
            <v>69.333238058036116</v>
          </cell>
          <cell r="M50">
            <v>53</v>
          </cell>
          <cell r="N50">
            <v>502.13323805803611</v>
          </cell>
          <cell r="O50">
            <v>1.9303443468539889</v>
          </cell>
          <cell r="P50">
            <v>387.835668600774</v>
          </cell>
          <cell r="Q50">
            <v>229.161</v>
          </cell>
          <cell r="R50">
            <v>251.85</v>
          </cell>
          <cell r="S50">
            <v>2.0929388252833997E-3</v>
          </cell>
          <cell r="V50">
            <v>36.560819491050005</v>
          </cell>
        </row>
        <row r="51">
          <cell r="A51">
            <v>46243</v>
          </cell>
          <cell r="B51">
            <v>229.15</v>
          </cell>
          <cell r="C51">
            <v>229.15</v>
          </cell>
          <cell r="D51">
            <v>387.72443095440002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0</v>
          </cell>
          <cell r="J51" t="str">
            <v>0</v>
          </cell>
          <cell r="L51">
            <v>56.730415147329218</v>
          </cell>
          <cell r="M51">
            <v>53</v>
          </cell>
          <cell r="N51">
            <v>489.53041514732922</v>
          </cell>
          <cell r="O51">
            <v>4.379247016250928</v>
          </cell>
          <cell r="P51">
            <v>392.10367797065095</v>
          </cell>
          <cell r="Q51">
            <v>229.583</v>
          </cell>
          <cell r="R51">
            <v>251.85</v>
          </cell>
          <cell r="S51">
            <v>2.0929388252833997E-3</v>
          </cell>
          <cell r="V51">
            <v>64.547778188550012</v>
          </cell>
        </row>
        <row r="52">
          <cell r="A52">
            <v>46244</v>
          </cell>
          <cell r="B52">
            <v>229.26</v>
          </cell>
          <cell r="C52">
            <v>229.26</v>
          </cell>
          <cell r="D52">
            <v>388.83610727135999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0</v>
          </cell>
          <cell r="J52" t="str">
            <v>0</v>
          </cell>
          <cell r="L52">
            <v>50.227811126182772</v>
          </cell>
          <cell r="M52">
            <v>53</v>
          </cell>
          <cell r="N52">
            <v>483.02781112618277</v>
          </cell>
          <cell r="O52">
            <v>8.5678205279877027</v>
          </cell>
          <cell r="P52">
            <v>397.40392779934768</v>
          </cell>
          <cell r="Q52">
            <v>230.09800000000001</v>
          </cell>
          <cell r="R52">
            <v>251.85</v>
          </cell>
          <cell r="S52">
            <v>2.0929388252833997E-3</v>
          </cell>
          <cell r="V52">
            <v>112.8425906163</v>
          </cell>
        </row>
        <row r="53">
          <cell r="A53">
            <v>46245</v>
          </cell>
          <cell r="B53">
            <v>229.35</v>
          </cell>
          <cell r="C53">
            <v>229.35</v>
          </cell>
          <cell r="D53">
            <v>389.7456606216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0</v>
          </cell>
          <cell r="J53" t="str">
            <v>0</v>
          </cell>
          <cell r="L53">
            <v>52.749343613177402</v>
          </cell>
          <cell r="M53">
            <v>53</v>
          </cell>
          <cell r="N53">
            <v>485.54934361317743</v>
          </cell>
          <cell r="O53">
            <v>3.8004006024899466</v>
          </cell>
          <cell r="P53">
            <v>393.54606122408995</v>
          </cell>
          <cell r="Q53">
            <v>229.726</v>
          </cell>
          <cell r="R53">
            <v>251.85</v>
          </cell>
          <cell r="S53">
            <v>2.0929388252833997E-3</v>
          </cell>
          <cell r="V53">
            <v>57.73542368295</v>
          </cell>
        </row>
        <row r="54">
          <cell r="A54">
            <v>46246</v>
          </cell>
          <cell r="B54">
            <v>229.45</v>
          </cell>
          <cell r="C54">
            <v>229.45</v>
          </cell>
          <cell r="D54">
            <v>390.75627545520001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0</v>
          </cell>
          <cell r="J54" t="str">
            <v>0</v>
          </cell>
          <cell r="L54">
            <v>63.326146977344905</v>
          </cell>
          <cell r="M54">
            <v>53</v>
          </cell>
          <cell r="N54">
            <v>496.12614697734489</v>
          </cell>
          <cell r="O54">
            <v>2.8180683662922936</v>
          </cell>
          <cell r="P54">
            <v>393.57434382149228</v>
          </cell>
          <cell r="Q54">
            <v>229.72800000000001</v>
          </cell>
          <cell r="R54">
            <v>251.85</v>
          </cell>
          <cell r="S54">
            <v>2.0929388252833997E-3</v>
          </cell>
          <cell r="V54">
            <v>46.665319294500001</v>
          </cell>
        </row>
        <row r="55">
          <cell r="A55">
            <v>46247</v>
          </cell>
          <cell r="B55">
            <v>229.51</v>
          </cell>
          <cell r="C55">
            <v>229.51</v>
          </cell>
          <cell r="D55">
            <v>391.36264435535998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0</v>
          </cell>
          <cell r="J55" t="str">
            <v>0</v>
          </cell>
          <cell r="L55">
            <v>84.522129387860673</v>
          </cell>
          <cell r="M55">
            <v>53</v>
          </cell>
          <cell r="N55">
            <v>517.32212938786074</v>
          </cell>
          <cell r="O55">
            <v>3.638582439703185</v>
          </cell>
          <cell r="P55">
            <v>395.00122679506313</v>
          </cell>
          <cell r="Q55">
            <v>229.87</v>
          </cell>
          <cell r="R55">
            <v>251.85</v>
          </cell>
          <cell r="S55">
            <v>2.0929388252833997E-3</v>
          </cell>
          <cell r="V55">
            <v>56.762230182149999</v>
          </cell>
        </row>
        <row r="56">
          <cell r="A56">
            <v>46248</v>
          </cell>
          <cell r="B56">
            <v>229.58</v>
          </cell>
          <cell r="C56">
            <v>229.58</v>
          </cell>
          <cell r="D56">
            <v>392.07007473888001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0</v>
          </cell>
          <cell r="J56" t="str">
            <v>0</v>
          </cell>
          <cell r="L56">
            <v>80.655761061266162</v>
          </cell>
          <cell r="M56">
            <v>53</v>
          </cell>
          <cell r="N56">
            <v>513.45576106126623</v>
          </cell>
          <cell r="O56">
            <v>2.3552513760251812</v>
          </cell>
          <cell r="P56">
            <v>394.4253261149052</v>
          </cell>
          <cell r="Q56">
            <v>229.81299999999999</v>
          </cell>
          <cell r="R56">
            <v>251.85</v>
          </cell>
          <cell r="S56">
            <v>2.0929388252833997E-3</v>
          </cell>
          <cell r="V56">
            <v>41.799351790500005</v>
          </cell>
        </row>
        <row r="57">
          <cell r="A57">
            <v>46249</v>
          </cell>
          <cell r="B57">
            <v>229.67</v>
          </cell>
          <cell r="C57">
            <v>229.67</v>
          </cell>
          <cell r="D57">
            <v>392.97962808912001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0</v>
          </cell>
          <cell r="J57" t="str">
            <v>0</v>
          </cell>
          <cell r="L57">
            <v>70.936071513566844</v>
          </cell>
          <cell r="M57">
            <v>53</v>
          </cell>
          <cell r="N57">
            <v>503.73607151356686</v>
          </cell>
          <cell r="O57">
            <v>2.5770470041985436</v>
          </cell>
          <cell r="P57">
            <v>395.55667509331857</v>
          </cell>
          <cell r="Q57">
            <v>229.92400000000001</v>
          </cell>
          <cell r="R57">
            <v>251.85</v>
          </cell>
          <cell r="S57">
            <v>2.0929388252833997E-3</v>
          </cell>
          <cell r="V57">
            <v>44.091204362100001</v>
          </cell>
        </row>
        <row r="58">
          <cell r="A58">
            <v>46250</v>
          </cell>
          <cell r="B58">
            <v>229.9</v>
          </cell>
          <cell r="C58">
            <v>229.9</v>
          </cell>
          <cell r="D58">
            <v>395.30404220640003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0</v>
          </cell>
          <cell r="J58" t="str">
            <v>0</v>
          </cell>
          <cell r="L58">
            <v>76.84173866406077</v>
          </cell>
          <cell r="M58">
            <v>53</v>
          </cell>
          <cell r="N58">
            <v>509.64173866406077</v>
          </cell>
          <cell r="O58">
            <v>2.0338012919517858</v>
          </cell>
          <cell r="P58">
            <v>397.33784349835179</v>
          </cell>
          <cell r="Q58">
            <v>230.09200000000001</v>
          </cell>
          <cell r="R58">
            <v>251.85</v>
          </cell>
          <cell r="S58">
            <v>2.0929388252833997E-3</v>
          </cell>
          <cell r="V58">
            <v>37.970857036800005</v>
          </cell>
        </row>
        <row r="59">
          <cell r="A59">
            <v>46251</v>
          </cell>
          <cell r="B59">
            <v>230.11</v>
          </cell>
          <cell r="C59">
            <v>230.11</v>
          </cell>
          <cell r="D59">
            <v>397.53289862807998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0</v>
          </cell>
          <cell r="J59" t="str">
            <v>0</v>
          </cell>
          <cell r="L59">
            <v>59.532316028021171</v>
          </cell>
          <cell r="M59">
            <v>53</v>
          </cell>
          <cell r="N59">
            <v>492.33231602802118</v>
          </cell>
          <cell r="O59">
            <v>3.2679141649370838</v>
          </cell>
          <cell r="P59">
            <v>400.80081279301709</v>
          </cell>
          <cell r="Q59">
            <v>230.405</v>
          </cell>
          <cell r="R59">
            <v>251.85</v>
          </cell>
          <cell r="S59">
            <v>2.0929388252833997E-3</v>
          </cell>
          <cell r="V59">
            <v>51.764447741400005</v>
          </cell>
        </row>
        <row r="60">
          <cell r="A60">
            <v>46252</v>
          </cell>
          <cell r="B60">
            <v>230.23</v>
          </cell>
          <cell r="C60">
            <v>230.23</v>
          </cell>
          <cell r="D60">
            <v>398.86188945143999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0</v>
          </cell>
          <cell r="J60" t="str">
            <v>0</v>
          </cell>
          <cell r="L60">
            <v>33.815692965045905</v>
          </cell>
          <cell r="M60">
            <v>53</v>
          </cell>
          <cell r="N60">
            <v>466.61569296504592</v>
          </cell>
          <cell r="O60">
            <v>8.3274158063791326</v>
          </cell>
          <cell r="P60">
            <v>407.18930525781911</v>
          </cell>
          <cell r="Q60">
            <v>230.98099999999999</v>
          </cell>
          <cell r="R60">
            <v>251.85</v>
          </cell>
          <cell r="S60">
            <v>2.0929388252833997E-3</v>
          </cell>
          <cell r="V60">
            <v>109.59538415940001</v>
          </cell>
        </row>
        <row r="61">
          <cell r="A61">
            <v>46253</v>
          </cell>
          <cell r="B61">
            <v>230.33</v>
          </cell>
          <cell r="C61">
            <v>230.33</v>
          </cell>
          <cell r="D61">
            <v>399.96938180424002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0</v>
          </cell>
          <cell r="J61" t="str">
            <v>0</v>
          </cell>
          <cell r="L61">
            <v>66.934645447013736</v>
          </cell>
          <cell r="M61">
            <v>53</v>
          </cell>
          <cell r="N61">
            <v>499.73464544701375</v>
          </cell>
          <cell r="O61">
            <v>2.6759922920126789</v>
          </cell>
          <cell r="P61">
            <v>402.64537409625268</v>
          </cell>
          <cell r="Q61">
            <v>230.571</v>
          </cell>
          <cell r="R61">
            <v>251.85</v>
          </cell>
          <cell r="S61">
            <v>2.0929388252833997E-3</v>
          </cell>
          <cell r="V61">
            <v>45.123098692950002</v>
          </cell>
        </row>
        <row r="62">
          <cell r="A62">
            <v>46254</v>
          </cell>
          <cell r="B62">
            <v>230.44</v>
          </cell>
          <cell r="C62">
            <v>230.44</v>
          </cell>
          <cell r="D62">
            <v>401.18762339232001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0</v>
          </cell>
          <cell r="J62" t="str">
            <v>0</v>
          </cell>
          <cell r="L62">
            <v>92.536416301830059</v>
          </cell>
          <cell r="M62">
            <v>53</v>
          </cell>
          <cell r="N62">
            <v>525.33641630183001</v>
          </cell>
          <cell r="O62">
            <v>1.9247804071313186</v>
          </cell>
          <cell r="P62">
            <v>403.11240379945133</v>
          </cell>
          <cell r="Q62">
            <v>230.613</v>
          </cell>
          <cell r="R62">
            <v>251.85</v>
          </cell>
          <cell r="S62">
            <v>2.0929388252833997E-3</v>
          </cell>
          <cell r="V62">
            <v>37.153462844700002</v>
          </cell>
        </row>
        <row r="63">
          <cell r="A63">
            <v>46255</v>
          </cell>
          <cell r="B63">
            <v>230.58</v>
          </cell>
          <cell r="C63">
            <v>230.58</v>
          </cell>
          <cell r="D63">
            <v>402.73811268624002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300</v>
          </cell>
          <cell r="J63" t="str">
            <v>0</v>
          </cell>
          <cell r="L63">
            <v>80.795818918825859</v>
          </cell>
          <cell r="M63">
            <v>53</v>
          </cell>
          <cell r="N63">
            <v>813.59581891882578</v>
          </cell>
          <cell r="O63">
            <v>0.92821255171540362</v>
          </cell>
          <cell r="P63">
            <v>403.66632523795539</v>
          </cell>
          <cell r="Q63">
            <v>230.66300000000001</v>
          </cell>
          <cell r="R63">
            <v>251.85</v>
          </cell>
          <cell r="S63">
            <v>1.3918762945303399E-2</v>
          </cell>
          <cell r="V63">
            <v>33.781690564649999</v>
          </cell>
        </row>
        <row r="64">
          <cell r="A64">
            <v>46256</v>
          </cell>
          <cell r="B64">
            <v>230.79</v>
          </cell>
          <cell r="C64">
            <v>230.79</v>
          </cell>
          <cell r="D64">
            <v>405.06384662711997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300</v>
          </cell>
          <cell r="J64" t="str">
            <v>0</v>
          </cell>
          <cell r="L64">
            <v>83.289565114817066</v>
          </cell>
          <cell r="M64">
            <v>53</v>
          </cell>
          <cell r="N64">
            <v>816.08956511481699</v>
          </cell>
          <cell r="O64">
            <v>2.1809899057671434</v>
          </cell>
          <cell r="P64">
            <v>407.24483653288712</v>
          </cell>
          <cell r="Q64">
            <v>230.98599999999999</v>
          </cell>
          <cell r="R64">
            <v>251.85</v>
          </cell>
          <cell r="S64">
            <v>1.3918762945303399E-2</v>
          </cell>
          <cell r="V64">
            <v>48.352069098450002</v>
          </cell>
        </row>
        <row r="65">
          <cell r="A65">
            <v>46257</v>
          </cell>
          <cell r="B65">
            <v>231.52</v>
          </cell>
          <cell r="C65">
            <v>231.52</v>
          </cell>
          <cell r="D65">
            <v>413.14854080255998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300</v>
          </cell>
          <cell r="J65" t="str">
            <v>0</v>
          </cell>
          <cell r="L65">
            <v>74.9943809413368</v>
          </cell>
          <cell r="M65">
            <v>53</v>
          </cell>
          <cell r="N65">
            <v>807.79438094133673</v>
          </cell>
          <cell r="O65">
            <v>1.2354614144548146</v>
          </cell>
          <cell r="P65">
            <v>414.38400221701477</v>
          </cell>
          <cell r="Q65">
            <v>231.631</v>
          </cell>
          <cell r="R65">
            <v>251.85</v>
          </cell>
          <cell r="S65">
            <v>1.3918762945303399E-2</v>
          </cell>
          <cell r="V65">
            <v>37.173539491349999</v>
          </cell>
        </row>
        <row r="66">
          <cell r="A66">
            <v>46258</v>
          </cell>
          <cell r="B66">
            <v>231.75</v>
          </cell>
          <cell r="C66">
            <v>231.75</v>
          </cell>
          <cell r="D66">
            <v>415.69577321399998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300</v>
          </cell>
          <cell r="J66" t="str">
            <v>0</v>
          </cell>
          <cell r="L66">
            <v>67.072446896029362</v>
          </cell>
          <cell r="M66">
            <v>53</v>
          </cell>
          <cell r="N66">
            <v>799.87244689602926</v>
          </cell>
          <cell r="O66">
            <v>0.86053884708106243</v>
          </cell>
          <cell r="P66">
            <v>416.55631206108103</v>
          </cell>
          <cell r="Q66">
            <v>231.827</v>
          </cell>
          <cell r="R66">
            <v>251.85</v>
          </cell>
          <cell r="S66">
            <v>1.3918762945303399E-2</v>
          </cell>
          <cell r="V66">
            <v>32.609826044249999</v>
          </cell>
        </row>
        <row r="67">
          <cell r="A67">
            <v>46259</v>
          </cell>
          <cell r="B67">
            <v>231.88</v>
          </cell>
          <cell r="C67">
            <v>231.88</v>
          </cell>
          <cell r="D67">
            <v>417.13551327264003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300</v>
          </cell>
          <cell r="J67" t="str">
            <v>0</v>
          </cell>
          <cell r="L67">
            <v>52.969120209127361</v>
          </cell>
          <cell r="M67">
            <v>53</v>
          </cell>
          <cell r="N67">
            <v>785.76912020912732</v>
          </cell>
          <cell r="O67">
            <v>0.87184769990937272</v>
          </cell>
          <cell r="P67">
            <v>418.00736097254941</v>
          </cell>
          <cell r="Q67">
            <v>231.958</v>
          </cell>
          <cell r="R67">
            <v>251.85</v>
          </cell>
          <cell r="S67">
            <v>1.3918762945303399E-2</v>
          </cell>
          <cell r="V67">
            <v>32.341353989400005</v>
          </cell>
        </row>
        <row r="68">
          <cell r="A68">
            <v>46260</v>
          </cell>
          <cell r="B68">
            <v>232.04</v>
          </cell>
          <cell r="C68">
            <v>232.04</v>
          </cell>
          <cell r="D68">
            <v>418.90750103712003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300</v>
          </cell>
          <cell r="J68" t="str">
            <v>0</v>
          </cell>
          <cell r="L68">
            <v>21.770624093398997</v>
          </cell>
          <cell r="M68">
            <v>53</v>
          </cell>
          <cell r="N68">
            <v>754.57062409339892</v>
          </cell>
          <cell r="O68">
            <v>6.769982369819985</v>
          </cell>
          <cell r="P68">
            <v>425.67748340694004</v>
          </cell>
          <cell r="Q68">
            <v>232.65100000000001</v>
          </cell>
          <cell r="R68">
            <v>251.85</v>
          </cell>
          <cell r="S68">
            <v>1.3918762945303399E-2</v>
          </cell>
          <cell r="V68">
            <v>99.723478961850006</v>
          </cell>
        </row>
        <row r="69">
          <cell r="A69">
            <v>46261</v>
          </cell>
          <cell r="B69">
            <v>232.27</v>
          </cell>
          <cell r="C69">
            <v>232.27</v>
          </cell>
          <cell r="D69">
            <v>421.45473344855998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300</v>
          </cell>
          <cell r="J69" t="str">
            <v>0</v>
          </cell>
          <cell r="L69">
            <v>18.140678006867088</v>
          </cell>
          <cell r="M69">
            <v>53</v>
          </cell>
          <cell r="N69">
            <v>750.94067800686707</v>
          </cell>
          <cell r="O69">
            <v>1.9776134788256288</v>
          </cell>
          <cell r="P69">
            <v>423.43234692738559</v>
          </cell>
          <cell r="Q69">
            <v>232.44800000000001</v>
          </cell>
          <cell r="R69">
            <v>251.85</v>
          </cell>
          <cell r="S69">
            <v>1.3918762945303399E-2</v>
          </cell>
          <cell r="V69">
            <v>44.153359847849998</v>
          </cell>
        </row>
        <row r="70">
          <cell r="A70">
            <v>46262</v>
          </cell>
          <cell r="B70">
            <v>232.97</v>
          </cell>
          <cell r="C70">
            <v>232.97</v>
          </cell>
          <cell r="D70">
            <v>429.20717991816002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300</v>
          </cell>
          <cell r="J70" t="str">
            <v>0</v>
          </cell>
          <cell r="L70">
            <v>50.986617482320916</v>
          </cell>
          <cell r="M70">
            <v>53</v>
          </cell>
          <cell r="N70">
            <v>783.78661748232082</v>
          </cell>
          <cell r="O70">
            <v>1.2478086822018195</v>
          </cell>
          <cell r="P70">
            <v>430.45498860036184</v>
          </cell>
          <cell r="Q70">
            <v>233.08199999999999</v>
          </cell>
          <cell r="R70">
            <v>251.85</v>
          </cell>
          <cell r="S70">
            <v>1.3918762945303399E-2</v>
          </cell>
          <cell r="V70">
            <v>36.636623698500003</v>
          </cell>
        </row>
        <row r="71">
          <cell r="A71">
            <v>46263</v>
          </cell>
          <cell r="B71">
            <v>233.24</v>
          </cell>
          <cell r="C71">
            <v>233.24</v>
          </cell>
          <cell r="D71">
            <v>432.19740927072002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300</v>
          </cell>
          <cell r="J71" t="str">
            <v>0</v>
          </cell>
          <cell r="L71">
            <v>46.184028565272463</v>
          </cell>
          <cell r="M71">
            <v>53</v>
          </cell>
          <cell r="N71">
            <v>778.98402856527241</v>
          </cell>
          <cell r="O71">
            <v>3.602503096167418</v>
          </cell>
          <cell r="P71">
            <v>435.79991236688744</v>
          </cell>
          <cell r="Q71">
            <v>233.565</v>
          </cell>
          <cell r="R71">
            <v>251.85</v>
          </cell>
          <cell r="S71">
            <v>1.3918762945303399E-2</v>
          </cell>
          <cell r="V71">
            <v>63.754085199900004</v>
          </cell>
        </row>
        <row r="72">
          <cell r="A72">
            <v>46264</v>
          </cell>
          <cell r="B72">
            <v>236.1</v>
          </cell>
          <cell r="C72">
            <v>236.1</v>
          </cell>
          <cell r="D72">
            <v>464.82201289199998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300</v>
          </cell>
          <cell r="J72" t="str">
            <v>0</v>
          </cell>
          <cell r="L72">
            <v>43.838175055721187</v>
          </cell>
          <cell r="M72">
            <v>53</v>
          </cell>
          <cell r="N72">
            <v>776.63817505572115</v>
          </cell>
          <cell r="O72">
            <v>2.6743077550813381</v>
          </cell>
          <cell r="P72">
            <v>467.49632064708129</v>
          </cell>
          <cell r="Q72">
            <v>236.32400000000001</v>
          </cell>
          <cell r="R72">
            <v>251.85</v>
          </cell>
          <cell r="S72">
            <v>1.3918762945303399E-2</v>
          </cell>
          <cell r="V72">
            <v>52.944637415700001</v>
          </cell>
        </row>
        <row r="73">
          <cell r="A73">
            <v>46265</v>
          </cell>
          <cell r="B73">
            <v>236.59</v>
          </cell>
          <cell r="C73">
            <v>236.59</v>
          </cell>
          <cell r="D73">
            <v>470.67205082279997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300</v>
          </cell>
          <cell r="J73" t="str">
            <v>0</v>
          </cell>
          <cell r="L73">
            <v>45.248097168991983</v>
          </cell>
          <cell r="M73">
            <v>53</v>
          </cell>
          <cell r="N73">
            <v>778.04809716899194</v>
          </cell>
          <cell r="O73">
            <v>2.0380525561455913</v>
          </cell>
          <cell r="P73">
            <v>472.71010337894558</v>
          </cell>
          <cell r="Q73">
            <v>236.76</v>
          </cell>
          <cell r="R73">
            <v>251.85</v>
          </cell>
          <cell r="S73">
            <v>1.3918762945303399E-2</v>
          </cell>
          <cell r="V73">
            <v>45.620484163199997</v>
          </cell>
        </row>
        <row r="74">
          <cell r="A74">
            <v>46266</v>
          </cell>
          <cell r="B74">
            <v>236.87</v>
          </cell>
          <cell r="C74">
            <v>236.87</v>
          </cell>
          <cell r="D74">
            <v>474.0149296404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300</v>
          </cell>
          <cell r="J74" t="str">
            <v>0</v>
          </cell>
          <cell r="L74">
            <v>72.834121520696286</v>
          </cell>
          <cell r="M74">
            <v>53</v>
          </cell>
          <cell r="N74">
            <v>805.63412152069623</v>
          </cell>
          <cell r="O74">
            <v>1.5708943442525256</v>
          </cell>
          <cell r="P74">
            <v>475.58582398465251</v>
          </cell>
          <cell r="Q74">
            <v>237.001</v>
          </cell>
          <cell r="R74">
            <v>251.85</v>
          </cell>
          <cell r="S74">
            <v>1.3918762945303399E-2</v>
          </cell>
          <cell r="V74">
            <v>40.994700180899997</v>
          </cell>
        </row>
        <row r="75">
          <cell r="A75">
            <v>46267</v>
          </cell>
          <cell r="B75">
            <v>237.06</v>
          </cell>
          <cell r="C75">
            <v>237.06</v>
          </cell>
          <cell r="D75">
            <v>476.28331169519998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300</v>
          </cell>
          <cell r="J75" t="str">
            <v>0</v>
          </cell>
          <cell r="L75">
            <v>79.838915823252705</v>
          </cell>
          <cell r="M75">
            <v>53</v>
          </cell>
          <cell r="N75">
            <v>812.63891582325266</v>
          </cell>
          <cell r="O75">
            <v>1.3761281819418729</v>
          </cell>
          <cell r="P75">
            <v>477.65943987714184</v>
          </cell>
          <cell r="Q75">
            <v>237.17500000000001</v>
          </cell>
          <cell r="R75">
            <v>251.85</v>
          </cell>
          <cell r="S75">
            <v>1.3918762945303399E-2</v>
          </cell>
          <cell r="V75">
            <v>38.938811920350005</v>
          </cell>
        </row>
        <row r="76">
          <cell r="A76">
            <v>46268</v>
          </cell>
          <cell r="B76">
            <v>237.24</v>
          </cell>
          <cell r="C76">
            <v>237.24</v>
          </cell>
          <cell r="D76">
            <v>478.4323052208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300</v>
          </cell>
          <cell r="J76" t="str">
            <v>0</v>
          </cell>
          <cell r="L76">
            <v>46.79138841413365</v>
          </cell>
          <cell r="M76">
            <v>53</v>
          </cell>
          <cell r="N76">
            <v>779.59138841413358</v>
          </cell>
          <cell r="O76">
            <v>1.2682479011116028</v>
          </cell>
          <cell r="P76">
            <v>479.70055312191158</v>
          </cell>
          <cell r="Q76">
            <v>237.346</v>
          </cell>
          <cell r="R76">
            <v>251.85</v>
          </cell>
          <cell r="S76">
            <v>1.3918762945303399E-2</v>
          </cell>
          <cell r="V76">
            <v>36.754393477650005</v>
          </cell>
        </row>
        <row r="77">
          <cell r="A77">
            <v>46269</v>
          </cell>
          <cell r="B77">
            <v>237.54</v>
          </cell>
          <cell r="C77">
            <v>237.54</v>
          </cell>
          <cell r="D77">
            <v>482.01396109680002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300</v>
          </cell>
          <cell r="J77" t="str">
            <v>0</v>
          </cell>
          <cell r="L77">
            <v>57.403172346482137</v>
          </cell>
          <cell r="M77">
            <v>53</v>
          </cell>
          <cell r="N77">
            <v>790.20317234648212</v>
          </cell>
          <cell r="O77">
            <v>1.0868596172437655</v>
          </cell>
          <cell r="P77">
            <v>483.10082071404378</v>
          </cell>
          <cell r="Q77">
            <v>237.631</v>
          </cell>
          <cell r="R77">
            <v>251.85</v>
          </cell>
          <cell r="S77">
            <v>1.3918762945303399E-2</v>
          </cell>
          <cell r="V77">
            <v>34.955480630850005</v>
          </cell>
        </row>
        <row r="78">
          <cell r="A78">
            <v>46270</v>
          </cell>
          <cell r="B78">
            <v>237.64</v>
          </cell>
          <cell r="C78">
            <v>237.64</v>
          </cell>
          <cell r="D78">
            <v>483.20784638880002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300</v>
          </cell>
          <cell r="J78" t="str">
            <v>0</v>
          </cell>
          <cell r="L78">
            <v>47.177206975970904</v>
          </cell>
          <cell r="M78">
            <v>53</v>
          </cell>
          <cell r="N78">
            <v>779.97720697597083</v>
          </cell>
          <cell r="O78">
            <v>0.91728521389752427</v>
          </cell>
          <cell r="P78">
            <v>484.12513160269754</v>
          </cell>
          <cell r="Q78">
            <v>237.71600000000001</v>
          </cell>
          <cell r="R78">
            <v>251.85</v>
          </cell>
          <cell r="S78">
            <v>1.3918762945303399E-2</v>
          </cell>
          <cell r="V78">
            <v>32.7032433324</v>
          </cell>
        </row>
        <row r="79">
          <cell r="A79">
            <v>46271</v>
          </cell>
          <cell r="B79">
            <v>238.33</v>
          </cell>
          <cell r="C79">
            <v>238.33</v>
          </cell>
          <cell r="D79">
            <v>491.44565490359997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300</v>
          </cell>
          <cell r="J79" t="str">
            <v>0</v>
          </cell>
          <cell r="L79">
            <v>29.766872272947268</v>
          </cell>
          <cell r="M79">
            <v>53</v>
          </cell>
          <cell r="N79">
            <v>762.56687227294719</v>
          </cell>
          <cell r="O79">
            <v>3.0776258109330499</v>
          </cell>
          <cell r="P79">
            <v>494.52328071453303</v>
          </cell>
          <cell r="Q79">
            <v>238.58699999999999</v>
          </cell>
          <cell r="R79">
            <v>251.85</v>
          </cell>
          <cell r="S79">
            <v>1.3918762945303399E-2</v>
          </cell>
          <cell r="V79">
            <v>57.214223741849999</v>
          </cell>
        </row>
        <row r="80">
          <cell r="A80">
            <v>46272</v>
          </cell>
          <cell r="B80">
            <v>238.52</v>
          </cell>
          <cell r="C80">
            <v>238.52</v>
          </cell>
          <cell r="D80">
            <v>493.71403695840002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300</v>
          </cell>
          <cell r="J80" t="str">
            <v>0</v>
          </cell>
          <cell r="L80">
            <v>32.783551337512399</v>
          </cell>
          <cell r="M80">
            <v>53</v>
          </cell>
          <cell r="N80">
            <v>765.5835513375124</v>
          </cell>
          <cell r="O80">
            <v>6.7591662551325449</v>
          </cell>
          <cell r="P80">
            <v>500.47320321353254</v>
          </cell>
          <cell r="Q80">
            <v>239.08600000000001</v>
          </cell>
          <cell r="R80">
            <v>251.85</v>
          </cell>
          <cell r="S80">
            <v>1.3918762945303399E-2</v>
          </cell>
          <cell r="V80">
            <v>99.910143637050012</v>
          </cell>
        </row>
        <row r="81">
          <cell r="A81">
            <v>46273</v>
          </cell>
          <cell r="B81">
            <v>238.59</v>
          </cell>
          <cell r="C81">
            <v>238.59</v>
          </cell>
          <cell r="D81">
            <v>494.54975666280001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300</v>
          </cell>
          <cell r="J81" t="str">
            <v>0</v>
          </cell>
          <cell r="L81">
            <v>31.285612465685194</v>
          </cell>
          <cell r="M81">
            <v>53</v>
          </cell>
          <cell r="N81">
            <v>764.08561246568513</v>
          </cell>
          <cell r="O81">
            <v>2.5535585941284973</v>
          </cell>
          <cell r="P81">
            <v>497.10331525692851</v>
          </cell>
          <cell r="Q81">
            <v>238.803</v>
          </cell>
          <cell r="R81">
            <v>251.85</v>
          </cell>
          <cell r="S81">
            <v>1.3918762945303399E-2</v>
          </cell>
          <cell r="V81">
            <v>51.191626182750007</v>
          </cell>
        </row>
        <row r="82">
          <cell r="A82">
            <v>46274</v>
          </cell>
          <cell r="B82">
            <v>238.71</v>
          </cell>
          <cell r="C82">
            <v>238.71</v>
          </cell>
          <cell r="D82">
            <v>495.9824190132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300</v>
          </cell>
          <cell r="J82" t="str">
            <v>0</v>
          </cell>
          <cell r="L82">
            <v>47.994142724485314</v>
          </cell>
          <cell r="M82">
            <v>53</v>
          </cell>
          <cell r="N82">
            <v>780.79414272448525</v>
          </cell>
          <cell r="O82">
            <v>1.6671081639714591</v>
          </cell>
          <cell r="P82">
            <v>497.64952717717148</v>
          </cell>
          <cell r="Q82">
            <v>238.84899999999999</v>
          </cell>
          <cell r="R82">
            <v>251.85</v>
          </cell>
          <cell r="S82">
            <v>1.3918762945303399E-2</v>
          </cell>
          <cell r="V82">
            <v>41.404898070000002</v>
          </cell>
        </row>
        <row r="83">
          <cell r="A83">
            <v>46275</v>
          </cell>
          <cell r="B83">
            <v>238.92</v>
          </cell>
          <cell r="C83">
            <v>238.92</v>
          </cell>
          <cell r="D83">
            <v>498.48957812639998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300</v>
          </cell>
          <cell r="J83" t="str">
            <v>0</v>
          </cell>
          <cell r="L83">
            <v>36.191173977878293</v>
          </cell>
          <cell r="M83">
            <v>53</v>
          </cell>
          <cell r="N83">
            <v>768.99117397787825</v>
          </cell>
          <cell r="O83">
            <v>2.4672201579794781</v>
          </cell>
          <cell r="P83">
            <v>500.95679828437943</v>
          </cell>
          <cell r="Q83">
            <v>239.126</v>
          </cell>
          <cell r="R83">
            <v>251.85</v>
          </cell>
          <cell r="S83">
            <v>1.3918762945303399E-2</v>
          </cell>
          <cell r="V83">
            <v>50.331247012350005</v>
          </cell>
        </row>
        <row r="84">
          <cell r="A84">
            <v>46276</v>
          </cell>
          <cell r="B84">
            <v>238.96</v>
          </cell>
          <cell r="C84">
            <v>238.96</v>
          </cell>
          <cell r="D84">
            <v>498.96713224320001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300</v>
          </cell>
          <cell r="J84" t="str">
            <v>0</v>
          </cell>
          <cell r="L84">
            <v>27.506898347814758</v>
          </cell>
          <cell r="M84">
            <v>53</v>
          </cell>
          <cell r="N84">
            <v>760.30689834781469</v>
          </cell>
          <cell r="O84">
            <v>1.3455534204113411</v>
          </cell>
          <cell r="P84">
            <v>500.31268566361138</v>
          </cell>
          <cell r="Q84">
            <v>239.072</v>
          </cell>
          <cell r="R84">
            <v>251.85</v>
          </cell>
          <cell r="S84">
            <v>1.3918762945303399E-2</v>
          </cell>
          <cell r="V84">
            <v>37.103058851699998</v>
          </cell>
        </row>
        <row r="85">
          <cell r="A85">
            <v>46277</v>
          </cell>
          <cell r="B85">
            <v>239.04</v>
          </cell>
          <cell r="C85">
            <v>239.04</v>
          </cell>
          <cell r="D85">
            <v>499.92224047680003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300</v>
          </cell>
          <cell r="J85" t="str">
            <v>0</v>
          </cell>
          <cell r="L85">
            <v>78.263003227802869</v>
          </cell>
          <cell r="M85">
            <v>53</v>
          </cell>
          <cell r="N85">
            <v>811.06300322780282</v>
          </cell>
          <cell r="O85">
            <v>1.4142382126674298</v>
          </cell>
          <cell r="P85">
            <v>501.33647868946747</v>
          </cell>
          <cell r="Q85">
            <v>239.15799999999999</v>
          </cell>
          <cell r="R85">
            <v>251.85</v>
          </cell>
          <cell r="S85">
            <v>1.3918762945303399E-2</v>
          </cell>
          <cell r="V85">
            <v>39.335276137200005</v>
          </cell>
        </row>
        <row r="86">
          <cell r="A86">
            <v>46278</v>
          </cell>
          <cell r="B86">
            <v>239.54</v>
          </cell>
          <cell r="C86">
            <v>239.54</v>
          </cell>
          <cell r="D86">
            <v>505.89166693679999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300</v>
          </cell>
          <cell r="J86" t="str">
            <v>0</v>
          </cell>
          <cell r="L86">
            <v>94.009969069536268</v>
          </cell>
          <cell r="M86">
            <v>53</v>
          </cell>
          <cell r="N86">
            <v>826.80996906953624</v>
          </cell>
          <cell r="O86">
            <v>0.92531544368127183</v>
          </cell>
          <cell r="P86">
            <v>506.81698238048125</v>
          </cell>
          <cell r="Q86">
            <v>239.61699999999999</v>
          </cell>
          <cell r="R86">
            <v>251.85</v>
          </cell>
          <cell r="S86">
            <v>1.3918762945303399E-2</v>
          </cell>
          <cell r="V86">
            <v>34.12234227015</v>
          </cell>
        </row>
        <row r="87">
          <cell r="A87">
            <v>46279</v>
          </cell>
          <cell r="B87">
            <v>239.61699999999999</v>
          </cell>
          <cell r="D87">
            <v>506.81095861163999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300</v>
          </cell>
          <cell r="J87" t="str">
            <v>0</v>
          </cell>
          <cell r="L87">
            <v>88.758740881621989</v>
          </cell>
          <cell r="M87">
            <v>53</v>
          </cell>
          <cell r="N87">
            <v>821.55874088162193</v>
          </cell>
          <cell r="O87">
            <v>2.004890150874524</v>
          </cell>
          <cell r="P87">
            <v>508.81584876251452</v>
          </cell>
          <cell r="Q87">
            <v>239.78399999999999</v>
          </cell>
          <cell r="R87">
            <v>251.85</v>
          </cell>
          <cell r="S87">
            <v>1.3918762945303399E-2</v>
          </cell>
          <cell r="V87">
            <v>46.468743721800003</v>
          </cell>
        </row>
        <row r="88">
          <cell r="A88">
            <v>46280</v>
          </cell>
          <cell r="B88">
            <v>239.78399999999999</v>
          </cell>
          <cell r="C88" t="str">
            <v/>
          </cell>
          <cell r="D88">
            <v>508.80474704928002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300</v>
          </cell>
          <cell r="J88" t="str">
            <v>0</v>
          </cell>
          <cell r="L88">
            <v>88.124922068188113</v>
          </cell>
          <cell r="M88">
            <v>53</v>
          </cell>
          <cell r="N88">
            <v>820.92492206818804</v>
          </cell>
          <cell r="O88">
            <v>6.4787858053499106</v>
          </cell>
          <cell r="P88">
            <v>515.28353285462993</v>
          </cell>
          <cell r="Q88">
            <v>240.3</v>
          </cell>
          <cell r="R88">
            <v>251.85</v>
          </cell>
          <cell r="S88">
            <v>1.3918762945303399E-2</v>
          </cell>
          <cell r="V88">
            <v>98.232087106050002</v>
          </cell>
        </row>
        <row r="89">
          <cell r="A89">
            <v>46281</v>
          </cell>
          <cell r="B89">
            <v>240.3</v>
          </cell>
          <cell r="C89" t="str">
            <v/>
          </cell>
          <cell r="D89">
            <v>515.28039863519996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300</v>
          </cell>
          <cell r="J89" t="str">
            <v>0</v>
          </cell>
          <cell r="L89">
            <v>85.866296864497386</v>
          </cell>
          <cell r="M89">
            <v>53</v>
          </cell>
          <cell r="N89">
            <v>818.66629686449733</v>
          </cell>
          <cell r="O89">
            <v>1.4983579628364154</v>
          </cell>
          <cell r="P89">
            <v>516.77875659803635</v>
          </cell>
          <cell r="Q89">
            <v>240.41499999999999</v>
          </cell>
          <cell r="R89">
            <v>251.85</v>
          </cell>
          <cell r="S89">
            <v>1.3918762945303399E-2</v>
          </cell>
          <cell r="V89">
            <v>40.524187401299997</v>
          </cell>
        </row>
        <row r="90">
          <cell r="A90">
            <v>46282</v>
          </cell>
          <cell r="B90">
            <v>240.41499999999999</v>
          </cell>
          <cell r="C90" t="str">
            <v/>
          </cell>
          <cell r="D90">
            <v>516.77419472136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300</v>
          </cell>
          <cell r="J90" t="str">
            <v>0</v>
          </cell>
          <cell r="L90">
            <v>52.616175097970107</v>
          </cell>
          <cell r="M90">
            <v>53</v>
          </cell>
          <cell r="N90">
            <v>785.41617509797004</v>
          </cell>
          <cell r="O90">
            <v>0.96337625275461325</v>
          </cell>
          <cell r="P90">
            <v>517.73757097411465</v>
          </cell>
          <cell r="Q90">
            <v>240.489</v>
          </cell>
          <cell r="R90">
            <v>251.85</v>
          </cell>
          <cell r="S90">
            <v>1.3918762945303399E-2</v>
          </cell>
          <cell r="V90">
            <v>33.390719816699999</v>
          </cell>
        </row>
        <row r="91">
          <cell r="A91">
            <v>46283</v>
          </cell>
          <cell r="B91">
            <v>240.489</v>
          </cell>
          <cell r="C91" t="str">
            <v/>
          </cell>
          <cell r="D91">
            <v>517.73542002897602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300</v>
          </cell>
          <cell r="J91" t="str">
            <v>0</v>
          </cell>
          <cell r="L91">
            <v>38.524066432376308</v>
          </cell>
          <cell r="M91">
            <v>53</v>
          </cell>
          <cell r="N91">
            <v>771.3240664323763</v>
          </cell>
          <cell r="O91">
            <v>0.73709801187100044</v>
          </cell>
          <cell r="P91">
            <v>518.47251804084704</v>
          </cell>
          <cell r="Q91">
            <v>240.54499999999999</v>
          </cell>
          <cell r="R91">
            <v>251.85</v>
          </cell>
          <cell r="S91">
            <v>1.3918762945303399E-2</v>
          </cell>
          <cell r="V91">
            <v>30.372709943700002</v>
          </cell>
        </row>
        <row r="92">
          <cell r="A92">
            <v>46284</v>
          </cell>
          <cell r="B92">
            <v>240.54499999999999</v>
          </cell>
          <cell r="C92" t="str">
            <v/>
          </cell>
          <cell r="D92">
            <v>518.46283377528005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300</v>
          </cell>
          <cell r="J92" t="str">
            <v>0</v>
          </cell>
          <cell r="L92">
            <v>70.997362410653892</v>
          </cell>
          <cell r="M92">
            <v>53</v>
          </cell>
          <cell r="N92">
            <v>803.79736241065382</v>
          </cell>
          <cell r="O92">
            <v>1.1033514908544959</v>
          </cell>
          <cell r="P92">
            <v>519.56618526613454</v>
          </cell>
          <cell r="Q92">
            <v>240.62899999999999</v>
          </cell>
          <cell r="R92">
            <v>251.85</v>
          </cell>
          <cell r="S92">
            <v>1.3918762945303399E-2</v>
          </cell>
          <cell r="V92">
            <v>35.531303775600001</v>
          </cell>
        </row>
        <row r="93">
          <cell r="A93">
            <v>46285</v>
          </cell>
          <cell r="B93">
            <v>240.62899999999999</v>
          </cell>
          <cell r="C93" t="str">
            <v/>
          </cell>
          <cell r="D93">
            <v>519.55395439473602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300</v>
          </cell>
          <cell r="J93" t="str">
            <v>0</v>
          </cell>
          <cell r="L93">
            <v>69.494413814288251</v>
          </cell>
          <cell r="M93">
            <v>53</v>
          </cell>
          <cell r="N93">
            <v>802.29441381428819</v>
          </cell>
          <cell r="O93">
            <v>0.41258636213502786</v>
          </cell>
          <cell r="P93">
            <v>519.96654075687104</v>
          </cell>
          <cell r="Q93">
            <v>240.66</v>
          </cell>
          <cell r="R93">
            <v>251.85</v>
          </cell>
          <cell r="S93">
            <v>1.3918762945303399E-2</v>
          </cell>
          <cell r="V93">
            <v>27.493764121050003</v>
          </cell>
        </row>
        <row r="94">
          <cell r="A94">
            <v>46286</v>
          </cell>
          <cell r="B94">
            <v>240.66</v>
          </cell>
          <cell r="C94" t="str">
            <v/>
          </cell>
          <cell r="D94">
            <v>519.95662986143998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300</v>
          </cell>
          <cell r="J94" t="str">
            <v>0</v>
          </cell>
          <cell r="L94">
            <v>47.742566640112429</v>
          </cell>
          <cell r="M94">
            <v>53</v>
          </cell>
          <cell r="N94">
            <v>780.54256664011234</v>
          </cell>
          <cell r="O94">
            <v>0.17786436317843896</v>
          </cell>
          <cell r="P94">
            <v>520.13449422461838</v>
          </cell>
          <cell r="Q94">
            <v>240.673</v>
          </cell>
          <cell r="R94">
            <v>251.85</v>
          </cell>
          <cell r="S94">
            <v>1.3918762945303399E-2</v>
          </cell>
          <cell r="V94">
            <v>24.1611257277</v>
          </cell>
        </row>
        <row r="95">
          <cell r="A95">
            <v>46287</v>
          </cell>
          <cell r="B95">
            <v>240.673</v>
          </cell>
          <cell r="C95" t="str">
            <v/>
          </cell>
          <cell r="D95">
            <v>520.12549376683205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300</v>
          </cell>
          <cell r="J95" t="str">
            <v>0</v>
          </cell>
          <cell r="L95">
            <v>83.035703364463771</v>
          </cell>
          <cell r="M95">
            <v>53</v>
          </cell>
          <cell r="N95">
            <v>815.83570336446371</v>
          </cell>
          <cell r="O95">
            <v>7.4579565384214813E-2</v>
          </cell>
          <cell r="P95">
            <v>520.20007333221622</v>
          </cell>
          <cell r="Q95">
            <v>240.678</v>
          </cell>
          <cell r="R95">
            <v>251.85</v>
          </cell>
          <cell r="S95">
            <v>1.3918762945303399E-2</v>
          </cell>
          <cell r="V95">
            <v>23.965088175150001</v>
          </cell>
        </row>
        <row r="96">
          <cell r="A96">
            <v>46288</v>
          </cell>
          <cell r="B96">
            <v>240.678</v>
          </cell>
          <cell r="C96" t="str">
            <v/>
          </cell>
          <cell r="D96">
            <v>520.19044142275197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300</v>
          </cell>
          <cell r="J96" t="str">
            <v>0</v>
          </cell>
          <cell r="L96">
            <v>84.776333817149919</v>
          </cell>
          <cell r="M96">
            <v>53</v>
          </cell>
          <cell r="N96">
            <v>817.57633381714982</v>
          </cell>
          <cell r="O96">
            <v>4.3216573682217474</v>
          </cell>
          <cell r="P96">
            <v>524.51209879097371</v>
          </cell>
          <cell r="Q96">
            <v>241.01</v>
          </cell>
          <cell r="R96">
            <v>251.85</v>
          </cell>
          <cell r="S96">
            <v>1.3918762945303399E-2</v>
          </cell>
          <cell r="V96">
            <v>73.170457231499995</v>
          </cell>
        </row>
        <row r="97">
          <cell r="A97">
            <v>46289</v>
          </cell>
          <cell r="B97">
            <v>241.01</v>
          </cell>
          <cell r="C97" t="str">
            <v/>
          </cell>
          <cell r="D97">
            <v>524.50296577584004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300</v>
          </cell>
          <cell r="J97" t="str">
            <v>0</v>
          </cell>
          <cell r="L97">
            <v>66.119083562649223</v>
          </cell>
          <cell r="M97">
            <v>53</v>
          </cell>
          <cell r="N97">
            <v>798.91908356264912</v>
          </cell>
          <cell r="O97">
            <v>0.86122232945624266</v>
          </cell>
          <cell r="P97">
            <v>525.36418810529631</v>
          </cell>
          <cell r="Q97">
            <v>241.07599999999999</v>
          </cell>
          <cell r="R97">
            <v>251.85</v>
          </cell>
          <cell r="S97">
            <v>1.3918762945303399E-2</v>
          </cell>
          <cell r="V97">
            <v>32.590740487350004</v>
          </cell>
        </row>
        <row r="98">
          <cell r="A98">
            <v>46290</v>
          </cell>
          <cell r="B98">
            <v>241.07599999999999</v>
          </cell>
          <cell r="C98" t="str">
            <v/>
          </cell>
          <cell r="D98">
            <v>525.36027483398402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300</v>
          </cell>
          <cell r="J98" t="str">
            <v>0</v>
          </cell>
          <cell r="L98">
            <v>90.442661429637781</v>
          </cell>
          <cell r="M98">
            <v>53</v>
          </cell>
          <cell r="N98">
            <v>823.24266142963779</v>
          </cell>
          <cell r="O98">
            <v>0.32745974685948565</v>
          </cell>
          <cell r="P98">
            <v>525.68773458084354</v>
          </cell>
          <cell r="Q98">
            <v>241.101</v>
          </cell>
          <cell r="R98">
            <v>251.85</v>
          </cell>
          <cell r="S98">
            <v>1.3918762945303399E-2</v>
          </cell>
          <cell r="V98">
            <v>27.101689015950001</v>
          </cell>
        </row>
        <row r="99">
          <cell r="A99">
            <v>46291</v>
          </cell>
          <cell r="B99">
            <v>241.101</v>
          </cell>
          <cell r="C99" t="str">
            <v/>
          </cell>
          <cell r="D99">
            <v>525.68501311358398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300</v>
          </cell>
          <cell r="J99" t="str">
            <v>0</v>
          </cell>
          <cell r="L99">
            <v>83.716159745617958</v>
          </cell>
          <cell r="M99">
            <v>53</v>
          </cell>
          <cell r="N99">
            <v>816.51615974561787</v>
          </cell>
          <cell r="O99">
            <v>2.8772875986954007</v>
          </cell>
          <cell r="P99">
            <v>528.56230071227935</v>
          </cell>
          <cell r="Q99">
            <v>241.322</v>
          </cell>
          <cell r="R99">
            <v>251.85</v>
          </cell>
          <cell r="S99">
            <v>1.3918762945303399E-2</v>
          </cell>
          <cell r="V99">
            <v>56.423164220250001</v>
          </cell>
        </row>
        <row r="100">
          <cell r="A100">
            <v>46292</v>
          </cell>
          <cell r="B100">
            <v>241.322</v>
          </cell>
          <cell r="C100" t="str">
            <v/>
          </cell>
          <cell r="D100">
            <v>528.55569950524796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300</v>
          </cell>
          <cell r="J100" t="str">
            <v>0</v>
          </cell>
          <cell r="L100">
            <v>53.385119214308304</v>
          </cell>
          <cell r="M100">
            <v>53</v>
          </cell>
          <cell r="N100">
            <v>786.18511921430832</v>
          </cell>
          <cell r="O100">
            <v>2.1362994747387885</v>
          </cell>
          <cell r="P100">
            <v>530.69199897998669</v>
          </cell>
          <cell r="Q100">
            <v>241.48599999999999</v>
          </cell>
          <cell r="R100">
            <v>251.85</v>
          </cell>
          <cell r="S100">
            <v>1.3918762945303399E-2</v>
          </cell>
          <cell r="V100">
            <v>46.988018117100005</v>
          </cell>
        </row>
        <row r="101">
          <cell r="A101">
            <v>46293</v>
          </cell>
          <cell r="B101">
            <v>241.48599999999999</v>
          </cell>
          <cell r="C101" t="str">
            <v/>
          </cell>
          <cell r="D101">
            <v>530.68598261942395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300</v>
          </cell>
          <cell r="J101" t="str">
            <v>0</v>
          </cell>
          <cell r="L101">
            <v>46.723401344088963</v>
          </cell>
          <cell r="M101">
            <v>53</v>
          </cell>
          <cell r="N101">
            <v>779.52340134408894</v>
          </cell>
          <cell r="O101">
            <v>1.5927660090333822</v>
          </cell>
          <cell r="P101">
            <v>532.27874862845738</v>
          </cell>
          <cell r="Q101">
            <v>241.608</v>
          </cell>
          <cell r="R101">
            <v>251.85</v>
          </cell>
          <cell r="S101">
            <v>1.3918762945303399E-2</v>
          </cell>
          <cell r="V101">
            <v>40.508471549549995</v>
          </cell>
        </row>
        <row r="102">
          <cell r="A102">
            <v>46294</v>
          </cell>
          <cell r="B102">
            <v>241.608</v>
          </cell>
          <cell r="C102" t="str">
            <v/>
          </cell>
          <cell r="D102">
            <v>532.27070542387196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300</v>
          </cell>
          <cell r="J102" t="str">
            <v>0</v>
          </cell>
          <cell r="L102">
            <v>40.699306612742546</v>
          </cell>
          <cell r="M102">
            <v>53</v>
          </cell>
          <cell r="N102">
            <v>773.49930661274254</v>
          </cell>
          <cell r="O102">
            <v>1.2539258715664761</v>
          </cell>
          <cell r="P102">
            <v>533.52463129543844</v>
          </cell>
          <cell r="Q102">
            <v>241.70400000000001</v>
          </cell>
          <cell r="R102">
            <v>251.85</v>
          </cell>
          <cell r="S102">
            <v>1.3918762945303399E-2</v>
          </cell>
          <cell r="V102">
            <v>36.416120387550002</v>
          </cell>
        </row>
        <row r="103">
          <cell r="A103">
            <v>46295</v>
          </cell>
          <cell r="B103">
            <v>241.70400000000001</v>
          </cell>
          <cell r="C103" t="str">
            <v/>
          </cell>
          <cell r="D103">
            <v>533.51770041753605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300</v>
          </cell>
          <cell r="J103" t="str">
            <v>0</v>
          </cell>
          <cell r="L103">
            <v>42.723156458896391</v>
          </cell>
          <cell r="M103">
            <v>53</v>
          </cell>
          <cell r="N103">
            <v>775.52315645889632</v>
          </cell>
          <cell r="O103">
            <v>1.091828642871</v>
          </cell>
          <cell r="P103">
            <v>534.609529060407</v>
          </cell>
          <cell r="Q103">
            <v>241.78800000000001</v>
          </cell>
          <cell r="R103">
            <v>251.85</v>
          </cell>
          <cell r="S103">
            <v>1.3918762945303399E-2</v>
          </cell>
          <cell r="V103">
            <v>34.597300795199999</v>
          </cell>
        </row>
        <row r="104">
          <cell r="A104">
            <v>46296</v>
          </cell>
          <cell r="B104">
            <v>241.78800000000001</v>
          </cell>
          <cell r="C104" t="str">
            <v/>
          </cell>
          <cell r="D104">
            <v>534.60882103699203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I104">
            <v>300</v>
          </cell>
          <cell r="J104" t="str">
            <v>0</v>
          </cell>
          <cell r="L104">
            <v>71.16692240470158</v>
          </cell>
          <cell r="M104">
            <v>53</v>
          </cell>
          <cell r="N104">
            <v>803.96692240470156</v>
          </cell>
          <cell r="O104">
            <v>0.85527021523252733</v>
          </cell>
          <cell r="P104">
            <v>535.46409125222453</v>
          </cell>
          <cell r="Q104">
            <v>241.85300000000001</v>
          </cell>
          <cell r="R104">
            <v>251.85</v>
          </cell>
          <cell r="S104">
            <v>1.3918762945303399E-2</v>
          </cell>
          <cell r="V104">
            <v>32.664789050100005</v>
          </cell>
        </row>
        <row r="105">
          <cell r="A105">
            <v>46297</v>
          </cell>
          <cell r="B105">
            <v>241.85300000000001</v>
          </cell>
          <cell r="C105" t="str">
            <v/>
          </cell>
          <cell r="D105">
            <v>535.45314056395205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I105">
            <v>300</v>
          </cell>
          <cell r="J105" t="str">
            <v>0</v>
          </cell>
          <cell r="L105">
            <v>64.546565014822491</v>
          </cell>
          <cell r="M105">
            <v>53</v>
          </cell>
          <cell r="N105">
            <v>797.34656501482243</v>
          </cell>
          <cell r="O105">
            <v>0.73396518050778714</v>
          </cell>
          <cell r="P105">
            <v>536.18710574445981</v>
          </cell>
          <cell r="Q105">
            <v>241.90899999999999</v>
          </cell>
          <cell r="R105">
            <v>251.85</v>
          </cell>
          <cell r="S105">
            <v>1.3918762945303399E-2</v>
          </cell>
          <cell r="V105">
            <v>31.073325446400002</v>
          </cell>
        </row>
        <row r="106">
          <cell r="A106">
            <v>46298</v>
          </cell>
          <cell r="B106">
            <v>241.90899999999999</v>
          </cell>
          <cell r="C106" t="str">
            <v/>
          </cell>
          <cell r="D106">
            <v>536.18055431025596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I106">
            <v>300</v>
          </cell>
          <cell r="J106" t="str">
            <v>0</v>
          </cell>
          <cell r="L106">
            <v>17.621647198768777</v>
          </cell>
          <cell r="M106">
            <v>53</v>
          </cell>
          <cell r="N106">
            <v>750.42164719876871</v>
          </cell>
          <cell r="O106">
            <v>7.9145005253924594E-2</v>
          </cell>
          <cell r="P106">
            <v>536.25969931550992</v>
          </cell>
          <cell r="Q106">
            <v>241.91499999999999</v>
          </cell>
          <cell r="R106">
            <v>251.85</v>
          </cell>
          <cell r="S106">
            <v>1.3918762945303399E-2</v>
          </cell>
          <cell r="V106">
            <v>22.165608991349998</v>
          </cell>
        </row>
        <row r="107">
          <cell r="A107">
            <v>46299</v>
          </cell>
          <cell r="B107">
            <v>241.91499999999999</v>
          </cell>
          <cell r="C107" t="str">
            <v/>
          </cell>
          <cell r="D107">
            <v>536.25849149735996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I107">
            <v>300</v>
          </cell>
          <cell r="J107" t="str">
            <v>0</v>
          </cell>
          <cell r="L107">
            <v>37.391414642134393</v>
          </cell>
          <cell r="M107">
            <v>53</v>
          </cell>
          <cell r="N107">
            <v>770.1914146421343</v>
          </cell>
          <cell r="O107">
            <v>1.4172464890824432</v>
          </cell>
          <cell r="P107">
            <v>537.67573798644241</v>
          </cell>
          <cell r="Q107">
            <v>242.024</v>
          </cell>
          <cell r="R107">
            <v>251.85</v>
          </cell>
          <cell r="S107">
            <v>1.3918762945303399E-2</v>
          </cell>
          <cell r="V107">
            <v>38.212739569500002</v>
          </cell>
        </row>
        <row r="108">
          <cell r="A108">
            <v>46300</v>
          </cell>
          <cell r="B108">
            <v>242.024</v>
          </cell>
          <cell r="C108" t="str">
            <v/>
          </cell>
          <cell r="D108">
            <v>537.674350396416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I108">
            <v>300</v>
          </cell>
          <cell r="J108" t="str">
            <v>0</v>
          </cell>
          <cell r="L108">
            <v>43.441734734466614</v>
          </cell>
          <cell r="M108">
            <v>53</v>
          </cell>
          <cell r="N108">
            <v>776.2417347344666</v>
          </cell>
          <cell r="O108">
            <v>3.8379716444163794</v>
          </cell>
          <cell r="P108">
            <v>541.51232204083237</v>
          </cell>
          <cell r="Q108">
            <v>242.31899999999999</v>
          </cell>
          <cell r="R108">
            <v>251.85</v>
          </cell>
          <cell r="S108">
            <v>1.3918762945303399E-2</v>
          </cell>
          <cell r="V108">
            <v>66.4017673086</v>
          </cell>
        </row>
        <row r="109">
          <cell r="A109">
            <v>46301</v>
          </cell>
          <cell r="B109">
            <v>242.31899999999999</v>
          </cell>
          <cell r="C109" t="str">
            <v/>
          </cell>
          <cell r="D109">
            <v>541.506262095696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I109">
            <v>300</v>
          </cell>
          <cell r="J109" t="str">
            <v>0</v>
          </cell>
          <cell r="L109">
            <v>39.30125480727547</v>
          </cell>
          <cell r="M109">
            <v>53</v>
          </cell>
          <cell r="N109">
            <v>772.10125480727538</v>
          </cell>
          <cell r="O109">
            <v>1.0690239091167368</v>
          </cell>
          <cell r="P109">
            <v>542.57528600481271</v>
          </cell>
          <cell r="Q109">
            <v>242.40100000000001</v>
          </cell>
          <cell r="R109">
            <v>251.85</v>
          </cell>
          <cell r="S109">
            <v>1.3918762945303399E-2</v>
          </cell>
          <cell r="V109">
            <v>34.236459175649998</v>
          </cell>
        </row>
        <row r="110">
          <cell r="A110">
            <v>46302</v>
          </cell>
          <cell r="B110">
            <v>242.40100000000001</v>
          </cell>
          <cell r="C110" t="str">
            <v/>
          </cell>
          <cell r="D110">
            <v>542.57140365278406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I110">
            <v>300</v>
          </cell>
          <cell r="J110" t="str">
            <v>0</v>
          </cell>
          <cell r="L110">
            <v>83.281065716636476</v>
          </cell>
          <cell r="M110">
            <v>53</v>
          </cell>
          <cell r="N110">
            <v>816.08106571663643</v>
          </cell>
          <cell r="O110">
            <v>0.40315568057122897</v>
          </cell>
          <cell r="P110">
            <v>542.97455933335527</v>
          </cell>
          <cell r="Q110">
            <v>242.43199999999999</v>
          </cell>
          <cell r="R110">
            <v>251.85</v>
          </cell>
          <cell r="S110">
            <v>1.3918762945303399E-2</v>
          </cell>
          <cell r="V110">
            <v>27.775007075250002</v>
          </cell>
        </row>
        <row r="111">
          <cell r="A111">
            <v>46303</v>
          </cell>
          <cell r="B111">
            <v>242.43199999999999</v>
          </cell>
          <cell r="C111" t="str">
            <v/>
          </cell>
          <cell r="D111">
            <v>542.97407911948801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I111">
            <v>300</v>
          </cell>
          <cell r="J111" t="str">
            <v>0</v>
          </cell>
          <cell r="L111">
            <v>94.662995491025825</v>
          </cell>
          <cell r="M111">
            <v>53</v>
          </cell>
          <cell r="N111">
            <v>827.46299549102582</v>
          </cell>
          <cell r="O111">
            <v>0.88449922637104794</v>
          </cell>
          <cell r="P111">
            <v>543.85857834585909</v>
          </cell>
          <cell r="Q111">
            <v>242.5</v>
          </cell>
          <cell r="R111">
            <v>251.85</v>
          </cell>
          <cell r="S111">
            <v>1.3918762945303399E-2</v>
          </cell>
          <cell r="V111">
            <v>33.668423164650001</v>
          </cell>
        </row>
        <row r="112">
          <cell r="A112">
            <v>46304</v>
          </cell>
          <cell r="B112">
            <v>242.5</v>
          </cell>
          <cell r="C112" t="str">
            <v/>
          </cell>
          <cell r="D112">
            <v>543.85736724000003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I112">
            <v>300</v>
          </cell>
          <cell r="J112" t="str">
            <v>0</v>
          </cell>
          <cell r="L112">
            <v>49.645372201467325</v>
          </cell>
          <cell r="M112">
            <v>53</v>
          </cell>
          <cell r="N112">
            <v>782.44537220146731</v>
          </cell>
          <cell r="O112">
            <v>0.24005424035337025</v>
          </cell>
          <cell r="P112">
            <v>544.09742148035343</v>
          </cell>
          <cell r="Q112">
            <v>242.518</v>
          </cell>
          <cell r="R112">
            <v>251.85</v>
          </cell>
          <cell r="S112">
            <v>1.3918762945303399E-2</v>
          </cell>
          <cell r="V112">
            <v>24.934798703399998</v>
          </cell>
        </row>
        <row r="113">
          <cell r="A113">
            <v>46305</v>
          </cell>
          <cell r="B113">
            <v>242.518</v>
          </cell>
          <cell r="C113" t="str">
            <v/>
          </cell>
          <cell r="D113">
            <v>544.09117880131203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I113">
            <v>300</v>
          </cell>
          <cell r="J113" t="str">
            <v>0</v>
          </cell>
          <cell r="L113">
            <v>32.672780487261583</v>
          </cell>
          <cell r="M113">
            <v>53</v>
          </cell>
          <cell r="N113">
            <v>765.4727804872615</v>
          </cell>
          <cell r="O113">
            <v>0.5295731754152142</v>
          </cell>
          <cell r="P113">
            <v>544.62075197672721</v>
          </cell>
          <cell r="Q113">
            <v>242.55799999999999</v>
          </cell>
          <cell r="R113">
            <v>251.85</v>
          </cell>
          <cell r="S113">
            <v>1.3918762945303399E-2</v>
          </cell>
          <cell r="V113">
            <v>27.805107886800002</v>
          </cell>
        </row>
        <row r="114">
          <cell r="A114">
            <v>46306</v>
          </cell>
          <cell r="B114">
            <v>242.55799999999999</v>
          </cell>
          <cell r="C114" t="str">
            <v/>
          </cell>
          <cell r="D114">
            <v>544.61076004867198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I114">
            <v>300</v>
          </cell>
          <cell r="J114" t="str">
            <v>0</v>
          </cell>
          <cell r="L114">
            <v>37.554008308154515</v>
          </cell>
          <cell r="M114">
            <v>53</v>
          </cell>
          <cell r="N114">
            <v>770.35400830815445</v>
          </cell>
          <cell r="O114">
            <v>0.20373332985846582</v>
          </cell>
          <cell r="P114">
            <v>544.81449337853041</v>
          </cell>
          <cell r="Q114">
            <v>242.57300000000001</v>
          </cell>
          <cell r="R114">
            <v>251.85</v>
          </cell>
          <cell r="S114">
            <v>1.3918762945303399E-2</v>
          </cell>
          <cell r="V114">
            <v>24.172027714949998</v>
          </cell>
        </row>
        <row r="115">
          <cell r="A115">
            <v>46307</v>
          </cell>
          <cell r="B115">
            <v>242.57300000000001</v>
          </cell>
          <cell r="C115" t="str">
            <v/>
          </cell>
          <cell r="D115">
            <v>544.80560301643197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I115">
            <v>300</v>
          </cell>
          <cell r="J115" t="str">
            <v>0</v>
          </cell>
          <cell r="L115">
            <v>27.283547001854057</v>
          </cell>
          <cell r="M115">
            <v>53</v>
          </cell>
          <cell r="N115">
            <v>760.08354700185396</v>
          </cell>
          <cell r="O115">
            <v>0.97230043577012282</v>
          </cell>
          <cell r="P115">
            <v>545.77790345220205</v>
          </cell>
          <cell r="Q115">
            <v>242.64699999999999</v>
          </cell>
          <cell r="R115">
            <v>251.85</v>
          </cell>
          <cell r="S115">
            <v>1.3918762945303399E-2</v>
          </cell>
          <cell r="V115">
            <v>32.77666892445</v>
          </cell>
        </row>
        <row r="116">
          <cell r="A116">
            <v>46308</v>
          </cell>
          <cell r="B116">
            <v>242.64699999999999</v>
          </cell>
          <cell r="C116" t="str">
            <v/>
          </cell>
          <cell r="D116">
            <v>545.76682832404799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I116">
            <v>300</v>
          </cell>
          <cell r="J116" t="str">
            <v>0</v>
          </cell>
          <cell r="L116">
            <v>50.982709292023102</v>
          </cell>
          <cell r="M116">
            <v>53</v>
          </cell>
          <cell r="N116">
            <v>783.78270929202301</v>
          </cell>
          <cell r="O116">
            <v>4.0312533033146583</v>
          </cell>
          <cell r="P116">
            <v>549.79808162736265</v>
          </cell>
          <cell r="Q116">
            <v>242.95699999999999</v>
          </cell>
          <cell r="R116">
            <v>251.85</v>
          </cell>
          <cell r="S116">
            <v>1.3918762945303399E-2</v>
          </cell>
          <cell r="V116">
            <v>68.852364141300001</v>
          </cell>
        </row>
        <row r="117">
          <cell r="A117">
            <v>46309</v>
          </cell>
          <cell r="B117">
            <v>242.95699999999999</v>
          </cell>
          <cell r="C117" t="str">
            <v/>
          </cell>
          <cell r="D117">
            <v>549.79358299108799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I117">
            <v>300</v>
          </cell>
          <cell r="J117" t="str">
            <v>0</v>
          </cell>
          <cell r="L117">
            <v>92.653658481787303</v>
          </cell>
          <cell r="M117">
            <v>53</v>
          </cell>
          <cell r="N117">
            <v>825.45365848178722</v>
          </cell>
          <cell r="O117">
            <v>0.45441479681593289</v>
          </cell>
          <cell r="P117">
            <v>550.24799778790396</v>
          </cell>
          <cell r="Q117">
            <v>242.99100000000001</v>
          </cell>
          <cell r="R117">
            <v>251.85</v>
          </cell>
          <cell r="S117">
            <v>1.3918762945303399E-2</v>
          </cell>
          <cell r="V117">
            <v>28.633687234650001</v>
          </cell>
        </row>
        <row r="118">
          <cell r="A118">
            <v>46310</v>
          </cell>
          <cell r="B118">
            <v>242.99100000000001</v>
          </cell>
          <cell r="C118" t="str">
            <v/>
          </cell>
          <cell r="D118">
            <v>550.23522705134405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I118">
            <v>300</v>
          </cell>
          <cell r="J118" t="str">
            <v>0</v>
          </cell>
          <cell r="L118">
            <v>27.973845899229385</v>
          </cell>
          <cell r="M118">
            <v>53</v>
          </cell>
          <cell r="N118">
            <v>760.77384589922929</v>
          </cell>
          <cell r="O118">
            <v>0.18311646900447684</v>
          </cell>
          <cell r="P118">
            <v>550.41834352034857</v>
          </cell>
          <cell r="Q118">
            <v>243.005</v>
          </cell>
          <cell r="R118">
            <v>251.85</v>
          </cell>
          <cell r="S118">
            <v>1.3918762945303399E-2</v>
          </cell>
          <cell r="V118">
            <v>23.662126197000003</v>
          </cell>
        </row>
        <row r="119">
          <cell r="A119">
            <v>46311</v>
          </cell>
          <cell r="B119">
            <v>243.005</v>
          </cell>
          <cell r="C119" t="str">
            <v/>
          </cell>
          <cell r="D119">
            <v>550.41708048791997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I119">
            <v>300</v>
          </cell>
          <cell r="J119" t="str">
            <v>0</v>
          </cell>
          <cell r="L119">
            <v>39.796938386894738</v>
          </cell>
          <cell r="M119">
            <v>53</v>
          </cell>
          <cell r="N119">
            <v>772.59693838689464</v>
          </cell>
          <cell r="O119">
            <v>-2.753845828825114E-2</v>
          </cell>
          <cell r="P119">
            <v>550.38954202963168</v>
          </cell>
          <cell r="Q119">
            <v>243.00200000000001</v>
          </cell>
          <cell r="R119">
            <v>251.85</v>
          </cell>
          <cell r="S119">
            <v>1.3918762945303399E-2</v>
          </cell>
          <cell r="V119">
            <v>21.558778895850001</v>
          </cell>
        </row>
        <row r="120">
          <cell r="A120">
            <v>46312</v>
          </cell>
          <cell r="B120">
            <v>243.00200000000001</v>
          </cell>
          <cell r="C120" t="str">
            <v/>
          </cell>
          <cell r="D120">
            <v>550.37811189436798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I120">
            <v>300</v>
          </cell>
          <cell r="J120" t="str">
            <v>0</v>
          </cell>
          <cell r="L120">
            <v>85.557311972381513</v>
          </cell>
          <cell r="M120">
            <v>53</v>
          </cell>
          <cell r="N120">
            <v>818.35731197238147</v>
          </cell>
          <cell r="O120">
            <v>1.4435302581106964</v>
          </cell>
          <cell r="P120">
            <v>551.82164215247872</v>
          </cell>
          <cell r="Q120">
            <v>243.113</v>
          </cell>
          <cell r="R120">
            <v>251.85</v>
          </cell>
          <cell r="S120">
            <v>1.3918762945303399E-2</v>
          </cell>
          <cell r="V120">
            <v>39.880856886149999</v>
          </cell>
        </row>
        <row r="121">
          <cell r="A121">
            <v>46313</v>
          </cell>
          <cell r="B121">
            <v>243.113</v>
          </cell>
          <cell r="C121" t="str">
            <v/>
          </cell>
          <cell r="D121">
            <v>551.81994985579195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I121">
            <v>300</v>
          </cell>
          <cell r="J121" t="str">
            <v>0</v>
          </cell>
          <cell r="L121">
            <v>36.413258031714911</v>
          </cell>
          <cell r="M121">
            <v>53</v>
          </cell>
          <cell r="N121">
            <v>769.21325803171487</v>
          </cell>
          <cell r="O121">
            <v>0.78110891818279515</v>
          </cell>
          <cell r="P121">
            <v>552.60105877397473</v>
          </cell>
          <cell r="Q121">
            <v>243.173</v>
          </cell>
          <cell r="R121">
            <v>251.85</v>
          </cell>
          <cell r="S121">
            <v>1.3918762945303399E-2</v>
          </cell>
          <cell r="V121">
            <v>30.822324888000001</v>
          </cell>
        </row>
        <row r="122">
          <cell r="A122">
            <v>46314</v>
          </cell>
          <cell r="B122">
            <v>243.173</v>
          </cell>
          <cell r="C122" t="str">
            <v/>
          </cell>
          <cell r="D122">
            <v>552.59932172683204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I122">
            <v>300</v>
          </cell>
          <cell r="J122" t="str">
            <v>0</v>
          </cell>
          <cell r="L122">
            <v>32.475937526168764</v>
          </cell>
          <cell r="M122">
            <v>53</v>
          </cell>
          <cell r="N122">
            <v>765.27593752616872</v>
          </cell>
          <cell r="O122">
            <v>0.46622860798397647</v>
          </cell>
          <cell r="P122">
            <v>553.06555033481607</v>
          </cell>
          <cell r="Q122">
            <v>243.208</v>
          </cell>
          <cell r="R122">
            <v>251.85</v>
          </cell>
          <cell r="S122">
            <v>1.3918762945303399E-2</v>
          </cell>
          <cell r="V122">
            <v>27.066377904000003</v>
          </cell>
        </row>
        <row r="123">
          <cell r="A123">
            <v>46315</v>
          </cell>
          <cell r="B123">
            <v>243.208</v>
          </cell>
          <cell r="C123" t="str">
            <v/>
          </cell>
          <cell r="D123">
            <v>553.05395531827196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I123">
            <v>300</v>
          </cell>
          <cell r="J123" t="str">
            <v>0</v>
          </cell>
          <cell r="L123">
            <v>81.349077472416596</v>
          </cell>
          <cell r="M123">
            <v>53</v>
          </cell>
          <cell r="N123">
            <v>814.14907747241659</v>
          </cell>
          <cell r="O123">
            <v>0.32756637812795203</v>
          </cell>
          <cell r="P123">
            <v>553.38152169639989</v>
          </cell>
          <cell r="Q123">
            <v>243.233</v>
          </cell>
          <cell r="R123">
            <v>251.85</v>
          </cell>
          <cell r="S123">
            <v>1.3918762945303399E-2</v>
          </cell>
          <cell r="V123">
            <v>26.845421523450003</v>
          </cell>
        </row>
        <row r="124">
          <cell r="A124">
            <v>46316</v>
          </cell>
          <cell r="B124">
            <v>243.233</v>
          </cell>
          <cell r="C124" t="str">
            <v/>
          </cell>
          <cell r="D124">
            <v>553.37869359787203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I124">
            <v>300</v>
          </cell>
          <cell r="J124" t="str">
            <v>0</v>
          </cell>
          <cell r="L124">
            <v>36.150428664974704</v>
          </cell>
          <cell r="M124">
            <v>53</v>
          </cell>
          <cell r="N124">
            <v>768.95042866497465</v>
          </cell>
          <cell r="O124">
            <v>5.2295211095252805</v>
          </cell>
          <cell r="P124">
            <v>558.60821470739734</v>
          </cell>
          <cell r="Q124">
            <v>243.63499999999999</v>
          </cell>
          <cell r="R124">
            <v>251.85</v>
          </cell>
          <cell r="S124">
            <v>1.3918762945303399E-2</v>
          </cell>
          <cell r="V124">
            <v>82.301225514000009</v>
          </cell>
        </row>
        <row r="125">
          <cell r="A125">
            <v>46317</v>
          </cell>
          <cell r="B125">
            <v>243.63499999999999</v>
          </cell>
          <cell r="C125" t="str">
            <v/>
          </cell>
          <cell r="D125">
            <v>558.60048513384004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I125">
            <v>300</v>
          </cell>
          <cell r="J125" t="str">
            <v>0</v>
          </cell>
          <cell r="L125">
            <v>49.10211147162503</v>
          </cell>
          <cell r="M125">
            <v>53</v>
          </cell>
          <cell r="N125">
            <v>781.90211147162495</v>
          </cell>
          <cell r="O125">
            <v>1.2463835689970173</v>
          </cell>
          <cell r="P125">
            <v>559.84686870283701</v>
          </cell>
          <cell r="Q125">
            <v>243.73</v>
          </cell>
          <cell r="R125">
            <v>251.85</v>
          </cell>
          <cell r="S125">
            <v>1.3918762945303399E-2</v>
          </cell>
          <cell r="V125">
            <v>36.566766029550003</v>
          </cell>
        </row>
        <row r="126">
          <cell r="A126">
            <v>46318</v>
          </cell>
          <cell r="B126">
            <v>243.73</v>
          </cell>
          <cell r="C126" t="str">
            <v/>
          </cell>
          <cell r="D126">
            <v>559.83449059632005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I126">
            <v>300</v>
          </cell>
          <cell r="J126" t="str">
            <v>0</v>
          </cell>
          <cell r="L126">
            <v>46.749764125552261</v>
          </cell>
          <cell r="M126">
            <v>53</v>
          </cell>
          <cell r="N126">
            <v>779.5497641255522</v>
          </cell>
          <cell r="O126">
            <v>0.71764361475922611</v>
          </cell>
          <cell r="P126">
            <v>560.55213421107931</v>
          </cell>
          <cell r="Q126">
            <v>243.785</v>
          </cell>
          <cell r="R126">
            <v>251.85</v>
          </cell>
          <cell r="S126">
            <v>1.3918762945303399E-2</v>
          </cell>
          <cell r="V126">
            <v>30.380468760599999</v>
          </cell>
        </row>
        <row r="127">
          <cell r="A127">
            <v>46319</v>
          </cell>
          <cell r="B127">
            <v>243.785</v>
          </cell>
          <cell r="C127" t="str">
            <v/>
          </cell>
          <cell r="D127">
            <v>560.54891481144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I127">
            <v>300</v>
          </cell>
          <cell r="J127" t="str">
            <v>0</v>
          </cell>
          <cell r="L127">
            <v>71.652546618880294</v>
          </cell>
          <cell r="M127">
            <v>53</v>
          </cell>
          <cell r="N127">
            <v>804.45254661888021</v>
          </cell>
          <cell r="O127">
            <v>4.9079801589266143</v>
          </cell>
          <cell r="P127">
            <v>565.45689497036665</v>
          </cell>
          <cell r="Q127">
            <v>244.16200000000001</v>
          </cell>
          <cell r="R127">
            <v>251.85</v>
          </cell>
          <cell r="S127">
            <v>1.3918762945303399E-2</v>
          </cell>
          <cell r="V127">
            <v>79.584988311450005</v>
          </cell>
        </row>
        <row r="128">
          <cell r="A128">
            <v>46320</v>
          </cell>
          <cell r="B128">
            <v>244.16200000000001</v>
          </cell>
          <cell r="C128" t="str">
            <v/>
          </cell>
          <cell r="D128">
            <v>565.44596806780805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I128">
            <v>300</v>
          </cell>
          <cell r="J128" t="str">
            <v>0</v>
          </cell>
          <cell r="L128">
            <v>25.31790400133961</v>
          </cell>
          <cell r="M128">
            <v>53</v>
          </cell>
          <cell r="N128">
            <v>758.11790400133953</v>
          </cell>
          <cell r="O128">
            <v>3.8636773572535086</v>
          </cell>
          <cell r="P128">
            <v>569.3096454250616</v>
          </cell>
          <cell r="Q128">
            <v>244.459</v>
          </cell>
          <cell r="R128">
            <v>251.85</v>
          </cell>
          <cell r="S128">
            <v>1.3918762945303399E-2</v>
          </cell>
          <cell r="V128">
            <v>66.18607786215</v>
          </cell>
        </row>
        <row r="129">
          <cell r="A129">
            <v>46321</v>
          </cell>
          <cell r="B129">
            <v>244.459</v>
          </cell>
          <cell r="C129" t="str">
            <v/>
          </cell>
          <cell r="D129">
            <v>569.30385882945598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I129">
            <v>300</v>
          </cell>
          <cell r="J129" t="str">
            <v>0</v>
          </cell>
          <cell r="L129">
            <v>23.663287493420075</v>
          </cell>
          <cell r="M129">
            <v>53</v>
          </cell>
          <cell r="N129">
            <v>756.46328749342001</v>
          </cell>
          <cell r="O129">
            <v>3.0727022931682266</v>
          </cell>
          <cell r="P129">
            <v>572.37656112262425</v>
          </cell>
          <cell r="Q129">
            <v>244.69499999999999</v>
          </cell>
          <cell r="R129">
            <v>251.85</v>
          </cell>
          <cell r="S129">
            <v>1.3918762945303399E-2</v>
          </cell>
          <cell r="V129">
            <v>56.98440418725</v>
          </cell>
        </row>
        <row r="130">
          <cell r="A130">
            <v>46322</v>
          </cell>
          <cell r="B130">
            <v>244.69499999999999</v>
          </cell>
          <cell r="C130" t="str">
            <v/>
          </cell>
          <cell r="D130">
            <v>572.36938818887995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I130">
            <v>300</v>
          </cell>
          <cell r="J130" t="str">
            <v>0</v>
          </cell>
          <cell r="L130">
            <v>21.671625402352166</v>
          </cell>
          <cell r="M130">
            <v>53</v>
          </cell>
          <cell r="N130">
            <v>754.47162540235217</v>
          </cell>
          <cell r="O130">
            <v>2.575455377582017</v>
          </cell>
          <cell r="P130">
            <v>574.94484356646194</v>
          </cell>
          <cell r="Q130">
            <v>244.893</v>
          </cell>
          <cell r="R130">
            <v>251.85</v>
          </cell>
          <cell r="S130">
            <v>1.3918762945303399E-2</v>
          </cell>
          <cell r="V130">
            <v>51.172823794350002</v>
          </cell>
        </row>
        <row r="131">
          <cell r="A131">
            <v>46323</v>
          </cell>
          <cell r="B131">
            <v>244.893</v>
          </cell>
          <cell r="C131" t="str">
            <v/>
          </cell>
          <cell r="D131">
            <v>574.94131536331201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I131">
            <v>300</v>
          </cell>
          <cell r="J131" t="str">
            <v>0</v>
          </cell>
          <cell r="L131">
            <v>44.729448362288778</v>
          </cell>
          <cell r="M131">
            <v>53</v>
          </cell>
          <cell r="N131">
            <v>777.52944836228869</v>
          </cell>
          <cell r="O131">
            <v>2.2958787434182337</v>
          </cell>
          <cell r="P131">
            <v>577.23719410673027</v>
          </cell>
          <cell r="Q131">
            <v>245.065</v>
          </cell>
          <cell r="R131">
            <v>251.85</v>
          </cell>
          <cell r="S131">
            <v>1.3918762945303399E-2</v>
          </cell>
          <cell r="V131">
            <v>48.5899023216</v>
          </cell>
        </row>
        <row r="132">
          <cell r="A132">
            <v>46324</v>
          </cell>
          <cell r="B132">
            <v>245.065</v>
          </cell>
          <cell r="C132" t="str">
            <v/>
          </cell>
          <cell r="D132">
            <v>577.22929692191997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I132">
            <v>300</v>
          </cell>
          <cell r="J132" t="str">
            <v>0</v>
          </cell>
          <cell r="L132">
            <v>41.073828366871908</v>
          </cell>
          <cell r="M132">
            <v>53</v>
          </cell>
          <cell r="N132">
            <v>773.87382836687186</v>
          </cell>
          <cell r="O132">
            <v>2.0677105537546434</v>
          </cell>
          <cell r="P132">
            <v>579.2970074756746</v>
          </cell>
          <cell r="Q132">
            <v>245.214</v>
          </cell>
          <cell r="R132">
            <v>251.85</v>
          </cell>
          <cell r="S132">
            <v>1.3918762945303399E-2</v>
          </cell>
          <cell r="V132">
            <v>45.845546487</v>
          </cell>
        </row>
        <row r="133">
          <cell r="A133">
            <v>46325</v>
          </cell>
          <cell r="B133">
            <v>245.214</v>
          </cell>
          <cell r="C133" t="str">
            <v/>
          </cell>
          <cell r="D133">
            <v>579.28802240755203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I133">
            <v>300</v>
          </cell>
          <cell r="J133" t="str">
            <v>0</v>
          </cell>
          <cell r="L133">
            <v>32.759302878408022</v>
          </cell>
          <cell r="M133">
            <v>53</v>
          </cell>
          <cell r="N133">
            <v>765.55930287840795</v>
          </cell>
          <cell r="O133">
            <v>1.8927844222912731</v>
          </cell>
          <cell r="P133">
            <v>581.18080682984328</v>
          </cell>
          <cell r="Q133">
            <v>245.35</v>
          </cell>
          <cell r="R133">
            <v>251.85</v>
          </cell>
          <cell r="S133">
            <v>1.3918762945303399E-2</v>
          </cell>
          <cell r="V133">
            <v>43.585493737950003</v>
          </cell>
        </row>
        <row r="134">
          <cell r="A134">
            <v>46326</v>
          </cell>
          <cell r="B134">
            <v>245.35</v>
          </cell>
          <cell r="C134" t="str">
            <v/>
          </cell>
          <cell r="D134">
            <v>581.16712754879995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I134">
            <v>300</v>
          </cell>
          <cell r="J134" t="str">
            <v>0</v>
          </cell>
          <cell r="L134">
            <v>53.133740573373004</v>
          </cell>
          <cell r="M134">
            <v>53</v>
          </cell>
          <cell r="N134">
            <v>785.93374057337292</v>
          </cell>
          <cell r="O134">
            <v>1.2667766500453175</v>
          </cell>
          <cell r="P134">
            <v>582.43390419884531</v>
          </cell>
          <cell r="Q134">
            <v>245.441</v>
          </cell>
          <cell r="R134">
            <v>251.85</v>
          </cell>
          <cell r="S134">
            <v>1.3918762945303399E-2</v>
          </cell>
          <cell r="V134">
            <v>36.916960513500001</v>
          </cell>
        </row>
        <row r="135">
          <cell r="A135">
            <v>46327</v>
          </cell>
          <cell r="B135">
            <v>245.441</v>
          </cell>
          <cell r="C135" t="str">
            <v/>
          </cell>
          <cell r="D135">
            <v>582.42446995948796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I135">
            <v>300</v>
          </cell>
          <cell r="J135" t="str">
            <v>0</v>
          </cell>
          <cell r="L135">
            <v>52.258655814228597</v>
          </cell>
          <cell r="M135">
            <v>53</v>
          </cell>
          <cell r="N135">
            <v>785.05865581422859</v>
          </cell>
          <cell r="O135">
            <v>3.6351168064911055</v>
          </cell>
          <cell r="P135">
            <v>586.05958676597902</v>
          </cell>
          <cell r="Q135">
            <v>245.70400000000001</v>
          </cell>
          <cell r="R135">
            <v>251.85</v>
          </cell>
          <cell r="S135">
            <v>1.3918762945303399E-2</v>
          </cell>
          <cell r="V135">
            <v>64.303573674150002</v>
          </cell>
        </row>
        <row r="136">
          <cell r="A136">
            <v>46328</v>
          </cell>
          <cell r="B136">
            <v>245.70400000000001</v>
          </cell>
          <cell r="C136" t="str">
            <v/>
          </cell>
          <cell r="D136">
            <v>586.05832769587198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I136">
            <v>300</v>
          </cell>
          <cell r="J136" t="str">
            <v>0</v>
          </cell>
          <cell r="L136">
            <v>45.512469861413003</v>
          </cell>
          <cell r="M136">
            <v>53</v>
          </cell>
          <cell r="N136">
            <v>778.31246986141298</v>
          </cell>
          <cell r="O136">
            <v>7.8081755853854897</v>
          </cell>
          <cell r="P136">
            <v>593.86650328125745</v>
          </cell>
          <cell r="Q136">
            <v>246.26900000000001</v>
          </cell>
          <cell r="R136">
            <v>251.85</v>
          </cell>
          <cell r="S136">
            <v>1.3918762945303399E-2</v>
          </cell>
          <cell r="V136">
            <v>112.41191964465001</v>
          </cell>
        </row>
        <row r="137">
          <cell r="A137">
            <v>46329</v>
          </cell>
          <cell r="B137">
            <v>246.26900000000001</v>
          </cell>
          <cell r="C137" t="str">
            <v/>
          </cell>
          <cell r="D137">
            <v>593.864904201792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I137">
            <v>300</v>
          </cell>
          <cell r="J137" t="str">
            <v>0</v>
          </cell>
          <cell r="L137">
            <v>63.072055742109399</v>
          </cell>
          <cell r="M137">
            <v>53</v>
          </cell>
          <cell r="N137">
            <v>795.8720557421093</v>
          </cell>
          <cell r="O137">
            <v>3.0223450785682231</v>
          </cell>
          <cell r="P137">
            <v>596.88724928036027</v>
          </cell>
          <cell r="Q137">
            <v>246.48699999999999</v>
          </cell>
          <cell r="R137">
            <v>251.85</v>
          </cell>
          <cell r="S137">
            <v>1.3918762945303399E-2</v>
          </cell>
          <cell r="V137">
            <v>57.517497205350004</v>
          </cell>
        </row>
        <row r="138">
          <cell r="A138">
            <v>46330</v>
          </cell>
          <cell r="B138">
            <v>246.48699999999999</v>
          </cell>
          <cell r="C138" t="str">
            <v/>
          </cell>
          <cell r="D138">
            <v>596.876999207616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I138">
            <v>300</v>
          </cell>
          <cell r="J138" t="str">
            <v>0</v>
          </cell>
          <cell r="L138">
            <v>76.959990557306753</v>
          </cell>
          <cell r="M138">
            <v>53</v>
          </cell>
          <cell r="N138">
            <v>809.75999055730676</v>
          </cell>
          <cell r="O138">
            <v>2.0356062454587045</v>
          </cell>
          <cell r="P138">
            <v>598.91260545307466</v>
          </cell>
          <cell r="Q138">
            <v>246.63399999999999</v>
          </cell>
          <cell r="R138">
            <v>251.85</v>
          </cell>
          <cell r="S138">
            <v>1.3918762945303399E-2</v>
          </cell>
          <cell r="V138">
            <v>46.490151260400005</v>
          </cell>
        </row>
        <row r="139">
          <cell r="A139">
            <v>46331</v>
          </cell>
          <cell r="B139">
            <v>246.63399999999999</v>
          </cell>
          <cell r="C139" t="str">
            <v/>
          </cell>
          <cell r="D139">
            <v>598.90809079411201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I139">
            <v>300</v>
          </cell>
          <cell r="J139" t="str">
            <v>0</v>
          </cell>
          <cell r="L139">
            <v>37.093490744545804</v>
          </cell>
          <cell r="M139">
            <v>53</v>
          </cell>
          <cell r="N139">
            <v>769.89349074454572</v>
          </cell>
          <cell r="O139">
            <v>3.0021451198345313</v>
          </cell>
          <cell r="P139">
            <v>601.91023591394651</v>
          </cell>
          <cell r="Q139">
            <v>246.851</v>
          </cell>
          <cell r="R139">
            <v>251.85</v>
          </cell>
          <cell r="S139">
            <v>1.3918762945303399E-2</v>
          </cell>
          <cell r="V139">
            <v>56.548069845600004</v>
          </cell>
        </row>
        <row r="140">
          <cell r="A140">
            <v>46332</v>
          </cell>
          <cell r="B140">
            <v>246.851</v>
          </cell>
          <cell r="C140" t="str">
            <v/>
          </cell>
          <cell r="D140">
            <v>601.90636885036804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I140">
            <v>300</v>
          </cell>
          <cell r="J140" t="str">
            <v>0</v>
          </cell>
          <cell r="L140">
            <v>65.314125426755695</v>
          </cell>
          <cell r="M140">
            <v>53</v>
          </cell>
          <cell r="N140">
            <v>798.11412542675566</v>
          </cell>
          <cell r="O140">
            <v>1.6453019143338314</v>
          </cell>
          <cell r="P140">
            <v>603.55167076470184</v>
          </cell>
          <cell r="Q140">
            <v>246.97</v>
          </cell>
          <cell r="R140">
            <v>251.85</v>
          </cell>
          <cell r="S140">
            <v>1.3918762945303399E-2</v>
          </cell>
          <cell r="V140">
            <v>41.642957827949999</v>
          </cell>
        </row>
        <row r="141">
          <cell r="A141">
            <v>46333</v>
          </cell>
          <cell r="B141">
            <v>246.97</v>
          </cell>
          <cell r="C141" t="str">
            <v/>
          </cell>
          <cell r="D141">
            <v>603.55058584896005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I141">
            <v>300</v>
          </cell>
          <cell r="J141" t="str">
            <v>0</v>
          </cell>
          <cell r="L141">
            <v>63.053722613600371</v>
          </cell>
          <cell r="M141">
            <v>53</v>
          </cell>
          <cell r="N141">
            <v>795.85372261360033</v>
          </cell>
          <cell r="O141">
            <v>2.2842568577227853</v>
          </cell>
          <cell r="P141">
            <v>605.83484270668282</v>
          </cell>
          <cell r="Q141">
            <v>247.13499999999999</v>
          </cell>
          <cell r="R141">
            <v>251.85</v>
          </cell>
          <cell r="S141">
            <v>1.3918762945303399E-2</v>
          </cell>
          <cell r="V141">
            <v>48.974275243500003</v>
          </cell>
        </row>
        <row r="142">
          <cell r="A142">
            <v>46334</v>
          </cell>
          <cell r="B142">
            <v>247.13499999999999</v>
          </cell>
          <cell r="C142" t="str">
            <v/>
          </cell>
          <cell r="D142">
            <v>605.83038252767994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I142">
            <v>300</v>
          </cell>
          <cell r="J142" t="str">
            <v>0</v>
          </cell>
          <cell r="L142">
            <v>41.237711767368062</v>
          </cell>
          <cell r="M142">
            <v>53</v>
          </cell>
          <cell r="N142">
            <v>774.03771176736802</v>
          </cell>
          <cell r="O142">
            <v>1.7731240554435086</v>
          </cell>
          <cell r="P142">
            <v>607.60350658312348</v>
          </cell>
          <cell r="Q142">
            <v>247.26300000000001</v>
          </cell>
          <cell r="R142">
            <v>251.85</v>
          </cell>
          <cell r="S142">
            <v>1.3918762945303399E-2</v>
          </cell>
          <cell r="V142">
            <v>42.440615175600001</v>
          </cell>
        </row>
        <row r="143">
          <cell r="A143">
            <v>46335</v>
          </cell>
          <cell r="B143">
            <v>247.26300000000001</v>
          </cell>
          <cell r="C143" t="str">
            <v/>
          </cell>
          <cell r="D143">
            <v>607.59895207238401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I143">
            <v>300</v>
          </cell>
          <cell r="J143" t="str">
            <v>0</v>
          </cell>
          <cell r="L143">
            <v>26.970731303907012</v>
          </cell>
          <cell r="M143">
            <v>53</v>
          </cell>
          <cell r="N143">
            <v>759.77073130390693</v>
          </cell>
          <cell r="O143">
            <v>3.1450169683422891</v>
          </cell>
          <cell r="P143">
            <v>610.74396904072626</v>
          </cell>
          <cell r="Q143">
            <v>247.49</v>
          </cell>
          <cell r="R143">
            <v>251.85</v>
          </cell>
          <cell r="S143">
            <v>1.3918762945303399E-2</v>
          </cell>
          <cell r="V143">
            <v>57.915037462500003</v>
          </cell>
        </row>
        <row r="144">
          <cell r="A144">
            <v>46336</v>
          </cell>
          <cell r="B144">
            <v>247.49</v>
          </cell>
          <cell r="C144" t="str">
            <v/>
          </cell>
          <cell r="D144">
            <v>610.73539962432005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I144">
            <v>300</v>
          </cell>
          <cell r="J144" t="str">
            <v>0</v>
          </cell>
          <cell r="L144">
            <v>47.678857898752923</v>
          </cell>
          <cell r="M144">
            <v>53</v>
          </cell>
          <cell r="N144">
            <v>780.47885789875284</v>
          </cell>
          <cell r="O144">
            <v>8.6998007142016647</v>
          </cell>
          <cell r="P144">
            <v>619.43520033852167</v>
          </cell>
          <cell r="Q144">
            <v>248.119</v>
          </cell>
          <cell r="R144">
            <v>251.85</v>
          </cell>
          <cell r="S144">
            <v>1.3918762945303399E-2</v>
          </cell>
          <cell r="V144">
            <v>122.79301843890001</v>
          </cell>
        </row>
        <row r="145">
          <cell r="A145">
            <v>46337</v>
          </cell>
          <cell r="B145">
            <v>248.119</v>
          </cell>
          <cell r="C145" t="str">
            <v/>
          </cell>
          <cell r="D145">
            <v>619.42626090259205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I145">
            <v>300</v>
          </cell>
          <cell r="J145" t="str">
            <v>0</v>
          </cell>
          <cell r="L145">
            <v>22.100068603636483</v>
          </cell>
          <cell r="M145">
            <v>53</v>
          </cell>
          <cell r="N145">
            <v>754.90006860363644</v>
          </cell>
          <cell r="O145">
            <v>2.5131988343604572</v>
          </cell>
          <cell r="P145">
            <v>621.93945973695247</v>
          </cell>
          <cell r="Q145">
            <v>248.3</v>
          </cell>
          <cell r="R145">
            <v>251.85</v>
          </cell>
          <cell r="S145">
            <v>1.3918762945303399E-2</v>
          </cell>
          <cell r="V145">
            <v>50.46439284105</v>
          </cell>
        </row>
        <row r="146">
          <cell r="A146">
            <v>46338</v>
          </cell>
          <cell r="B146">
            <v>248.3</v>
          </cell>
          <cell r="C146" t="str">
            <v/>
          </cell>
          <cell r="D146">
            <v>621.92712877439999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I146">
            <v>300</v>
          </cell>
          <cell r="J146" t="str">
            <v>0</v>
          </cell>
          <cell r="L146">
            <v>47.150910772393551</v>
          </cell>
          <cell r="M146">
            <v>53</v>
          </cell>
          <cell r="N146">
            <v>779.95091077239351</v>
          </cell>
          <cell r="O146">
            <v>1.679429665633561</v>
          </cell>
          <cell r="P146">
            <v>623.6065584400335</v>
          </cell>
          <cell r="Q146">
            <v>248.42099999999999</v>
          </cell>
          <cell r="R146">
            <v>251.85</v>
          </cell>
          <cell r="S146">
            <v>1.3918762945303399E-2</v>
          </cell>
          <cell r="V146">
            <v>41.52363062205</v>
          </cell>
        </row>
        <row r="147">
          <cell r="A147">
            <v>46339</v>
          </cell>
          <cell r="B147">
            <v>248.42099999999999</v>
          </cell>
          <cell r="C147" t="str">
            <v/>
          </cell>
          <cell r="D147">
            <v>623.59897967212805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I147">
            <v>300</v>
          </cell>
          <cell r="J147" t="str">
            <v>0</v>
          </cell>
          <cell r="L147">
            <v>33.591277262035547</v>
          </cell>
          <cell r="M147">
            <v>53</v>
          </cell>
          <cell r="N147">
            <v>766.39127726203549</v>
          </cell>
          <cell r="O147">
            <v>1.3857839154454801</v>
          </cell>
          <cell r="P147">
            <v>624.98476358757353</v>
          </cell>
          <cell r="Q147">
            <v>248.52099999999999</v>
          </cell>
          <cell r="R147">
            <v>251.85</v>
          </cell>
          <cell r="S147">
            <v>1.3918762945303399E-2</v>
          </cell>
          <cell r="V147">
            <v>37.740980848500001</v>
          </cell>
        </row>
        <row r="148">
          <cell r="A148">
            <v>46340</v>
          </cell>
          <cell r="B148">
            <v>248.52099999999999</v>
          </cell>
          <cell r="C148" t="str">
            <v/>
          </cell>
          <cell r="D148">
            <v>624.980674628928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I148">
            <v>300</v>
          </cell>
          <cell r="J148" t="str">
            <v>0</v>
          </cell>
          <cell r="L148">
            <v>69.924660605538165</v>
          </cell>
          <cell r="M148">
            <v>53</v>
          </cell>
          <cell r="N148">
            <v>802.72466060553813</v>
          </cell>
          <cell r="O148">
            <v>2.1644043638081842</v>
          </cell>
          <cell r="P148">
            <v>627.14507899273622</v>
          </cell>
          <cell r="Q148">
            <v>248.67699999999999</v>
          </cell>
          <cell r="R148">
            <v>251.85</v>
          </cell>
          <cell r="S148">
            <v>1.3918762945303399E-2</v>
          </cell>
          <cell r="V148">
            <v>47.78165447205</v>
          </cell>
        </row>
        <row r="149">
          <cell r="A149">
            <v>46341</v>
          </cell>
          <cell r="B149">
            <v>248.67699999999999</v>
          </cell>
          <cell r="C149" t="str">
            <v/>
          </cell>
          <cell r="D149">
            <v>627.13611876153595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I149">
            <v>300</v>
          </cell>
          <cell r="J149" t="str">
            <v>0</v>
          </cell>
          <cell r="L149">
            <v>36.524744358616367</v>
          </cell>
          <cell r="M149">
            <v>53</v>
          </cell>
          <cell r="N149">
            <v>769.32474435861627</v>
          </cell>
          <cell r="O149">
            <v>1.3032305564324487</v>
          </cell>
          <cell r="P149">
            <v>628.43934931796844</v>
          </cell>
          <cell r="Q149">
            <v>248.77099999999999</v>
          </cell>
          <cell r="R149">
            <v>251.85</v>
          </cell>
          <cell r="S149">
            <v>1.3918762945303399E-2</v>
          </cell>
          <cell r="V149">
            <v>36.868567016850001</v>
          </cell>
        </row>
        <row r="150">
          <cell r="A150">
            <v>46342</v>
          </cell>
          <cell r="B150">
            <v>248.77099999999999</v>
          </cell>
          <cell r="C150" t="str">
            <v/>
          </cell>
          <cell r="D150">
            <v>628.43491202092798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I150">
            <v>300</v>
          </cell>
          <cell r="J150" t="str">
            <v>0</v>
          </cell>
          <cell r="L150">
            <v>34.573844155668233</v>
          </cell>
          <cell r="M150">
            <v>53</v>
          </cell>
          <cell r="N150">
            <v>767.37384415566817</v>
          </cell>
          <cell r="O150">
            <v>0.91704878412590363</v>
          </cell>
          <cell r="P150">
            <v>629.35196080505386</v>
          </cell>
          <cell r="Q150">
            <v>248.83699999999999</v>
          </cell>
          <cell r="R150">
            <v>251.85</v>
          </cell>
          <cell r="S150">
            <v>1.3918762945303399E-2</v>
          </cell>
          <cell r="V150">
            <v>32.3436193374</v>
          </cell>
        </row>
        <row r="151">
          <cell r="A151">
            <v>46343</v>
          </cell>
          <cell r="B151">
            <v>248.83699999999999</v>
          </cell>
          <cell r="C151" t="str">
            <v/>
          </cell>
          <cell r="D151">
            <v>629.34683069241601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I151">
            <v>300</v>
          </cell>
          <cell r="J151" t="str">
            <v>0</v>
          </cell>
          <cell r="L151">
            <v>51.055381822379836</v>
          </cell>
          <cell r="M151">
            <v>53</v>
          </cell>
          <cell r="N151">
            <v>783.85538182237974</v>
          </cell>
          <cell r="O151">
            <v>0.85372775117672028</v>
          </cell>
          <cell r="P151">
            <v>630.20055844359274</v>
          </cell>
          <cell r="Q151">
            <v>248.898</v>
          </cell>
          <cell r="R151">
            <v>251.85</v>
          </cell>
          <cell r="S151">
            <v>1.3918762945303399E-2</v>
          </cell>
          <cell r="V151">
            <v>32.077440947400007</v>
          </cell>
        </row>
        <row r="152">
          <cell r="A152">
            <v>46344</v>
          </cell>
          <cell r="B152">
            <v>248.898</v>
          </cell>
          <cell r="C152" t="str">
            <v/>
          </cell>
          <cell r="D152">
            <v>630.18966461606396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I152">
            <v>300</v>
          </cell>
          <cell r="J152" t="str">
            <v>0</v>
          </cell>
          <cell r="L152">
            <v>63.47567185839771</v>
          </cell>
          <cell r="M152">
            <v>53</v>
          </cell>
          <cell r="N152">
            <v>796.27567185839769</v>
          </cell>
          <cell r="O152">
            <v>6.5956640321594975</v>
          </cell>
          <cell r="P152">
            <v>636.78532864822341</v>
          </cell>
          <cell r="Q152">
            <v>249.375</v>
          </cell>
          <cell r="R152">
            <v>251.85</v>
          </cell>
          <cell r="S152">
            <v>1.3918762945303399E-2</v>
          </cell>
          <cell r="V152">
            <v>98.886857628599998</v>
          </cell>
        </row>
        <row r="153">
          <cell r="A153">
            <v>46345</v>
          </cell>
          <cell r="B153">
            <v>249.375</v>
          </cell>
          <cell r="C153" t="str">
            <v/>
          </cell>
          <cell r="D153">
            <v>636.78034955999999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I153">
            <v>300</v>
          </cell>
          <cell r="J153" t="str">
            <v>0</v>
          </cell>
          <cell r="L153">
            <v>62.169112280614129</v>
          </cell>
          <cell r="M153">
            <v>53</v>
          </cell>
          <cell r="N153">
            <v>794.96911228061413</v>
          </cell>
          <cell r="O153">
            <v>1.8384196228564871</v>
          </cell>
          <cell r="P153">
            <v>638.61876918285645</v>
          </cell>
          <cell r="Q153">
            <v>249.50800000000001</v>
          </cell>
          <cell r="R153">
            <v>251.85</v>
          </cell>
          <cell r="S153">
            <v>1.3918762945303399E-2</v>
          </cell>
          <cell r="V153">
            <v>43.7890635726</v>
          </cell>
        </row>
        <row r="154">
          <cell r="A154">
            <v>46346</v>
          </cell>
          <cell r="B154">
            <v>249.50800000000001</v>
          </cell>
          <cell r="C154" t="str">
            <v/>
          </cell>
          <cell r="D154">
            <v>638.61800385254401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I154">
            <v>300</v>
          </cell>
          <cell r="J154" t="str">
            <v>0</v>
          </cell>
          <cell r="L154">
            <v>81.472596618645142</v>
          </cell>
          <cell r="M154">
            <v>53</v>
          </cell>
          <cell r="N154">
            <v>814.27259661864514</v>
          </cell>
          <cell r="O154">
            <v>1.1472668766318945</v>
          </cell>
          <cell r="P154">
            <v>639.76527072917588</v>
          </cell>
          <cell r="Q154">
            <v>249.59100000000001</v>
          </cell>
          <cell r="R154">
            <v>251.85</v>
          </cell>
          <cell r="S154">
            <v>1.3918762945303399E-2</v>
          </cell>
          <cell r="V154">
            <v>36.33621023685</v>
          </cell>
        </row>
        <row r="155">
          <cell r="A155">
            <v>46347</v>
          </cell>
          <cell r="B155">
            <v>249.59100000000001</v>
          </cell>
          <cell r="C155" t="str">
            <v/>
          </cell>
          <cell r="D155">
            <v>639.76481066668805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I155">
            <v>300</v>
          </cell>
          <cell r="J155" t="str">
            <v>0</v>
          </cell>
          <cell r="L155">
            <v>81.135918150446599</v>
          </cell>
          <cell r="M155">
            <v>53</v>
          </cell>
          <cell r="N155">
            <v>813.93591815044658</v>
          </cell>
          <cell r="O155">
            <v>4.5371597443762264</v>
          </cell>
          <cell r="P155">
            <v>644.3019704110643</v>
          </cell>
          <cell r="Q155">
            <v>249.91900000000001</v>
          </cell>
          <cell r="R155">
            <v>251.85</v>
          </cell>
          <cell r="S155">
            <v>1.3918762945303399E-2</v>
          </cell>
          <cell r="V155">
            <v>75.561616996050006</v>
          </cell>
        </row>
        <row r="156">
          <cell r="A156">
            <v>46348</v>
          </cell>
          <cell r="B156">
            <v>249.91900000000001</v>
          </cell>
          <cell r="C156" t="str">
            <v/>
          </cell>
          <cell r="D156">
            <v>644.29677012499201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I156">
            <v>300</v>
          </cell>
          <cell r="J156" t="str">
            <v>0</v>
          </cell>
          <cell r="L156">
            <v>93.313779305022507</v>
          </cell>
          <cell r="M156">
            <v>53</v>
          </cell>
          <cell r="N156">
            <v>826.11377930502249</v>
          </cell>
          <cell r="O156">
            <v>3.409192750490686</v>
          </cell>
          <cell r="P156">
            <v>647.70596287548267</v>
          </cell>
          <cell r="Q156">
            <v>250.15600000000001</v>
          </cell>
          <cell r="R156">
            <v>251.85</v>
          </cell>
          <cell r="S156">
            <v>1.3918762945303399E-2</v>
          </cell>
          <cell r="V156">
            <v>62.85125907135</v>
          </cell>
        </row>
        <row r="157">
          <cell r="A157">
            <v>46349</v>
          </cell>
          <cell r="B157">
            <v>250.15600000000001</v>
          </cell>
          <cell r="C157" t="str">
            <v/>
          </cell>
          <cell r="D157">
            <v>647.70261957676803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I157">
            <v>300</v>
          </cell>
          <cell r="J157" t="str">
            <v>0</v>
          </cell>
          <cell r="L157">
            <v>46.797409813639973</v>
          </cell>
          <cell r="M157">
            <v>53</v>
          </cell>
          <cell r="N157">
            <v>779.59740981363996</v>
          </cell>
          <cell r="O157">
            <v>2.7688280248329802</v>
          </cell>
          <cell r="P157">
            <v>650.47144760160097</v>
          </cell>
          <cell r="Q157">
            <v>250.34399999999999</v>
          </cell>
          <cell r="R157">
            <v>251.85</v>
          </cell>
          <cell r="S157">
            <v>1.3918762945303399E-2</v>
          </cell>
          <cell r="V157">
            <v>54.122420157750007</v>
          </cell>
        </row>
        <row r="158">
          <cell r="A158">
            <v>46350</v>
          </cell>
          <cell r="B158">
            <v>250.34399999999999</v>
          </cell>
          <cell r="C158" t="str">
            <v/>
          </cell>
          <cell r="D158">
            <v>650.45835796723202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I158">
            <v>300</v>
          </cell>
          <cell r="J158" t="str">
            <v>0</v>
          </cell>
          <cell r="L158">
            <v>78.642339372945727</v>
          </cell>
          <cell r="M158">
            <v>53</v>
          </cell>
          <cell r="N158">
            <v>811.44233937294564</v>
          </cell>
          <cell r="O158">
            <v>2.2146014576025363</v>
          </cell>
          <cell r="P158">
            <v>652.67295942483452</v>
          </cell>
          <cell r="Q158">
            <v>250.495</v>
          </cell>
          <cell r="R158">
            <v>251.85</v>
          </cell>
          <cell r="S158">
            <v>1.3918762945303399E-2</v>
          </cell>
          <cell r="V158">
            <v>48.609497581799999</v>
          </cell>
        </row>
        <row r="159">
          <cell r="A159">
            <v>46351</v>
          </cell>
          <cell r="B159">
            <v>250.495</v>
          </cell>
          <cell r="C159" t="str">
            <v/>
          </cell>
          <cell r="D159">
            <v>652.67174358935995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I159">
            <v>300</v>
          </cell>
          <cell r="J159" t="str">
            <v>0</v>
          </cell>
          <cell r="L159">
            <v>29.75396090175267</v>
          </cell>
          <cell r="M159">
            <v>53</v>
          </cell>
          <cell r="N159">
            <v>762.55396090175259</v>
          </cell>
          <cell r="O159">
            <v>2.1225134315465786</v>
          </cell>
          <cell r="P159">
            <v>654.79425702090657</v>
          </cell>
          <cell r="Q159">
            <v>250.63900000000001</v>
          </cell>
          <cell r="R159">
            <v>251.85</v>
          </cell>
          <cell r="S159">
            <v>1.3918762945303399E-2</v>
          </cell>
          <cell r="V159">
            <v>46.159297185</v>
          </cell>
        </row>
        <row r="160">
          <cell r="A160">
            <v>46352</v>
          </cell>
          <cell r="B160">
            <v>250.63900000000001</v>
          </cell>
          <cell r="C160" t="str">
            <v/>
          </cell>
          <cell r="D160">
            <v>654.78252193099195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I160">
            <v>300</v>
          </cell>
          <cell r="J160" t="str">
            <v>0</v>
          </cell>
          <cell r="L160">
            <v>37.317295030360803</v>
          </cell>
          <cell r="M160">
            <v>53</v>
          </cell>
          <cell r="N160">
            <v>770.11729503036076</v>
          </cell>
          <cell r="O160">
            <v>1.8790811944085619</v>
          </cell>
          <cell r="P160">
            <v>656.66160312540046</v>
          </cell>
          <cell r="Q160">
            <v>250.767</v>
          </cell>
          <cell r="R160">
            <v>251.85</v>
          </cell>
          <cell r="S160">
            <v>1.3918762945303399E-2</v>
          </cell>
          <cell r="V160">
            <v>43.555959263399998</v>
          </cell>
        </row>
        <row r="161">
          <cell r="A161">
            <v>46353</v>
          </cell>
          <cell r="B161">
            <v>250.767</v>
          </cell>
          <cell r="C161" t="str">
            <v/>
          </cell>
          <cell r="D161">
            <v>656.65876934577602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I161">
            <v>300</v>
          </cell>
          <cell r="J161" t="str">
            <v>0</v>
          </cell>
          <cell r="L161">
            <v>67.902326144775046</v>
          </cell>
          <cell r="M161">
            <v>53</v>
          </cell>
          <cell r="N161">
            <v>800.70232614477504</v>
          </cell>
          <cell r="O161">
            <v>1.6190179054234819</v>
          </cell>
          <cell r="P161">
            <v>658.27778725119947</v>
          </cell>
          <cell r="Q161">
            <v>250.87700000000001</v>
          </cell>
          <cell r="R161">
            <v>251.85</v>
          </cell>
          <cell r="S161">
            <v>1.3918762945303399E-2</v>
          </cell>
          <cell r="V161">
            <v>41.412033916200002</v>
          </cell>
        </row>
        <row r="162">
          <cell r="A162">
            <v>46354</v>
          </cell>
          <cell r="B162">
            <v>250.87700000000001</v>
          </cell>
          <cell r="C162" t="str">
            <v/>
          </cell>
          <cell r="D162">
            <v>658.271169467856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I162">
            <v>300</v>
          </cell>
          <cell r="J162" t="str">
            <v>0</v>
          </cell>
          <cell r="L162">
            <v>34.504598780972096</v>
          </cell>
          <cell r="M162">
            <v>53</v>
          </cell>
          <cell r="N162">
            <v>767.30459878097201</v>
          </cell>
          <cell r="O162">
            <v>1.1122197343176068</v>
          </cell>
          <cell r="P162">
            <v>659.38338920217359</v>
          </cell>
          <cell r="Q162">
            <v>250.952</v>
          </cell>
          <cell r="R162">
            <v>251.85</v>
          </cell>
          <cell r="S162">
            <v>1.3918762945303399E-2</v>
          </cell>
          <cell r="V162">
            <v>34.600585549800002</v>
          </cell>
        </row>
        <row r="163">
          <cell r="A163">
            <v>46355</v>
          </cell>
          <cell r="B163">
            <v>250.952</v>
          </cell>
          <cell r="C163" t="str">
            <v/>
          </cell>
          <cell r="D163">
            <v>659.37053318745598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I163">
            <v>300</v>
          </cell>
          <cell r="J163" t="str">
            <v>0</v>
          </cell>
          <cell r="L163">
            <v>37.134031325557338</v>
          </cell>
          <cell r="M163">
            <v>53</v>
          </cell>
          <cell r="N163">
            <v>769.93403132555727</v>
          </cell>
          <cell r="O163">
            <v>3.3181429747876234</v>
          </cell>
          <cell r="P163">
            <v>662.68867616224361</v>
          </cell>
          <cell r="Q163">
            <v>251.178</v>
          </cell>
          <cell r="R163">
            <v>251.85</v>
          </cell>
          <cell r="S163">
            <v>1.3918762945303399E-2</v>
          </cell>
          <cell r="V163">
            <v>60.206606865600001</v>
          </cell>
        </row>
        <row r="164">
          <cell r="A164">
            <v>46356</v>
          </cell>
          <cell r="B164">
            <v>251.178</v>
          </cell>
          <cell r="C164" t="str">
            <v/>
          </cell>
          <cell r="D164">
            <v>662.683282529184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I164">
            <v>300</v>
          </cell>
          <cell r="J164" t="str">
            <v>0</v>
          </cell>
          <cell r="L164">
            <v>57.0640223360056</v>
          </cell>
          <cell r="M164">
            <v>53</v>
          </cell>
          <cell r="N164">
            <v>789.86402233600552</v>
          </cell>
          <cell r="O164">
            <v>7.1556882887620041</v>
          </cell>
          <cell r="P164">
            <v>669.83897081794601</v>
          </cell>
          <cell r="Q164">
            <v>251.666</v>
          </cell>
          <cell r="R164">
            <v>251.85</v>
          </cell>
          <cell r="S164">
            <v>1.3918762945303399E-2</v>
          </cell>
          <cell r="V164">
            <v>105.18707358510001</v>
          </cell>
        </row>
        <row r="165">
          <cell r="A165">
            <v>46357</v>
          </cell>
          <cell r="B165">
            <v>251.666</v>
          </cell>
          <cell r="C165" t="str">
            <v/>
          </cell>
          <cell r="D165">
            <v>669.83647579804801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I165">
            <v>300</v>
          </cell>
          <cell r="J165" t="str">
            <v>0</v>
          </cell>
          <cell r="L165">
            <v>92.124519756752278</v>
          </cell>
          <cell r="M165">
            <v>53</v>
          </cell>
          <cell r="N165">
            <v>824.92451975675226</v>
          </cell>
          <cell r="O165">
            <v>2.635411317720652</v>
          </cell>
          <cell r="P165">
            <v>672.47188711576871</v>
          </cell>
          <cell r="Q165">
            <v>251.845</v>
          </cell>
          <cell r="R165">
            <v>251.85</v>
          </cell>
          <cell r="S165">
            <v>1.3918762945303399E-2</v>
          </cell>
          <cell r="V165">
            <v>53.861763553499998</v>
          </cell>
        </row>
        <row r="166">
          <cell r="A166">
            <v>46358</v>
          </cell>
          <cell r="B166">
            <v>251.845</v>
          </cell>
          <cell r="C166" t="str">
            <v/>
          </cell>
          <cell r="D166">
            <v>672.46029054216001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I166">
            <v>300</v>
          </cell>
          <cell r="J166" t="str">
            <v>0</v>
          </cell>
          <cell r="L166">
            <v>52.86213626295708</v>
          </cell>
          <cell r="M166">
            <v>53</v>
          </cell>
          <cell r="N166">
            <v>785.66213626295701</v>
          </cell>
          <cell r="O166">
            <v>1.84065328397973</v>
          </cell>
          <cell r="P166">
            <v>674.3009438261397</v>
          </cell>
          <cell r="Q166">
            <v>251.97</v>
          </cell>
          <cell r="R166">
            <v>251.85</v>
          </cell>
          <cell r="S166">
            <v>1.3918762945303399E-2</v>
          </cell>
          <cell r="V166">
            <v>43.551371933699997</v>
          </cell>
        </row>
        <row r="167">
          <cell r="A167">
            <v>46359</v>
          </cell>
          <cell r="B167">
            <v>251.97</v>
          </cell>
          <cell r="C167" t="str">
            <v/>
          </cell>
          <cell r="D167">
            <v>674.29256340816005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I167">
            <v>300</v>
          </cell>
          <cell r="J167">
            <v>69.437268729299007</v>
          </cell>
          <cell r="L167">
            <v>36.267049591715235</v>
          </cell>
          <cell r="M167">
            <v>53</v>
          </cell>
          <cell r="N167">
            <v>838.50431832101424</v>
          </cell>
          <cell r="O167">
            <v>2.5238726149507924</v>
          </cell>
          <cell r="P167">
            <v>676.8164360231109</v>
          </cell>
          <cell r="Q167">
            <v>252.142</v>
          </cell>
          <cell r="R167">
            <v>251.85</v>
          </cell>
          <cell r="S167">
            <v>1.665089808387275E-2</v>
          </cell>
          <cell r="V167">
            <v>52.955341185000002</v>
          </cell>
        </row>
        <row r="168">
          <cell r="A168">
            <v>46360</v>
          </cell>
          <cell r="B168">
            <v>252.142</v>
          </cell>
          <cell r="C168" t="str">
            <v/>
          </cell>
          <cell r="D168">
            <v>676.813770871776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I168">
            <v>300</v>
          </cell>
          <cell r="J168">
            <v>263.23594170550479</v>
          </cell>
          <cell r="L168">
            <v>52.878116190414161</v>
          </cell>
          <cell r="M168">
            <v>53</v>
          </cell>
          <cell r="N168">
            <v>1048.9140578959189</v>
          </cell>
          <cell r="O168">
            <v>0.80501975129429371</v>
          </cell>
          <cell r="P168">
            <v>677.61879062307025</v>
          </cell>
          <cell r="Q168">
            <v>252.196</v>
          </cell>
          <cell r="R168">
            <v>251.85</v>
          </cell>
          <cell r="S168">
            <v>2.4266353207264484E-2</v>
          </cell>
          <cell r="V168">
            <v>39.019316724900001</v>
          </cell>
        </row>
        <row r="169">
          <cell r="A169">
            <v>46361</v>
          </cell>
          <cell r="B169">
            <v>252.196</v>
          </cell>
          <cell r="C169" t="str">
            <v/>
          </cell>
          <cell r="D169">
            <v>677.60531274988796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I169">
            <v>300</v>
          </cell>
          <cell r="J169">
            <v>339.40105953400854</v>
          </cell>
          <cell r="L169">
            <v>45.073721226100794</v>
          </cell>
          <cell r="M169">
            <v>53</v>
          </cell>
          <cell r="N169">
            <v>1117.2747807601093</v>
          </cell>
          <cell r="O169">
            <v>-0.29347305715248717</v>
          </cell>
          <cell r="P169">
            <v>677.31183969273548</v>
          </cell>
          <cell r="Q169">
            <v>252.17500000000001</v>
          </cell>
          <cell r="R169">
            <v>251.85</v>
          </cell>
          <cell r="S169">
            <v>2.725535219774437E-2</v>
          </cell>
          <cell r="V169">
            <v>28.241017475700001</v>
          </cell>
        </row>
        <row r="170">
          <cell r="A170">
            <v>46362</v>
          </cell>
          <cell r="B170">
            <v>252.17500000000001</v>
          </cell>
          <cell r="C170" t="str">
            <v/>
          </cell>
          <cell r="D170">
            <v>677.29749090840005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I170">
            <v>300</v>
          </cell>
          <cell r="J170">
            <v>309.02305352636347</v>
          </cell>
          <cell r="L170">
            <v>84.394761881445049</v>
          </cell>
          <cell r="M170">
            <v>53</v>
          </cell>
          <cell r="N170">
            <v>1126.2178154078085</v>
          </cell>
          <cell r="O170">
            <v>-0.63440777637560142</v>
          </cell>
          <cell r="P170">
            <v>676.66308313202444</v>
          </cell>
          <cell r="Q170">
            <v>252.131</v>
          </cell>
          <cell r="R170">
            <v>251.85</v>
          </cell>
          <cell r="S170">
            <v>2.6063474330531994E-2</v>
          </cell>
          <cell r="V170">
            <v>24.548245384050002</v>
          </cell>
        </row>
        <row r="171">
          <cell r="A171">
            <v>46363</v>
          </cell>
          <cell r="B171">
            <v>252.131</v>
          </cell>
          <cell r="C171" t="str">
            <v/>
          </cell>
          <cell r="D171">
            <v>676.65253085956795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I171">
            <v>300</v>
          </cell>
          <cell r="J171">
            <v>248.52234536139952</v>
          </cell>
          <cell r="L171">
            <v>46.089554610594604</v>
          </cell>
          <cell r="M171">
            <v>53</v>
          </cell>
          <cell r="N171">
            <v>1027.411899971994</v>
          </cell>
          <cell r="O171">
            <v>0.3629882748619907</v>
          </cell>
          <cell r="P171">
            <v>677.01551913442995</v>
          </cell>
          <cell r="Q171">
            <v>252.155</v>
          </cell>
          <cell r="R171">
            <v>251.85</v>
          </cell>
          <cell r="S171">
            <v>2.3688680938275409E-2</v>
          </cell>
          <cell r="V171">
            <v>33.2943292593</v>
          </cell>
        </row>
        <row r="172">
          <cell r="A172">
            <v>46364</v>
          </cell>
          <cell r="B172">
            <v>252.155</v>
          </cell>
          <cell r="C172" t="str">
            <v/>
          </cell>
          <cell r="D172">
            <v>677.00432724984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I172">
            <v>300</v>
          </cell>
          <cell r="J172">
            <v>280.98249237841986</v>
          </cell>
          <cell r="L172">
            <v>64.642999190370674</v>
          </cell>
          <cell r="M172">
            <v>53</v>
          </cell>
          <cell r="N172">
            <v>1078.4254915687904</v>
          </cell>
          <cell r="O172">
            <v>3.4063578780662773</v>
          </cell>
          <cell r="P172">
            <v>680.41068512790628</v>
          </cell>
          <cell r="Q172">
            <v>252.387</v>
          </cell>
          <cell r="R172">
            <v>251.85</v>
          </cell>
          <cell r="S172">
            <v>2.496299192858847E-2</v>
          </cell>
          <cell r="V172">
            <v>69.96312089940001</v>
          </cell>
        </row>
        <row r="173">
          <cell r="A173">
            <v>46365</v>
          </cell>
          <cell r="B173">
            <v>252.387</v>
          </cell>
          <cell r="C173" t="str">
            <v/>
          </cell>
          <cell r="D173">
            <v>680.40502568913598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I173">
            <v>300</v>
          </cell>
          <cell r="J173">
            <v>655.32316947218487</v>
          </cell>
          <cell r="L173">
            <v>53.914411197127798</v>
          </cell>
          <cell r="M173">
            <v>53</v>
          </cell>
          <cell r="N173">
            <v>1442.0375806693125</v>
          </cell>
          <cell r="O173">
            <v>-1.0152600974464425</v>
          </cell>
          <cell r="P173">
            <v>679.38976559168952</v>
          </cell>
          <cell r="Q173">
            <v>252.31700000000001</v>
          </cell>
          <cell r="R173">
            <v>251.85</v>
          </cell>
          <cell r="S173">
            <v>3.962972781855633E-2</v>
          </cell>
          <cell r="V173">
            <v>29.083245545250001</v>
          </cell>
        </row>
        <row r="174">
          <cell r="A174">
            <v>46366</v>
          </cell>
          <cell r="B174">
            <v>252.31700000000001</v>
          </cell>
          <cell r="C174" t="str">
            <v/>
          </cell>
          <cell r="D174">
            <v>679.37895288417599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I174">
            <v>300</v>
          </cell>
          <cell r="J174">
            <v>531.72930078838419</v>
          </cell>
          <cell r="L174">
            <v>25.884381409486778</v>
          </cell>
          <cell r="M174">
            <v>53</v>
          </cell>
          <cell r="N174">
            <v>1290.4136821978711</v>
          </cell>
          <cell r="O174">
            <v>-1.0809067528679626</v>
          </cell>
          <cell r="P174">
            <v>678.29804613130807</v>
          </cell>
          <cell r="Q174">
            <v>252.24299999999999</v>
          </cell>
          <cell r="R174">
            <v>251.85</v>
          </cell>
          <cell r="S174">
            <v>3.4793166770716803E-2</v>
          </cell>
          <cell r="V174">
            <v>24.029933761650003</v>
          </cell>
        </row>
        <row r="175">
          <cell r="A175">
            <v>46367</v>
          </cell>
          <cell r="B175">
            <v>252.24299999999999</v>
          </cell>
          <cell r="C175" t="str">
            <v/>
          </cell>
          <cell r="D175">
            <v>678.29424734750398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I175">
            <v>300</v>
          </cell>
          <cell r="J175">
            <v>410.71312679534793</v>
          </cell>
          <cell r="L175">
            <v>36.737499243314268</v>
          </cell>
          <cell r="M175">
            <v>53</v>
          </cell>
          <cell r="N175">
            <v>1180.2506260386622</v>
          </cell>
          <cell r="O175">
            <v>-0.99610110687268127</v>
          </cell>
          <cell r="P175">
            <v>677.29814624063135</v>
          </cell>
          <cell r="Q175">
            <v>252.17500000000001</v>
          </cell>
          <cell r="R175">
            <v>251.85</v>
          </cell>
          <cell r="S175">
            <v>3.0051887815096306E-2</v>
          </cell>
          <cell r="V175">
            <v>21.892011586650003</v>
          </cell>
        </row>
        <row r="176">
          <cell r="A176">
            <v>46368</v>
          </cell>
          <cell r="B176">
            <v>252.17500000000001</v>
          </cell>
          <cell r="C176" t="str">
            <v/>
          </cell>
          <cell r="D176">
            <v>677.29749090840005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I176">
            <v>300</v>
          </cell>
          <cell r="J176">
            <v>309.02305352636347</v>
          </cell>
          <cell r="L176">
            <v>52.030933704445665</v>
          </cell>
          <cell r="M176">
            <v>53</v>
          </cell>
          <cell r="N176">
            <v>1093.853987230809</v>
          </cell>
          <cell r="O176">
            <v>0.28634676194153896</v>
          </cell>
          <cell r="P176">
            <v>677.58383767034161</v>
          </cell>
          <cell r="Q176">
            <v>252.19399999999999</v>
          </cell>
          <cell r="R176">
            <v>251.85</v>
          </cell>
          <cell r="S176">
            <v>2.6063474330531994E-2</v>
          </cell>
          <cell r="V176">
            <v>34.288703763900003</v>
          </cell>
        </row>
        <row r="177">
          <cell r="A177">
            <v>46369</v>
          </cell>
          <cell r="B177">
            <v>252.19399999999999</v>
          </cell>
          <cell r="C177" t="str">
            <v/>
          </cell>
          <cell r="D177">
            <v>677.57599638403201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I177">
            <v>300</v>
          </cell>
          <cell r="J177">
            <v>336.46745888526334</v>
          </cell>
          <cell r="L177">
            <v>27.743777300938049</v>
          </cell>
          <cell r="M177">
            <v>53</v>
          </cell>
          <cell r="N177">
            <v>1097.0112361862014</v>
          </cell>
          <cell r="O177">
            <v>-0.39061774015811368</v>
          </cell>
          <cell r="P177">
            <v>677.18537864387395</v>
          </cell>
          <cell r="Q177">
            <v>252.167</v>
          </cell>
          <cell r="R177">
            <v>251.85</v>
          </cell>
          <cell r="S177">
            <v>2.7140268096220957E-2</v>
          </cell>
          <cell r="V177">
            <v>26.542855981199999</v>
          </cell>
        </row>
        <row r="178">
          <cell r="A178">
            <v>46370</v>
          </cell>
          <cell r="B178">
            <v>252.167</v>
          </cell>
          <cell r="C178" t="str">
            <v/>
          </cell>
          <cell r="D178">
            <v>677.18022544497603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I178">
            <v>300</v>
          </cell>
          <cell r="J178">
            <v>297.70092958526288</v>
          </cell>
          <cell r="L178">
            <v>84.210867702262121</v>
          </cell>
          <cell r="M178">
            <v>53</v>
          </cell>
          <cell r="N178">
            <v>1114.7117972875249</v>
          </cell>
          <cell r="O178">
            <v>-0.71141357063503152</v>
          </cell>
          <cell r="P178">
            <v>676.46881187434099</v>
          </cell>
          <cell r="Q178">
            <v>252.11799999999999</v>
          </cell>
          <cell r="R178">
            <v>251.85</v>
          </cell>
          <cell r="S178">
            <v>2.5619161539089122E-2</v>
          </cell>
          <cell r="V178">
            <v>23.331158854200002</v>
          </cell>
        </row>
        <row r="179">
          <cell r="A179">
            <v>46371</v>
          </cell>
          <cell r="B179">
            <v>252.11799999999999</v>
          </cell>
          <cell r="C179" t="str">
            <v/>
          </cell>
          <cell r="D179">
            <v>676.46197448150394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I179">
            <v>300</v>
          </cell>
          <cell r="J179">
            <v>231.49925718141105</v>
          </cell>
          <cell r="L179">
            <v>69.215201991981488</v>
          </cell>
          <cell r="M179">
            <v>53</v>
          </cell>
          <cell r="N179">
            <v>1033.5144591733924</v>
          </cell>
          <cell r="O179">
            <v>-0.52908200088662471</v>
          </cell>
          <cell r="P179">
            <v>675.93289248061728</v>
          </cell>
          <cell r="Q179">
            <v>252.08099999999999</v>
          </cell>
          <cell r="R179">
            <v>251.85</v>
          </cell>
          <cell r="S179">
            <v>2.3020231471788753E-2</v>
          </cell>
          <cell r="V179">
            <v>23.142228831000001</v>
          </cell>
        </row>
        <row r="180">
          <cell r="A180">
            <v>46372</v>
          </cell>
          <cell r="B180">
            <v>252.08099999999999</v>
          </cell>
          <cell r="C180" t="str">
            <v/>
          </cell>
          <cell r="D180">
            <v>675.919621713168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I180">
            <v>300</v>
          </cell>
          <cell r="J180">
            <v>185.30343132047699</v>
          </cell>
          <cell r="L180">
            <v>47.190694525499566</v>
          </cell>
          <cell r="M180">
            <v>53</v>
          </cell>
          <cell r="N180">
            <v>965.29412584597651</v>
          </cell>
          <cell r="O180">
            <v>3.7348843965388987</v>
          </cell>
          <cell r="P180">
            <v>679.65450610970686</v>
          </cell>
          <cell r="Q180">
            <v>252.33500000000001</v>
          </cell>
          <cell r="R180">
            <v>251.85</v>
          </cell>
          <cell r="S180">
            <v>2.1205686555223532E-2</v>
          </cell>
          <cell r="V180">
            <v>70.561993960050003</v>
          </cell>
        </row>
        <row r="181">
          <cell r="A181">
            <v>46373</v>
          </cell>
          <cell r="B181">
            <v>252.33500000000001</v>
          </cell>
          <cell r="C181" t="str">
            <v/>
          </cell>
          <cell r="D181">
            <v>679.64280017687997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I181">
            <v>300</v>
          </cell>
          <cell r="J181">
            <v>562.69226684441287</v>
          </cell>
          <cell r="L181">
            <v>35.998130649258137</v>
          </cell>
          <cell r="M181">
            <v>53</v>
          </cell>
          <cell r="N181">
            <v>1331.490397493671</v>
          </cell>
          <cell r="O181">
            <v>-0.53989080295813485</v>
          </cell>
          <cell r="P181">
            <v>679.10290937392188</v>
          </cell>
          <cell r="Q181">
            <v>252.298</v>
          </cell>
          <cell r="R181">
            <v>251.85</v>
          </cell>
          <cell r="S181">
            <v>3.6005370838791226E-2</v>
          </cell>
          <cell r="V181">
            <v>31.454866683300001</v>
          </cell>
        </row>
        <row r="182">
          <cell r="A182">
            <v>46374</v>
          </cell>
          <cell r="B182">
            <v>252.298</v>
          </cell>
          <cell r="C182" t="str">
            <v/>
          </cell>
          <cell r="D182">
            <v>679.10044740854403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I182">
            <v>300</v>
          </cell>
          <cell r="J182">
            <v>499.68053632280743</v>
          </cell>
          <cell r="L182">
            <v>66.379618303784824</v>
          </cell>
          <cell r="M182">
            <v>53</v>
          </cell>
          <cell r="N182">
            <v>1298.8601546265922</v>
          </cell>
          <cell r="O182">
            <v>-0.91710015914853682</v>
          </cell>
          <cell r="P182">
            <v>678.18334724939552</v>
          </cell>
          <cell r="Q182">
            <v>252.23500000000001</v>
          </cell>
          <cell r="R182">
            <v>251.85</v>
          </cell>
          <cell r="S182">
            <v>3.3538072169643753E-2</v>
          </cell>
          <cell r="V182">
            <v>26.165024251650003</v>
          </cell>
        </row>
        <row r="183">
          <cell r="A183">
            <v>46375</v>
          </cell>
          <cell r="B183">
            <v>252.23500000000001</v>
          </cell>
          <cell r="C183" t="str">
            <v/>
          </cell>
          <cell r="D183">
            <v>678.17698188407996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I183">
            <v>300</v>
          </cell>
          <cell r="J183">
            <v>398.25959092796552</v>
          </cell>
          <cell r="L183">
            <v>36.127437167375099</v>
          </cell>
          <cell r="M183">
            <v>53</v>
          </cell>
          <cell r="N183">
            <v>1167.1870280953406</v>
          </cell>
          <cell r="O183">
            <v>0.96839697716610007</v>
          </cell>
          <cell r="P183">
            <v>679.14537886124606</v>
          </cell>
          <cell r="Q183">
            <v>252.30099999999999</v>
          </cell>
          <cell r="R183">
            <v>251.85</v>
          </cell>
          <cell r="S183">
            <v>2.9563656464414563E-2</v>
          </cell>
          <cell r="V183">
            <v>44.259378134250007</v>
          </cell>
        </row>
        <row r="184">
          <cell r="A184">
            <v>46376</v>
          </cell>
          <cell r="B184">
            <v>252.30099999999999</v>
          </cell>
          <cell r="C184" t="str">
            <v/>
          </cell>
          <cell r="D184">
            <v>679.14442195732795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I184">
            <v>300</v>
          </cell>
          <cell r="J184">
            <v>504.69700322817869</v>
          </cell>
          <cell r="L184">
            <v>40.768569563278241</v>
          </cell>
          <cell r="M184">
            <v>53</v>
          </cell>
          <cell r="N184">
            <v>1278.2655727914569</v>
          </cell>
          <cell r="O184">
            <v>6.12925549152947E-2</v>
          </cell>
          <cell r="P184">
            <v>679.20571451224328</v>
          </cell>
          <cell r="Q184">
            <v>252.30500000000001</v>
          </cell>
          <cell r="R184">
            <v>251.85</v>
          </cell>
          <cell r="S184">
            <v>3.3734552828729551E-2</v>
          </cell>
          <cell r="V184">
            <v>36.905860308299999</v>
          </cell>
        </row>
        <row r="185">
          <cell r="A185">
            <v>46377</v>
          </cell>
          <cell r="B185">
            <v>252.30500000000001</v>
          </cell>
          <cell r="C185" t="str">
            <v/>
          </cell>
          <cell r="D185">
            <v>679.20305468903996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I185">
            <v>300</v>
          </cell>
          <cell r="J185">
            <v>511.41132939321272</v>
          </cell>
          <cell r="L185">
            <v>29.778233326819574</v>
          </cell>
          <cell r="M185">
            <v>53</v>
          </cell>
          <cell r="N185">
            <v>1273.9895627200324</v>
          </cell>
          <cell r="O185">
            <v>-0.36456499893000482</v>
          </cell>
          <cell r="P185">
            <v>678.83848969011001</v>
          </cell>
          <cell r="Q185">
            <v>252.28</v>
          </cell>
          <cell r="R185">
            <v>251.85</v>
          </cell>
          <cell r="S185">
            <v>3.3997518877184628E-2</v>
          </cell>
          <cell r="V185">
            <v>31.855861596150003</v>
          </cell>
        </row>
        <row r="186">
          <cell r="A186">
            <v>46378</v>
          </cell>
          <cell r="B186">
            <v>252.28</v>
          </cell>
          <cell r="C186" t="str">
            <v/>
          </cell>
          <cell r="D186">
            <v>678.83660011584004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I186">
            <v>300</v>
          </cell>
          <cell r="J186">
            <v>469.93210056303036</v>
          </cell>
          <cell r="L186">
            <v>61.389795825352579</v>
          </cell>
          <cell r="M186">
            <v>53</v>
          </cell>
          <cell r="N186">
            <v>1264.121896388383</v>
          </cell>
          <cell r="O186">
            <v>-0.61599263066932863</v>
          </cell>
          <cell r="P186">
            <v>678.22060748517072</v>
          </cell>
          <cell r="Q186">
            <v>252.23699999999999</v>
          </cell>
          <cell r="R186">
            <v>251.85</v>
          </cell>
          <cell r="S186">
            <v>3.2372715199804246E-2</v>
          </cell>
          <cell r="V186">
            <v>28.666393196400001</v>
          </cell>
        </row>
        <row r="187">
          <cell r="A187">
            <v>46379</v>
          </cell>
          <cell r="B187">
            <v>252.23699999999999</v>
          </cell>
          <cell r="C187" t="str">
            <v/>
          </cell>
          <cell r="D187">
            <v>678.20629824993603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I187">
            <v>300</v>
          </cell>
          <cell r="J187">
            <v>401.36107207800404</v>
          </cell>
          <cell r="L187">
            <v>70.451035921675597</v>
          </cell>
          <cell r="M187">
            <v>53</v>
          </cell>
          <cell r="N187">
            <v>1204.6121079996797</v>
          </cell>
          <cell r="O187">
            <v>-0.59287304752750047</v>
          </cell>
          <cell r="P187">
            <v>677.61342520240851</v>
          </cell>
          <cell r="Q187">
            <v>252.196</v>
          </cell>
          <cell r="R187">
            <v>251.85</v>
          </cell>
          <cell r="S187">
            <v>2.9685253185843613E-2</v>
          </cell>
          <cell r="V187">
            <v>27.248851685400002</v>
          </cell>
        </row>
        <row r="188">
          <cell r="A188">
            <v>46380</v>
          </cell>
          <cell r="B188">
            <v>252.196</v>
          </cell>
          <cell r="C188" t="str">
            <v/>
          </cell>
          <cell r="D188">
            <v>677.60531274988796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I188">
            <v>300</v>
          </cell>
          <cell r="J188">
            <v>339.40105953400854</v>
          </cell>
          <cell r="L188">
            <v>68.12174671812258</v>
          </cell>
          <cell r="M188">
            <v>53</v>
          </cell>
          <cell r="N188">
            <v>1140.3228062521309</v>
          </cell>
          <cell r="O188">
            <v>-0.56571536540854139</v>
          </cell>
          <cell r="P188">
            <v>677.03959738447941</v>
          </cell>
          <cell r="Q188">
            <v>252.15700000000001</v>
          </cell>
          <cell r="R188">
            <v>251.85</v>
          </cell>
          <cell r="S188">
            <v>2.725535219774437E-2</v>
          </cell>
          <cell r="V188">
            <v>25.742706750750003</v>
          </cell>
        </row>
        <row r="189">
          <cell r="A189">
            <v>46381</v>
          </cell>
          <cell r="B189">
            <v>252.15700000000001</v>
          </cell>
          <cell r="C189" t="str">
            <v/>
          </cell>
          <cell r="D189">
            <v>677.03364361569595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I189">
            <v>300</v>
          </cell>
          <cell r="J189">
            <v>283.74661946266804</v>
          </cell>
          <cell r="L189">
            <v>84.062165441720012</v>
          </cell>
          <cell r="M189">
            <v>53</v>
          </cell>
          <cell r="N189">
            <v>1100.6087849043879</v>
          </cell>
          <cell r="O189">
            <v>-0.57571689755352129</v>
          </cell>
          <cell r="P189">
            <v>676.4579267181424</v>
          </cell>
          <cell r="Q189">
            <v>252.11699999999999</v>
          </cell>
          <cell r="R189">
            <v>251.85</v>
          </cell>
          <cell r="S189">
            <v>2.5071486516737802E-2</v>
          </cell>
          <cell r="V189">
            <v>24.502372087050002</v>
          </cell>
        </row>
        <row r="190">
          <cell r="A190">
            <v>46382</v>
          </cell>
          <cell r="B190">
            <v>252.11699999999999</v>
          </cell>
          <cell r="C190" t="str">
            <v/>
          </cell>
          <cell r="D190">
            <v>676.44731629857597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I190">
            <v>300</v>
          </cell>
          <cell r="J190">
            <v>230.20645226583113</v>
          </cell>
          <cell r="L190">
            <v>24.433661529147557</v>
          </cell>
          <cell r="M190">
            <v>53</v>
          </cell>
          <cell r="N190">
            <v>987.44011379497863</v>
          </cell>
          <cell r="O190">
            <v>-0.96074934173939353</v>
          </cell>
          <cell r="P190">
            <v>675.48656695683655</v>
          </cell>
          <cell r="Q190">
            <v>252.05099999999999</v>
          </cell>
          <cell r="R190">
            <v>251.85</v>
          </cell>
          <cell r="S190">
            <v>2.2969462047978725E-2</v>
          </cell>
          <cell r="V190">
            <v>16.841389903800003</v>
          </cell>
        </row>
        <row r="191">
          <cell r="A191">
            <v>46383</v>
          </cell>
          <cell r="B191">
            <v>252.05099999999999</v>
          </cell>
          <cell r="C191" t="str">
            <v/>
          </cell>
          <cell r="D191">
            <v>675.47987622532798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I191">
            <v>300</v>
          </cell>
          <cell r="J191">
            <v>150.4372703077257</v>
          </cell>
          <cell r="L191">
            <v>52.722645595409546</v>
          </cell>
          <cell r="M191">
            <v>53</v>
          </cell>
          <cell r="N191">
            <v>935.9599159031352</v>
          </cell>
          <cell r="O191">
            <v>0.19805751000755439</v>
          </cell>
          <cell r="P191">
            <v>675.6779337353355</v>
          </cell>
          <cell r="Q191">
            <v>252.06399999999999</v>
          </cell>
          <cell r="R191">
            <v>251.85</v>
          </cell>
          <cell r="S191">
            <v>1.9835618262133634E-2</v>
          </cell>
          <cell r="V191">
            <v>28.795772884050002</v>
          </cell>
        </row>
        <row r="192">
          <cell r="A192">
            <v>46384</v>
          </cell>
          <cell r="B192">
            <v>252.06399999999999</v>
          </cell>
          <cell r="C192" t="str">
            <v/>
          </cell>
          <cell r="D192">
            <v>675.67043260339199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I192">
            <v>300</v>
          </cell>
          <cell r="J192">
            <v>165.2496172644646</v>
          </cell>
          <cell r="L192">
            <v>29.769607309316786</v>
          </cell>
          <cell r="M192">
            <v>53</v>
          </cell>
          <cell r="N192">
            <v>927.81922457378141</v>
          </cell>
          <cell r="O192">
            <v>2.0323272670838621</v>
          </cell>
          <cell r="P192">
            <v>677.7027598704758</v>
          </cell>
          <cell r="Q192">
            <v>252.202</v>
          </cell>
          <cell r="R192">
            <v>251.85</v>
          </cell>
          <cell r="S192">
            <v>2.0417727958815159E-2</v>
          </cell>
          <cell r="V192">
            <v>49.795265675549999</v>
          </cell>
        </row>
        <row r="193">
          <cell r="A193">
            <v>46385</v>
          </cell>
          <cell r="B193">
            <v>252.202</v>
          </cell>
          <cell r="C193" t="str">
            <v/>
          </cell>
          <cell r="D193">
            <v>677.69326184745603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I193">
            <v>300</v>
          </cell>
          <cell r="J193">
            <v>348.25227914726599</v>
          </cell>
          <cell r="L193">
            <v>44.591825980376953</v>
          </cell>
          <cell r="M193">
            <v>53</v>
          </cell>
          <cell r="N193">
            <v>1125.6441051276429</v>
          </cell>
          <cell r="O193">
            <v>-0.52194693213605692</v>
          </cell>
          <cell r="P193">
            <v>677.17131491531995</v>
          </cell>
          <cell r="Q193">
            <v>252.166</v>
          </cell>
          <cell r="R193">
            <v>251.85</v>
          </cell>
          <cell r="S193">
            <v>2.7602562419926414E-2</v>
          </cell>
          <cell r="V193">
            <v>25.833632156100002</v>
          </cell>
        </row>
        <row r="194">
          <cell r="A194">
            <v>46386</v>
          </cell>
          <cell r="B194">
            <v>252.166</v>
          </cell>
          <cell r="C194" t="str">
            <v/>
          </cell>
          <cell r="D194">
            <v>677.16556726204794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I194">
            <v>300</v>
          </cell>
          <cell r="J194">
            <v>296.29553320447747</v>
          </cell>
          <cell r="L194">
            <v>34.633947561622541</v>
          </cell>
          <cell r="M194">
            <v>53</v>
          </cell>
          <cell r="N194">
            <v>1063.7294807661001</v>
          </cell>
          <cell r="O194">
            <v>-0.78635372847184848</v>
          </cell>
          <cell r="P194">
            <v>676.37921353357615</v>
          </cell>
          <cell r="Q194">
            <v>252.11199999999999</v>
          </cell>
          <cell r="R194">
            <v>251.85</v>
          </cell>
          <cell r="S194">
            <v>2.5564006302523024E-2</v>
          </cell>
          <cell r="V194">
            <v>21.020135775149999</v>
          </cell>
        </row>
        <row r="195">
          <cell r="A195">
            <v>46387</v>
          </cell>
          <cell r="B195">
            <v>252.11199999999999</v>
          </cell>
          <cell r="C195" t="str">
            <v/>
          </cell>
          <cell r="D195">
            <v>676.37402538393599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>
            <v>223.77856488515079</v>
          </cell>
          <cell r="L195">
            <v>55.809373034339146</v>
          </cell>
          <cell r="M195">
            <v>53</v>
          </cell>
          <cell r="N195">
            <v>712.38793791949001</v>
          </cell>
          <cell r="O195">
            <v>0.45255227222488753</v>
          </cell>
          <cell r="P195">
            <v>676.82657765616091</v>
          </cell>
          <cell r="Q195">
            <v>252.142</v>
          </cell>
          <cell r="R195">
            <v>251.85</v>
          </cell>
          <cell r="S195">
            <v>1.0917521090776936E-2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D45">
            <v>46.106879954699885</v>
          </cell>
        </row>
        <row r="46">
          <cell r="A46">
            <v>46237</v>
          </cell>
          <cell r="B46">
            <v>84.513000000000005</v>
          </cell>
          <cell r="C46">
            <v>84.513000000000005</v>
          </cell>
          <cell r="D46">
            <v>180223.92703868501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2507.3418262871264</v>
          </cell>
          <cell r="O46">
            <v>548.58927566814157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3467.0921019552679</v>
          </cell>
          <cell r="Y46">
            <v>-200.49907120893511</v>
          </cell>
          <cell r="Z46">
            <v>180023.42796747608</v>
          </cell>
          <cell r="AA46">
            <v>84.468701542169484</v>
          </cell>
          <cell r="AD46">
            <v>32.460390713476784</v>
          </cell>
        </row>
        <row r="47">
          <cell r="A47">
            <v>46238</v>
          </cell>
          <cell r="B47">
            <v>84.492999999999995</v>
          </cell>
          <cell r="C47">
            <v>84.492999999999995</v>
          </cell>
          <cell r="D47">
            <v>180133.39133488497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2505.8291781408429</v>
          </cell>
          <cell r="O47">
            <v>516.33980488887028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3433.3299830297133</v>
          </cell>
          <cell r="Y47">
            <v>-199.66426413376718</v>
          </cell>
          <cell r="Z47">
            <v>179933.72707075122</v>
          </cell>
          <cell r="AA47">
            <v>84.448874971962027</v>
          </cell>
          <cell r="AD47">
            <v>31.778057757644397</v>
          </cell>
        </row>
        <row r="48">
          <cell r="A48">
            <v>46239</v>
          </cell>
          <cell r="B48">
            <v>84.507999999999996</v>
          </cell>
          <cell r="C48">
            <v>84.507999999999996</v>
          </cell>
          <cell r="D48">
            <v>180201.29098535998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2506.9636642505548</v>
          </cell>
          <cell r="O48">
            <v>727.38835183084973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3645.5130160814047</v>
          </cell>
          <cell r="Y48">
            <v>-228.92855178943336</v>
          </cell>
          <cell r="Z48">
            <v>179972.36243357055</v>
          </cell>
          <cell r="AA48">
            <v>84.457415142328458</v>
          </cell>
          <cell r="AD48">
            <v>28.19583805209513</v>
          </cell>
        </row>
        <row r="49">
          <cell r="A49">
            <v>46240</v>
          </cell>
          <cell r="B49">
            <v>84.512</v>
          </cell>
          <cell r="C49">
            <v>84.512</v>
          </cell>
          <cell r="D49">
            <v>180219.39971455999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2507.266193879811</v>
          </cell>
          <cell r="O49">
            <v>662.0553261556795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3580.4825200354908</v>
          </cell>
          <cell r="Y49">
            <v>-224.92360973106639</v>
          </cell>
          <cell r="Z49">
            <v>179994.47610482891</v>
          </cell>
          <cell r="AA49">
            <v>84.462302856780994</v>
          </cell>
          <cell r="AD49">
            <v>27.66704416761042</v>
          </cell>
        </row>
        <row r="50">
          <cell r="A50">
            <v>46241</v>
          </cell>
          <cell r="B50">
            <v>84.483000000000004</v>
          </cell>
          <cell r="C50">
            <v>84.483000000000004</v>
          </cell>
          <cell r="D50">
            <v>180088.13199248502</v>
          </cell>
          <cell r="E50">
            <v>907.91399999999999</v>
          </cell>
          <cell r="F50">
            <v>0</v>
          </cell>
          <cell r="G50">
            <v>0</v>
          </cell>
          <cell r="H50">
            <v>0</v>
          </cell>
          <cell r="I50">
            <v>907.91399999999999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2505.0728540677019</v>
          </cell>
          <cell r="O50">
            <v>542.13154175588647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3458.3653958235882</v>
          </cell>
          <cell r="Y50">
            <v>-220.35900059915804</v>
          </cell>
          <cell r="Z50">
            <v>179867.77299188587</v>
          </cell>
          <cell r="AA50">
            <v>84.434294010496174</v>
          </cell>
          <cell r="AD50">
            <v>25.70537938844847</v>
          </cell>
        </row>
        <row r="51">
          <cell r="A51">
            <v>46242</v>
          </cell>
          <cell r="B51">
            <v>84.427999999999997</v>
          </cell>
          <cell r="C51">
            <v>84.427999999999997</v>
          </cell>
          <cell r="D51">
            <v>179839.30701415997</v>
          </cell>
          <cell r="E51">
            <v>1091.203</v>
          </cell>
          <cell r="F51">
            <v>0</v>
          </cell>
          <cell r="G51">
            <v>0</v>
          </cell>
          <cell r="H51">
            <v>0</v>
          </cell>
          <cell r="I51">
            <v>1091.203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2500.9130716654263</v>
          </cell>
          <cell r="O51">
            <v>732.05408554447797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3644.1281572099042</v>
          </cell>
          <cell r="Y51">
            <v>-220.57273358293571</v>
          </cell>
          <cell r="Z51">
            <v>179618.73428057705</v>
          </cell>
          <cell r="AA51">
            <v>84.379213098552157</v>
          </cell>
          <cell r="AD51">
            <v>30.894762174405436</v>
          </cell>
        </row>
        <row r="52">
          <cell r="A52">
            <v>46243</v>
          </cell>
          <cell r="B52">
            <v>84.4</v>
          </cell>
          <cell r="C52">
            <v>84.4</v>
          </cell>
          <cell r="D52">
            <v>179712.69840000002</v>
          </cell>
          <cell r="E52">
            <v>1289.846</v>
          </cell>
          <cell r="F52">
            <v>0</v>
          </cell>
          <cell r="G52">
            <v>0</v>
          </cell>
          <cell r="H52">
            <v>0</v>
          </cell>
          <cell r="I52">
            <v>1289.846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2498.7953642606317</v>
          </cell>
          <cell r="O52">
            <v>597.25044952092662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3507.2068137815586</v>
          </cell>
          <cell r="Y52">
            <v>-191.57997431072664</v>
          </cell>
          <cell r="Z52">
            <v>179521.11842568929</v>
          </cell>
          <cell r="AA52">
            <v>84.357612608733049</v>
          </cell>
          <cell r="AD52">
            <v>36.518856172140431</v>
          </cell>
        </row>
        <row r="53">
          <cell r="A53">
            <v>46244</v>
          </cell>
          <cell r="B53">
            <v>84.328000000000003</v>
          </cell>
          <cell r="C53">
            <v>84.328000000000003</v>
          </cell>
          <cell r="D53">
            <v>179387.33762016002</v>
          </cell>
          <cell r="E53">
            <v>2484.681</v>
          </cell>
          <cell r="F53">
            <v>0</v>
          </cell>
          <cell r="G53">
            <v>0</v>
          </cell>
          <cell r="H53">
            <v>0</v>
          </cell>
          <cell r="I53">
            <v>2484.681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2493.3498309340157</v>
          </cell>
          <cell r="O53">
            <v>527.48528314883981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3431.9961140828555</v>
          </cell>
          <cell r="Y53">
            <v>-81.84802585675871</v>
          </cell>
          <cell r="Z53">
            <v>179305.48959430325</v>
          </cell>
          <cell r="AA53">
            <v>84.309877368755963</v>
          </cell>
          <cell r="AD53">
            <v>70.347706681766709</v>
          </cell>
        </row>
        <row r="54">
          <cell r="A54">
            <v>46245</v>
          </cell>
          <cell r="B54">
            <v>84.268000000000001</v>
          </cell>
          <cell r="C54">
            <v>84.268000000000001</v>
          </cell>
          <cell r="D54">
            <v>179116.42828775998</v>
          </cell>
          <cell r="E54">
            <v>2130.7440000000001</v>
          </cell>
          <cell r="F54">
            <v>0</v>
          </cell>
          <cell r="G54">
            <v>0</v>
          </cell>
          <cell r="H54">
            <v>0</v>
          </cell>
          <cell r="I54">
            <v>2130.7440000000001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2488.8118864951693</v>
          </cell>
          <cell r="O54">
            <v>552.83838894327403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3452.8112754384433</v>
          </cell>
          <cell r="Y54">
            <v>-114.22661259788148</v>
          </cell>
          <cell r="Z54">
            <v>179002.2016751621</v>
          </cell>
          <cell r="AA54">
            <v>84.242687945159261</v>
          </cell>
          <cell r="AD54">
            <v>60.326840317100796</v>
          </cell>
        </row>
        <row r="55">
          <cell r="A55">
            <v>46246</v>
          </cell>
          <cell r="B55">
            <v>84.218000000000004</v>
          </cell>
          <cell r="C55">
            <v>84.218000000000004</v>
          </cell>
          <cell r="D55">
            <v>178890.82651826</v>
          </cell>
          <cell r="E55">
            <v>3867.1750000000002</v>
          </cell>
          <cell r="F55">
            <v>0</v>
          </cell>
          <cell r="G55">
            <v>0</v>
          </cell>
          <cell r="H55">
            <v>0</v>
          </cell>
          <cell r="I55">
            <v>3867.1750000000002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2485.0302661294636</v>
          </cell>
          <cell r="O55">
            <v>662.3289014599311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3558.520167589395</v>
          </cell>
          <cell r="Y55">
            <v>26.667777520276289</v>
          </cell>
          <cell r="Z55">
            <v>178917.49429578029</v>
          </cell>
          <cell r="AA55">
            <v>84.223912003897709</v>
          </cell>
          <cell r="AD55">
            <v>109.48966591166479</v>
          </cell>
        </row>
        <row r="56">
          <cell r="A56">
            <v>46247</v>
          </cell>
          <cell r="B56">
            <v>84.168999999999997</v>
          </cell>
          <cell r="C56">
            <v>84.168999999999997</v>
          </cell>
          <cell r="D56">
            <v>178669.87438276497</v>
          </cell>
          <cell r="E56">
            <v>1118.816</v>
          </cell>
          <cell r="F56">
            <v>0</v>
          </cell>
          <cell r="G56">
            <v>0</v>
          </cell>
          <cell r="H56">
            <v>0</v>
          </cell>
          <cell r="I56">
            <v>1118.816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2481.3242781710715</v>
          </cell>
          <cell r="O56">
            <v>882.71659560772389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3775.2018737787953</v>
          </cell>
          <cell r="Y56">
            <v>-229.5117394944879</v>
          </cell>
          <cell r="Z56">
            <v>178440.36264327049</v>
          </cell>
          <cell r="AA56">
            <v>84.118069743122845</v>
          </cell>
          <cell r="AD56">
            <v>31.67655719139298</v>
          </cell>
        </row>
        <row r="57">
          <cell r="A57">
            <v>46248</v>
          </cell>
          <cell r="B57">
            <v>84.123000000000005</v>
          </cell>
          <cell r="C57">
            <v>84.123000000000005</v>
          </cell>
          <cell r="D57">
            <v>178462.57388408502</v>
          </cell>
          <cell r="E57">
            <v>793.38400000000001</v>
          </cell>
          <cell r="F57">
            <v>0</v>
          </cell>
          <cell r="G57">
            <v>0</v>
          </cell>
          <cell r="H57">
            <v>0</v>
          </cell>
          <cell r="I57">
            <v>793.38400000000001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2477.8451874346238</v>
          </cell>
          <cell r="O57">
            <v>841.01160548389555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3730.0177929185193</v>
          </cell>
          <cell r="Y57">
            <v>-253.72515970816005</v>
          </cell>
          <cell r="Z57">
            <v>178208.84872437688</v>
          </cell>
          <cell r="AA57">
            <v>84.066662074157392</v>
          </cell>
          <cell r="AD57">
            <v>22.462740656851643</v>
          </cell>
        </row>
        <row r="58">
          <cell r="A58">
            <v>46249</v>
          </cell>
          <cell r="B58">
            <v>84.063000000000002</v>
          </cell>
          <cell r="C58">
            <v>84.063000000000002</v>
          </cell>
          <cell r="D58">
            <v>178192.36233068499</v>
          </cell>
          <cell r="E58">
            <v>1600.626</v>
          </cell>
          <cell r="F58">
            <v>0</v>
          </cell>
          <cell r="G58">
            <v>0</v>
          </cell>
          <cell r="H58">
            <v>0</v>
          </cell>
          <cell r="I58">
            <v>1600.626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2473.3072429957765</v>
          </cell>
          <cell r="O58">
            <v>738.15798017016493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3622.6262231659416</v>
          </cell>
          <cell r="Y58">
            <v>-174.70081928153735</v>
          </cell>
          <cell r="Z58">
            <v>178017.66151140345</v>
          </cell>
          <cell r="AA58">
            <v>84.024183831915536</v>
          </cell>
          <cell r="AD58">
            <v>45.317836919592295</v>
          </cell>
        </row>
        <row r="59">
          <cell r="A59">
            <v>46250</v>
          </cell>
          <cell r="B59">
            <v>84.024000000000001</v>
          </cell>
          <cell r="C59">
            <v>84.024000000000001</v>
          </cell>
          <cell r="D59">
            <v>178016.83433824001</v>
          </cell>
          <cell r="E59">
            <v>939.63400000000001</v>
          </cell>
          <cell r="F59">
            <v>0</v>
          </cell>
          <cell r="G59">
            <v>0</v>
          </cell>
          <cell r="H59">
            <v>0</v>
          </cell>
          <cell r="I59">
            <v>939.63400000000001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2470.3575791105259</v>
          </cell>
          <cell r="O59">
            <v>796.63112091964865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3678.1497000301747</v>
          </cell>
          <cell r="Y59">
            <v>-236.60775648260707</v>
          </cell>
          <cell r="Z59">
            <v>177780.22658175739</v>
          </cell>
          <cell r="AA59">
            <v>83.971398516737693</v>
          </cell>
          <cell r="AD59">
            <v>26.603454133635335</v>
          </cell>
        </row>
        <row r="60">
          <cell r="A60">
            <v>46251</v>
          </cell>
          <cell r="B60">
            <v>84.138000000000005</v>
          </cell>
          <cell r="C60">
            <v>84.138000000000005</v>
          </cell>
          <cell r="D60">
            <v>178530.15868306003</v>
          </cell>
          <cell r="E60">
            <v>3355.1509999999998</v>
          </cell>
          <cell r="F60">
            <v>0</v>
          </cell>
          <cell r="G60">
            <v>0</v>
          </cell>
          <cell r="H60">
            <v>0</v>
          </cell>
          <cell r="I60">
            <v>3355.1509999999998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2478.9796735443351</v>
          </cell>
          <cell r="O60">
            <v>616.26433306077138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3506.4050066051068</v>
          </cell>
          <cell r="Y60">
            <v>-13.06834617068124</v>
          </cell>
          <cell r="Z60">
            <v>178517.09033688935</v>
          </cell>
          <cell r="AA60">
            <v>84.135099787751329</v>
          </cell>
          <cell r="AD60">
            <v>94.992950169875414</v>
          </cell>
        </row>
        <row r="61">
          <cell r="A61">
            <v>46252</v>
          </cell>
          <cell r="B61">
            <v>84.135999999999996</v>
          </cell>
          <cell r="C61">
            <v>84.135999999999996</v>
          </cell>
          <cell r="D61">
            <v>178521.14663903997</v>
          </cell>
          <cell r="E61">
            <v>3434.2620000000002</v>
          </cell>
          <cell r="F61">
            <v>0</v>
          </cell>
          <cell r="G61">
            <v>0</v>
          </cell>
          <cell r="H61">
            <v>0</v>
          </cell>
          <cell r="I61">
            <v>3434.2620000000002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2478.828408729707</v>
          </cell>
          <cell r="O61">
            <v>349.45455428073308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3239.4439630104403</v>
          </cell>
          <cell r="Y61">
            <v>16.832278395897976</v>
          </cell>
          <cell r="Z61">
            <v>178537.97891743586</v>
          </cell>
          <cell r="AA61">
            <v>84.139735466554427</v>
          </cell>
          <cell r="AD61">
            <v>97.232785956964904</v>
          </cell>
        </row>
        <row r="62">
          <cell r="A62">
            <v>46253</v>
          </cell>
          <cell r="B62">
            <v>84.094999999999999</v>
          </cell>
          <cell r="C62">
            <v>84.094999999999999</v>
          </cell>
          <cell r="D62">
            <v>178336.44974412498</v>
          </cell>
          <cell r="E62">
            <v>1295.633</v>
          </cell>
          <cell r="F62">
            <v>0</v>
          </cell>
          <cell r="G62">
            <v>0</v>
          </cell>
          <cell r="H62">
            <v>0</v>
          </cell>
          <cell r="I62">
            <v>1295.633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2475.7274800298283</v>
          </cell>
          <cell r="O62">
            <v>690.37784963267131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3577.2663296624996</v>
          </cell>
          <cell r="Y62">
            <v>-197.13311968283998</v>
          </cell>
          <cell r="Z62">
            <v>178139.31662444214</v>
          </cell>
          <cell r="AA62">
            <v>84.051215966412187</v>
          </cell>
          <cell r="AD62">
            <v>36.682701019252548</v>
          </cell>
        </row>
        <row r="63">
          <cell r="A63">
            <v>46254</v>
          </cell>
          <cell r="B63">
            <v>84.051000000000002</v>
          </cell>
          <cell r="C63">
            <v>84.051000000000002</v>
          </cell>
          <cell r="D63">
            <v>178138.344527365</v>
          </cell>
          <cell r="E63">
            <v>905.35299999999995</v>
          </cell>
          <cell r="F63">
            <v>0</v>
          </cell>
          <cell r="G63">
            <v>0</v>
          </cell>
          <cell r="H63">
            <v>0</v>
          </cell>
          <cell r="I63">
            <v>905.35299999999995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2472.3996541080078</v>
          </cell>
          <cell r="O63">
            <v>952.43407453303382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3835.9947286410415</v>
          </cell>
          <cell r="Y63">
            <v>-253.20744535458596</v>
          </cell>
          <cell r="Z63">
            <v>177885.13708201042</v>
          </cell>
          <cell r="AA63">
            <v>83.99472601412549</v>
          </cell>
          <cell r="AD63">
            <v>25.632870894677236</v>
          </cell>
        </row>
        <row r="64">
          <cell r="A64">
            <v>46255</v>
          </cell>
          <cell r="B64">
            <v>83.991</v>
          </cell>
          <cell r="C64">
            <v>83.991</v>
          </cell>
          <cell r="D64">
            <v>177868.37804756497</v>
          </cell>
          <cell r="E64">
            <v>934.36</v>
          </cell>
          <cell r="F64">
            <v>0</v>
          </cell>
          <cell r="G64">
            <v>0</v>
          </cell>
          <cell r="H64">
            <v>300</v>
          </cell>
          <cell r="I64">
            <v>1234.3600000000001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2467.8617096691605</v>
          </cell>
          <cell r="O64">
            <v>829.32868863949068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3708.3513983086514</v>
          </cell>
          <cell r="Y64">
            <v>-213.75285681386745</v>
          </cell>
          <cell r="Z64">
            <v>177654.6251907511</v>
          </cell>
          <cell r="AA64">
            <v>83.943461238992654</v>
          </cell>
          <cell r="AD64">
            <v>26.454133635334088</v>
          </cell>
        </row>
        <row r="65">
          <cell r="A65">
            <v>46256</v>
          </cell>
          <cell r="B65">
            <v>83.971000000000004</v>
          </cell>
          <cell r="C65">
            <v>83.971000000000004</v>
          </cell>
          <cell r="D65">
            <v>177778.434604965</v>
          </cell>
          <cell r="E65">
            <v>1131.1880000000001</v>
          </cell>
          <cell r="F65">
            <v>0</v>
          </cell>
          <cell r="G65">
            <v>0</v>
          </cell>
          <cell r="H65">
            <v>300</v>
          </cell>
          <cell r="I65">
            <v>1431.1880000000001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2466.3490615228789</v>
          </cell>
          <cell r="O65">
            <v>852.20373792150463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3729.7137994443838</v>
          </cell>
          <cell r="Y65">
            <v>-198.59262907199474</v>
          </cell>
          <cell r="Z65">
            <v>177579.84197589301</v>
          </cell>
          <cell r="AA65">
            <v>83.926822671827637</v>
          </cell>
          <cell r="AD65">
            <v>32.026840317100799</v>
          </cell>
        </row>
        <row r="66">
          <cell r="A66">
            <v>46257</v>
          </cell>
          <cell r="B66">
            <v>83.929000000000002</v>
          </cell>
          <cell r="C66">
            <v>83.929000000000002</v>
          </cell>
          <cell r="D66">
            <v>177589.627237965</v>
          </cell>
          <cell r="E66">
            <v>1061.816</v>
          </cell>
          <cell r="F66">
            <v>0</v>
          </cell>
          <cell r="G66">
            <v>0</v>
          </cell>
          <cell r="H66">
            <v>300</v>
          </cell>
          <cell r="I66">
            <v>1361.816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2463.1725004156865</v>
          </cell>
          <cell r="O66">
            <v>759.16655123785824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3633.5000516535447</v>
          </cell>
          <cell r="Y66">
            <v>-196.27350206286627</v>
          </cell>
          <cell r="Z66">
            <v>177393.35373590214</v>
          </cell>
          <cell r="AA66">
            <v>83.885315548173921</v>
          </cell>
          <cell r="AD66">
            <v>30.062740656851641</v>
          </cell>
        </row>
        <row r="67">
          <cell r="A67">
            <v>46258</v>
          </cell>
          <cell r="B67">
            <v>83.869</v>
          </cell>
          <cell r="C67">
            <v>83.869</v>
          </cell>
          <cell r="D67">
            <v>177320.07602176498</v>
          </cell>
          <cell r="E67">
            <v>831.85299999999995</v>
          </cell>
          <cell r="F67">
            <v>0</v>
          </cell>
          <cell r="G67">
            <v>0</v>
          </cell>
          <cell r="H67">
            <v>300</v>
          </cell>
          <cell r="I67">
            <v>1131.8530000000001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2458.6345559768397</v>
          </cell>
          <cell r="O67">
            <v>676.29074914519992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3546.0863051220394</v>
          </cell>
          <cell r="Y67">
            <v>-208.58975756254421</v>
          </cell>
          <cell r="Z67">
            <v>177111.48626420242</v>
          </cell>
          <cell r="AA67">
            <v>83.822538314943529</v>
          </cell>
          <cell r="AD67">
            <v>23.551896942242355</v>
          </cell>
        </row>
        <row r="68">
          <cell r="A68">
            <v>46259</v>
          </cell>
          <cell r="B68">
            <v>83.844999999999999</v>
          </cell>
          <cell r="C68">
            <v>83.844999999999999</v>
          </cell>
          <cell r="D68">
            <v>177212.31271912501</v>
          </cell>
          <cell r="E68">
            <v>2685.0790000000002</v>
          </cell>
          <cell r="F68">
            <v>0</v>
          </cell>
          <cell r="G68">
            <v>0</v>
          </cell>
          <cell r="H68">
            <v>300</v>
          </cell>
          <cell r="I68">
            <v>2985.0790000000002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2456.8193782013013</v>
          </cell>
          <cell r="O68">
            <v>532.9626550706048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3400.9430332719062</v>
          </cell>
          <cell r="Y68">
            <v>-35.930652474692678</v>
          </cell>
          <cell r="Z68">
            <v>177176.38206665032</v>
          </cell>
          <cell r="AA68">
            <v>83.836996254617105</v>
          </cell>
          <cell r="AD68">
            <v>76.021489241223108</v>
          </cell>
        </row>
        <row r="69">
          <cell r="A69">
            <v>46260</v>
          </cell>
          <cell r="B69">
            <v>83.8</v>
          </cell>
          <cell r="C69">
            <v>83.8</v>
          </cell>
          <cell r="D69">
            <v>177010.34459999998</v>
          </cell>
          <cell r="E69">
            <v>1758.4659999999999</v>
          </cell>
          <cell r="F69">
            <v>0</v>
          </cell>
          <cell r="G69">
            <v>0</v>
          </cell>
          <cell r="H69">
            <v>300</v>
          </cell>
          <cell r="I69">
            <v>2058.4659999999999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2453.4159198721663</v>
          </cell>
          <cell r="O69">
            <v>218.44045585827354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3083.0173757304401</v>
          </cell>
          <cell r="Y69">
            <v>-88.521238863110028</v>
          </cell>
          <cell r="Z69">
            <v>176921.82336113686</v>
          </cell>
          <cell r="AA69">
            <v>83.780268737195527</v>
          </cell>
          <cell r="AD69">
            <v>49.786693091732722</v>
          </cell>
        </row>
        <row r="70">
          <cell r="A70">
            <v>46261</v>
          </cell>
          <cell r="B70">
            <v>83.843000000000004</v>
          </cell>
          <cell r="C70">
            <v>83.843000000000004</v>
          </cell>
          <cell r="D70">
            <v>177203.33391888501</v>
          </cell>
          <cell r="E70">
            <v>1562.3219999999999</v>
          </cell>
          <cell r="F70">
            <v>0</v>
          </cell>
          <cell r="G70">
            <v>0</v>
          </cell>
          <cell r="H70">
            <v>300</v>
          </cell>
          <cell r="I70">
            <v>1862.3219999999999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2456.6681133866732</v>
          </cell>
          <cell r="O70">
            <v>181.54208259773173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3049.3711959844049</v>
          </cell>
          <cell r="Y70">
            <v>-102.56105053305259</v>
          </cell>
          <cell r="Z70">
            <v>177100.77286835195</v>
          </cell>
          <cell r="AA70">
            <v>83.820151255763051</v>
          </cell>
          <cell r="AD70">
            <v>44.233352208380516</v>
          </cell>
        </row>
        <row r="71">
          <cell r="A71">
            <v>46262</v>
          </cell>
          <cell r="B71">
            <v>83.882000000000005</v>
          </cell>
          <cell r="C71">
            <v>83.882000000000005</v>
          </cell>
          <cell r="D71">
            <v>177378.46145426002</v>
          </cell>
          <cell r="E71">
            <v>1335.741</v>
          </cell>
          <cell r="F71">
            <v>0</v>
          </cell>
          <cell r="G71">
            <v>0</v>
          </cell>
          <cell r="H71">
            <v>300</v>
          </cell>
          <cell r="I71">
            <v>1635.741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2459.6177772719238</v>
          </cell>
          <cell r="O71">
            <v>505.61202120000945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3376.3907984719335</v>
          </cell>
          <cell r="Y71">
            <v>-150.39214258797506</v>
          </cell>
          <cell r="Z71">
            <v>177228.06931167204</v>
          </cell>
          <cell r="AA71">
            <v>83.848509610113538</v>
          </cell>
          <cell r="AD71">
            <v>37.818261608154017</v>
          </cell>
        </row>
        <row r="72">
          <cell r="A72">
            <v>46263</v>
          </cell>
          <cell r="B72">
            <v>84.01</v>
          </cell>
          <cell r="C72">
            <v>84.01</v>
          </cell>
          <cell r="D72">
            <v>177953.8453365</v>
          </cell>
          <cell r="E72">
            <v>2858.4940000000001</v>
          </cell>
          <cell r="F72">
            <v>0</v>
          </cell>
          <cell r="G72">
            <v>0</v>
          </cell>
          <cell r="H72">
            <v>300</v>
          </cell>
          <cell r="I72">
            <v>3158.4940000000001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2469.2987254081295</v>
          </cell>
          <cell r="O72">
            <v>457.04662412707273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3337.5063495352024</v>
          </cell>
          <cell r="Y72">
            <v>-15.466666999841472</v>
          </cell>
          <cell r="Z72">
            <v>177938.37866950015</v>
          </cell>
          <cell r="AA72">
            <v>84.006561984797059</v>
          </cell>
          <cell r="AD72">
            <v>80.93131370328426</v>
          </cell>
        </row>
        <row r="73">
          <cell r="A73">
            <v>46264</v>
          </cell>
          <cell r="B73">
            <v>84.087999999999994</v>
          </cell>
          <cell r="C73">
            <v>84.087999999999994</v>
          </cell>
          <cell r="D73">
            <v>178304.92565855998</v>
          </cell>
          <cell r="E73">
            <v>1978.8409999999999</v>
          </cell>
          <cell r="F73">
            <v>0</v>
          </cell>
          <cell r="G73">
            <v>0</v>
          </cell>
          <cell r="H73">
            <v>300</v>
          </cell>
          <cell r="I73">
            <v>2278.8409999999999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2475.1980531786294</v>
          </cell>
          <cell r="O73">
            <v>417.77798701217159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3304.1370401908011</v>
          </cell>
          <cell r="Y73">
            <v>-88.585577872485217</v>
          </cell>
          <cell r="Z73">
            <v>178216.34008068749</v>
          </cell>
          <cell r="AA73">
            <v>84.068326051269636</v>
          </cell>
          <cell r="AD73">
            <v>56.026075877689692</v>
          </cell>
        </row>
        <row r="74">
          <cell r="A74">
            <v>46265</v>
          </cell>
          <cell r="B74">
            <v>84.075000000000003</v>
          </cell>
          <cell r="C74">
            <v>84.075000000000003</v>
          </cell>
          <cell r="D74">
            <v>178246.38830312499</v>
          </cell>
          <cell r="E74">
            <v>1362.098</v>
          </cell>
          <cell r="F74">
            <v>0</v>
          </cell>
          <cell r="G74">
            <v>0</v>
          </cell>
          <cell r="H74">
            <v>300</v>
          </cell>
          <cell r="I74">
            <v>1662.098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2474.2148318835466</v>
          </cell>
          <cell r="O74">
            <v>428.32931394042612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3313.705145823973</v>
          </cell>
          <cell r="Y74">
            <v>-142.69885739919127</v>
          </cell>
          <cell r="Z74">
            <v>178103.68944572579</v>
          </cell>
          <cell r="AA74">
            <v>84.043300453144624</v>
          </cell>
          <cell r="AD74">
            <v>38.564496036240087</v>
          </cell>
        </row>
        <row r="75">
          <cell r="A75">
            <v>46266</v>
          </cell>
          <cell r="B75">
            <v>84.042000000000002</v>
          </cell>
          <cell r="C75">
            <v>84.042000000000002</v>
          </cell>
          <cell r="D75">
            <v>178097.83653586</v>
          </cell>
          <cell r="E75">
            <v>1331.261</v>
          </cell>
          <cell r="F75">
            <v>0</v>
          </cell>
          <cell r="G75">
            <v>0</v>
          </cell>
          <cell r="H75">
            <v>300</v>
          </cell>
          <cell r="I75">
            <v>1631.261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2471.7189624421803</v>
          </cell>
          <cell r="O75">
            <v>686.60763968332265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3569.4876021255031</v>
          </cell>
          <cell r="Y75">
            <v>-167.46277842364347</v>
          </cell>
          <cell r="Z75">
            <v>177930.37375743635</v>
          </cell>
          <cell r="AA75">
            <v>84.004782550691857</v>
          </cell>
          <cell r="AD75">
            <v>37.691421291053224</v>
          </cell>
        </row>
        <row r="76">
          <cell r="A76">
            <v>46267</v>
          </cell>
          <cell r="B76">
            <v>84.006</v>
          </cell>
          <cell r="C76">
            <v>84.006</v>
          </cell>
          <cell r="D76">
            <v>177935.85052114</v>
          </cell>
          <cell r="E76">
            <v>1169.366</v>
          </cell>
          <cell r="F76">
            <v>0</v>
          </cell>
          <cell r="G76">
            <v>0</v>
          </cell>
          <cell r="H76">
            <v>300</v>
          </cell>
          <cell r="I76">
            <v>1469.366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2468.9961957788728</v>
          </cell>
          <cell r="O76">
            <v>750.39599303883313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3630.5531888177061</v>
          </cell>
          <cell r="Y76">
            <v>-186.72657311384981</v>
          </cell>
          <cell r="Z76">
            <v>177749.12394802616</v>
          </cell>
          <cell r="AA76">
            <v>83.964481334615584</v>
          </cell>
          <cell r="AD76">
            <v>33.107757644394113</v>
          </cell>
        </row>
        <row r="77">
          <cell r="A77">
            <v>46268</v>
          </cell>
          <cell r="B77">
            <v>84.028000000000006</v>
          </cell>
          <cell r="C77">
            <v>84.028000000000006</v>
          </cell>
          <cell r="D77">
            <v>178034.83323816003</v>
          </cell>
          <cell r="E77">
            <v>1145.4680000000001</v>
          </cell>
          <cell r="F77">
            <v>0</v>
          </cell>
          <cell r="G77">
            <v>0</v>
          </cell>
          <cell r="H77">
            <v>300</v>
          </cell>
          <cell r="I77">
            <v>1445.4680000000001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2470.6601087397839</v>
          </cell>
          <cell r="O77">
            <v>438.8602698767827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3320.6813786165667</v>
          </cell>
          <cell r="Y77">
            <v>-162.01843591247135</v>
          </cell>
          <cell r="Z77">
            <v>177872.81480224757</v>
          </cell>
          <cell r="AA77">
            <v>83.991986434886002</v>
          </cell>
          <cell r="AD77">
            <v>32.431143827859572</v>
          </cell>
        </row>
        <row r="78">
          <cell r="A78">
            <v>46269</v>
          </cell>
          <cell r="B78">
            <v>84.001000000000005</v>
          </cell>
          <cell r="C78">
            <v>84.001000000000005</v>
          </cell>
          <cell r="D78">
            <v>177913.35827836502</v>
          </cell>
          <cell r="E78">
            <v>1056.8109999999999</v>
          </cell>
          <cell r="F78">
            <v>0</v>
          </cell>
          <cell r="G78">
            <v>0</v>
          </cell>
          <cell r="H78">
            <v>300</v>
          </cell>
          <cell r="I78">
            <v>1356.8109999999999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2468.618033742302</v>
          </cell>
          <cell r="O78">
            <v>536.06657687441236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3415.8456106167146</v>
          </cell>
          <cell r="Y78">
            <v>-177.9005903572841</v>
          </cell>
          <cell r="Z78">
            <v>177735.45768800774</v>
          </cell>
          <cell r="AA78">
            <v>83.961441786638417</v>
          </cell>
          <cell r="AD78">
            <v>29.921036240090597</v>
          </cell>
        </row>
        <row r="79">
          <cell r="A79">
            <v>46270</v>
          </cell>
          <cell r="B79">
            <v>84.001000000000005</v>
          </cell>
          <cell r="C79">
            <v>84.001000000000005</v>
          </cell>
          <cell r="D79">
            <v>177913.35827836502</v>
          </cell>
          <cell r="E79">
            <v>1092.8510000000001</v>
          </cell>
          <cell r="F79">
            <v>0</v>
          </cell>
          <cell r="G79">
            <v>0</v>
          </cell>
          <cell r="H79">
            <v>300</v>
          </cell>
          <cell r="I79">
            <v>1392.8510000000001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2468.618033742302</v>
          </cell>
          <cell r="O79">
            <v>439.98739918625307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3319.7664329285553</v>
          </cell>
          <cell r="Y79">
            <v>-166.48549340502717</v>
          </cell>
          <cell r="Z79">
            <v>177746.87278496</v>
          </cell>
          <cell r="AA79">
            <v>83.963980655677858</v>
          </cell>
          <cell r="AD79">
            <v>30.941421291053231</v>
          </cell>
        </row>
        <row r="80">
          <cell r="A80">
            <v>46271</v>
          </cell>
          <cell r="B80">
            <v>84.100999999999999</v>
          </cell>
          <cell r="C80">
            <v>84.100999999999999</v>
          </cell>
          <cell r="D80">
            <v>178363.47260136501</v>
          </cell>
          <cell r="E80">
            <v>1284.9670000000001</v>
          </cell>
          <cell r="F80">
            <v>0</v>
          </cell>
          <cell r="G80">
            <v>0</v>
          </cell>
          <cell r="H80">
            <v>300</v>
          </cell>
          <cell r="I80">
            <v>1584.9670000000001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2476.1812744737126</v>
          </cell>
          <cell r="O80">
            <v>275.45049220979365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3162.7927666835062</v>
          </cell>
          <cell r="Y80">
            <v>-136.32414624145494</v>
          </cell>
          <cell r="Z80">
            <v>178227.14845512356</v>
          </cell>
          <cell r="AA80">
            <v>84.07072674166146</v>
          </cell>
          <cell r="AD80">
            <v>36.380719139297852</v>
          </cell>
        </row>
        <row r="81">
          <cell r="A81">
            <v>46272</v>
          </cell>
          <cell r="B81">
            <v>84.091999999999999</v>
          </cell>
          <cell r="C81">
            <v>84.091999999999999</v>
          </cell>
          <cell r="D81">
            <v>178322.93908135997</v>
          </cell>
          <cell r="E81">
            <v>2473.4290000000001</v>
          </cell>
          <cell r="F81">
            <v>0</v>
          </cell>
          <cell r="G81">
            <v>0</v>
          </cell>
          <cell r="H81">
            <v>300</v>
          </cell>
          <cell r="I81">
            <v>2773.4290000000001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2475.5005828078865</v>
          </cell>
          <cell r="O81">
            <v>302.57350198842767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3189.2350847963144</v>
          </cell>
          <cell r="Y81">
            <v>-35.925645726401555</v>
          </cell>
          <cell r="Z81">
            <v>178287.01343563356</v>
          </cell>
          <cell r="AA81">
            <v>84.084022272227017</v>
          </cell>
          <cell r="AD81">
            <v>70.029133635334091</v>
          </cell>
        </row>
        <row r="82">
          <cell r="A82">
            <v>46273</v>
          </cell>
          <cell r="B82">
            <v>84.066999999999993</v>
          </cell>
          <cell r="C82">
            <v>84.066999999999993</v>
          </cell>
          <cell r="D82">
            <v>178210.37008048495</v>
          </cell>
          <cell r="E82">
            <v>2121.3789999999999</v>
          </cell>
          <cell r="F82">
            <v>0</v>
          </cell>
          <cell r="G82">
            <v>0</v>
          </cell>
          <cell r="H82">
            <v>300</v>
          </cell>
          <cell r="I82">
            <v>2421.3789999999999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2473.6097726250327</v>
          </cell>
          <cell r="O82">
            <v>288.390465755349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3173.1612383803817</v>
          </cell>
          <cell r="Y82">
            <v>-64.953985396064994</v>
          </cell>
          <cell r="Z82">
            <v>178145.41609508888</v>
          </cell>
          <cell r="AA82">
            <v>84.052571044810747</v>
          </cell>
          <cell r="AD82">
            <v>60.061693091732728</v>
          </cell>
        </row>
        <row r="83">
          <cell r="A83">
            <v>46274</v>
          </cell>
          <cell r="B83">
            <v>84.091999999999999</v>
          </cell>
          <cell r="C83">
            <v>84.091999999999999</v>
          </cell>
          <cell r="D83">
            <v>178322.93908135997</v>
          </cell>
          <cell r="E83">
            <v>3848.547</v>
          </cell>
          <cell r="F83">
            <v>0</v>
          </cell>
          <cell r="G83">
            <v>0</v>
          </cell>
          <cell r="H83">
            <v>300</v>
          </cell>
          <cell r="I83">
            <v>4148.5470000000005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2475.5005828078865</v>
          </cell>
          <cell r="O83">
            <v>441.85452293550287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3328.5161057433893</v>
          </cell>
          <cell r="Y83">
            <v>70.850669263771209</v>
          </cell>
          <cell r="Z83">
            <v>178393.78975062375</v>
          </cell>
          <cell r="AA83">
            <v>84.107730905998039</v>
          </cell>
          <cell r="AD83">
            <v>108.96225934314836</v>
          </cell>
        </row>
        <row r="84">
          <cell r="A84">
            <v>46275</v>
          </cell>
          <cell r="B84">
            <v>84.046999999999997</v>
          </cell>
          <cell r="C84">
            <v>84.046999999999997</v>
          </cell>
          <cell r="D84">
            <v>178120.34040828497</v>
          </cell>
          <cell r="E84">
            <v>1114.8499999999999</v>
          </cell>
          <cell r="F84">
            <v>0</v>
          </cell>
          <cell r="G84">
            <v>0</v>
          </cell>
          <cell r="H84">
            <v>300</v>
          </cell>
          <cell r="I84">
            <v>1414.85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2472.0971244787506</v>
          </cell>
          <cell r="O84">
            <v>332.08331588423613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3215.3414403629868</v>
          </cell>
          <cell r="Y84">
            <v>-155.56246044736204</v>
          </cell>
          <cell r="Z84">
            <v>177964.7779478376</v>
          </cell>
          <cell r="AA84">
            <v>84.012430070639979</v>
          </cell>
          <cell r="AD84">
            <v>31.564269535673837</v>
          </cell>
        </row>
        <row r="85">
          <cell r="A85">
            <v>46276</v>
          </cell>
          <cell r="B85">
            <v>84.076999999999998</v>
          </cell>
          <cell r="C85">
            <v>84.076999999999998</v>
          </cell>
          <cell r="D85">
            <v>178255.39342608498</v>
          </cell>
          <cell r="E85">
            <v>791.15300000000002</v>
          </cell>
          <cell r="F85">
            <v>0</v>
          </cell>
          <cell r="G85">
            <v>0</v>
          </cell>
          <cell r="H85">
            <v>300</v>
          </cell>
          <cell r="I85">
            <v>1091.153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2474.3660966981743</v>
          </cell>
          <cell r="O85">
            <v>252.36285415893471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3137.8899508571089</v>
          </cell>
          <cell r="Y85">
            <v>-176.83807255405421</v>
          </cell>
          <cell r="Z85">
            <v>178078.55535353092</v>
          </cell>
          <cell r="AA85">
            <v>84.03771577944427</v>
          </cell>
          <cell r="AD85">
            <v>22.39957531143828</v>
          </cell>
        </row>
        <row r="86">
          <cell r="A86">
            <v>46277</v>
          </cell>
          <cell r="B86">
            <v>84.081999999999994</v>
          </cell>
          <cell r="C86">
            <v>84.081999999999994</v>
          </cell>
          <cell r="D86">
            <v>178277.90722625994</v>
          </cell>
          <cell r="E86">
            <v>2095.9749999999999</v>
          </cell>
          <cell r="F86">
            <v>0</v>
          </cell>
          <cell r="G86">
            <v>0</v>
          </cell>
          <cell r="H86">
            <v>300</v>
          </cell>
          <cell r="I86">
            <v>2395.9749999999999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2474.7442587347441</v>
          </cell>
          <cell r="O86">
            <v>717.32027588297694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3603.2255346177212</v>
          </cell>
          <cell r="Y86">
            <v>-104.30644619097112</v>
          </cell>
          <cell r="Z86">
            <v>178173.60078006895</v>
          </cell>
          <cell r="AA86">
            <v>84.058832346324749</v>
          </cell>
          <cell r="AD86">
            <v>59.342440543601356</v>
          </cell>
        </row>
        <row r="87">
          <cell r="A87">
            <v>46278</v>
          </cell>
          <cell r="B87">
            <v>84.19</v>
          </cell>
          <cell r="C87">
            <v>84.19</v>
          </cell>
          <cell r="D87">
            <v>178764.5514765</v>
          </cell>
          <cell r="E87">
            <v>1168.893</v>
          </cell>
          <cell r="F87">
            <v>0</v>
          </cell>
          <cell r="G87">
            <v>0</v>
          </cell>
          <cell r="H87">
            <v>300</v>
          </cell>
          <cell r="I87">
            <v>1468.893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2482.912558724669</v>
          </cell>
          <cell r="O87">
            <v>857.22212126766669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3751.2956799923359</v>
          </cell>
          <cell r="Y87">
            <v>-197.19959155133779</v>
          </cell>
          <cell r="Z87">
            <v>178567.35188494867</v>
          </cell>
          <cell r="AA87">
            <v>84.146253577393367</v>
          </cell>
          <cell r="AD87">
            <v>33.094365798414493</v>
          </cell>
        </row>
        <row r="88">
          <cell r="A88">
            <v>46279</v>
          </cell>
          <cell r="B88">
            <v>84.146253577393367</v>
          </cell>
          <cell r="D88">
            <v>178567.35188494864</v>
          </cell>
          <cell r="E88">
            <v>4565.723</v>
          </cell>
          <cell r="F88">
            <v>0</v>
          </cell>
          <cell r="G88">
            <v>0</v>
          </cell>
          <cell r="H88">
            <v>300</v>
          </cell>
          <cell r="I88">
            <v>4865.723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2479.6039114715486</v>
          </cell>
          <cell r="O88">
            <v>808.07416860331739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3698.8390800748662</v>
          </cell>
          <cell r="Y88">
            <v>100.81877068153156</v>
          </cell>
          <cell r="Z88">
            <v>178668.17065563018</v>
          </cell>
          <cell r="AA88">
            <v>84.168622051319346</v>
          </cell>
          <cell r="AD88">
            <v>129.26735560588901</v>
          </cell>
        </row>
        <row r="89">
          <cell r="A89">
            <v>46280</v>
          </cell>
          <cell r="B89">
            <v>84.168622051319346</v>
          </cell>
          <cell r="C89" t="str">
            <v/>
          </cell>
          <cell r="D89">
            <v>178668.17065563021</v>
          </cell>
          <cell r="E89">
            <v>4676.973</v>
          </cell>
          <cell r="F89">
            <v>0</v>
          </cell>
          <cell r="G89">
            <v>0</v>
          </cell>
          <cell r="H89">
            <v>300</v>
          </cell>
          <cell r="I89">
            <v>4976.973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2481.295693002513</v>
          </cell>
          <cell r="O89">
            <v>800.78925542968466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3693.2459484321976</v>
          </cell>
          <cell r="Y89">
            <v>110.91401725545812</v>
          </cell>
          <cell r="Z89">
            <v>178779.08467288566</v>
          </cell>
          <cell r="AA89">
            <v>84.193223067026707</v>
          </cell>
          <cell r="AD89">
            <v>132.41712910532277</v>
          </cell>
        </row>
        <row r="90">
          <cell r="A90">
            <v>46281</v>
          </cell>
          <cell r="B90">
            <v>84.193223067026707</v>
          </cell>
          <cell r="C90" t="str">
            <v/>
          </cell>
          <cell r="D90">
            <v>178779.08467288566</v>
          </cell>
          <cell r="E90">
            <v>1669.5170000000001</v>
          </cell>
          <cell r="F90">
            <v>0</v>
          </cell>
          <cell r="G90">
            <v>0</v>
          </cell>
          <cell r="H90">
            <v>300</v>
          </cell>
          <cell r="I90">
            <v>1969.5170000000001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2483.1563270428328</v>
          </cell>
          <cell r="O90">
            <v>775.29404245144076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3669.6113694942737</v>
          </cell>
          <cell r="Y90">
            <v>-146.88815352430524</v>
          </cell>
          <cell r="Z90">
            <v>178632.19651936134</v>
          </cell>
          <cell r="AA90">
            <v>84.160641258960254</v>
          </cell>
          <cell r="AD90">
            <v>47.268318233295581</v>
          </cell>
        </row>
        <row r="91">
          <cell r="A91">
            <v>46282</v>
          </cell>
          <cell r="B91">
            <v>84.160641258960254</v>
          </cell>
          <cell r="C91" t="str">
            <v/>
          </cell>
          <cell r="D91">
            <v>178632.19651936134</v>
          </cell>
          <cell r="E91">
            <v>1120.684</v>
          </cell>
          <cell r="F91">
            <v>0</v>
          </cell>
          <cell r="G91">
            <v>0</v>
          </cell>
          <cell r="H91">
            <v>300</v>
          </cell>
          <cell r="I91">
            <v>1420.684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2480.6920864641215</v>
          </cell>
          <cell r="O91">
            <v>474.17015863170184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3366.0232450958233</v>
          </cell>
          <cell r="Y91">
            <v>-168.07731077627915</v>
          </cell>
          <cell r="Z91">
            <v>178464.11920858506</v>
          </cell>
          <cell r="AA91">
            <v>84.123343006221859</v>
          </cell>
          <cell r="AD91">
            <v>31.729445073612684</v>
          </cell>
        </row>
        <row r="92">
          <cell r="A92">
            <v>46283</v>
          </cell>
          <cell r="B92">
            <v>84.123343006221859</v>
          </cell>
          <cell r="C92" t="str">
            <v/>
          </cell>
          <cell r="D92">
            <v>178464.11920858506</v>
          </cell>
          <cell r="E92">
            <v>1161.4760000000001</v>
          </cell>
          <cell r="F92">
            <v>0</v>
          </cell>
          <cell r="G92">
            <v>0</v>
          </cell>
          <cell r="H92">
            <v>300</v>
          </cell>
          <cell r="I92">
            <v>1461.4760000000001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2477.8711298209064</v>
          </cell>
          <cell r="O92">
            <v>346.67550705069948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3235.7076368716062</v>
          </cell>
          <cell r="Y92">
            <v>-153.29361342570675</v>
          </cell>
          <cell r="Z92">
            <v>178310.82559515935</v>
          </cell>
          <cell r="AA92">
            <v>84.08931014224801</v>
          </cell>
          <cell r="AD92">
            <v>32.884371460928655</v>
          </cell>
        </row>
        <row r="93">
          <cell r="A93">
            <v>46284</v>
          </cell>
          <cell r="B93">
            <v>84.08931014224801</v>
          </cell>
          <cell r="C93" t="str">
            <v/>
          </cell>
          <cell r="D93">
            <v>178310.82559515937</v>
          </cell>
          <cell r="E93">
            <v>1412.231</v>
          </cell>
          <cell r="F93">
            <v>0</v>
          </cell>
          <cell r="G93">
            <v>0</v>
          </cell>
          <cell r="H93">
            <v>300</v>
          </cell>
          <cell r="I93">
            <v>1712.231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2475.2971423907707</v>
          </cell>
          <cell r="O93">
            <v>638.1589513808525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3524.6170937716233</v>
          </cell>
          <cell r="Y93">
            <v>-156.59015850186825</v>
          </cell>
          <cell r="Z93">
            <v>178154.2354366575</v>
          </cell>
          <cell r="AA93">
            <v>84.054530337729645</v>
          </cell>
          <cell r="AD93">
            <v>39.983890147225367</v>
          </cell>
        </row>
        <row r="94">
          <cell r="A94">
            <v>46285</v>
          </cell>
          <cell r="B94">
            <v>84.054530337729645</v>
          </cell>
          <cell r="C94" t="str">
            <v/>
          </cell>
          <cell r="D94">
            <v>178154.23543665744</v>
          </cell>
          <cell r="E94">
            <v>1327.7760000000001</v>
          </cell>
          <cell r="F94">
            <v>0</v>
          </cell>
          <cell r="G94">
            <v>0</v>
          </cell>
          <cell r="H94">
            <v>300</v>
          </cell>
          <cell r="I94">
            <v>1627.7760000000001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2472.6666620491324</v>
          </cell>
          <cell r="O94">
            <v>623.69270609883495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3507.5203681479675</v>
          </cell>
          <cell r="Y94">
            <v>-162.40991340798439</v>
          </cell>
          <cell r="Z94">
            <v>177991.82552324946</v>
          </cell>
          <cell r="AA94">
            <v>84.018441810993565</v>
          </cell>
          <cell r="AD94">
            <v>37.592751981879957</v>
          </cell>
        </row>
        <row r="95">
          <cell r="A95">
            <v>46286</v>
          </cell>
          <cell r="B95">
            <v>84.018441810993565</v>
          </cell>
          <cell r="C95" t="str">
            <v/>
          </cell>
          <cell r="D95">
            <v>177991.82552324943</v>
          </cell>
          <cell r="E95">
            <v>1008.723</v>
          </cell>
          <cell r="F95">
            <v>0</v>
          </cell>
          <cell r="G95">
            <v>0</v>
          </cell>
          <cell r="H95">
            <v>300</v>
          </cell>
          <cell r="I95">
            <v>1308.723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2469.9371998956631</v>
          </cell>
          <cell r="O95">
            <v>428.10599584780613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3309.2041957434694</v>
          </cell>
          <cell r="Y95">
            <v>-172.84157531223576</v>
          </cell>
          <cell r="Z95">
            <v>177818.9839479372</v>
          </cell>
          <cell r="AA95">
            <v>83.980017255934499</v>
          </cell>
          <cell r="AD95">
            <v>28.559541336353341</v>
          </cell>
        </row>
        <row r="96">
          <cell r="A96">
            <v>46287</v>
          </cell>
          <cell r="B96">
            <v>83.980017255934499</v>
          </cell>
          <cell r="C96" t="str">
            <v/>
          </cell>
          <cell r="D96">
            <v>177818.9839479372</v>
          </cell>
          <cell r="E96">
            <v>3579.91</v>
          </cell>
          <cell r="F96">
            <v>0</v>
          </cell>
          <cell r="G96">
            <v>0</v>
          </cell>
          <cell r="H96">
            <v>300</v>
          </cell>
          <cell r="I96">
            <v>3879.91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2467.0310582965722</v>
          </cell>
          <cell r="O96">
            <v>744.08619130079683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3622.2782495973688</v>
          </cell>
          <cell r="Y96">
            <v>22.259383234787322</v>
          </cell>
          <cell r="Z96">
            <v>177841.24333117198</v>
          </cell>
          <cell r="AA96">
            <v>83.98496680281589</v>
          </cell>
          <cell r="AD96">
            <v>101.35645526613816</v>
          </cell>
        </row>
        <row r="97">
          <cell r="A97">
            <v>46288</v>
          </cell>
          <cell r="B97">
            <v>83.98496680281589</v>
          </cell>
          <cell r="C97" t="str">
            <v/>
          </cell>
          <cell r="D97">
            <v>177841.24333117198</v>
          </cell>
          <cell r="E97">
            <v>2294.317</v>
          </cell>
          <cell r="F97">
            <v>0</v>
          </cell>
          <cell r="G97">
            <v>0</v>
          </cell>
          <cell r="H97">
            <v>300</v>
          </cell>
          <cell r="I97">
            <v>2594.317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2467.4054044423256</v>
          </cell>
          <cell r="O97">
            <v>759.68316837297039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3638.2495728152962</v>
          </cell>
          <cell r="Y97">
            <v>-90.195774291241591</v>
          </cell>
          <cell r="Z97">
            <v>177751.04755688075</v>
          </cell>
          <cell r="AA97">
            <v>83.964909160040989</v>
          </cell>
          <cell r="AD97">
            <v>64.95801245753114</v>
          </cell>
        </row>
        <row r="98">
          <cell r="A98">
            <v>46289</v>
          </cell>
          <cell r="B98">
            <v>83.964909160040989</v>
          </cell>
          <cell r="C98" t="str">
            <v/>
          </cell>
          <cell r="D98">
            <v>177751.04755688072</v>
          </cell>
          <cell r="E98">
            <v>2022.184</v>
          </cell>
          <cell r="F98">
            <v>0</v>
          </cell>
          <cell r="G98">
            <v>0</v>
          </cell>
          <cell r="H98">
            <v>300</v>
          </cell>
          <cell r="I98">
            <v>2322.1840000000002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2465.8883966342137</v>
          </cell>
          <cell r="O98">
            <v>589.80696487195848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3466.8563615061721</v>
          </cell>
          <cell r="Y98">
            <v>-98.899692034133238</v>
          </cell>
          <cell r="Z98">
            <v>177652.14786484657</v>
          </cell>
          <cell r="AA98">
            <v>83.942910113060208</v>
          </cell>
          <cell r="AD98">
            <v>57.253227633069081</v>
          </cell>
        </row>
        <row r="99">
          <cell r="A99">
            <v>46290</v>
          </cell>
          <cell r="B99">
            <v>83.942910113060208</v>
          </cell>
          <cell r="C99" t="str">
            <v/>
          </cell>
          <cell r="D99">
            <v>177652.14786484654</v>
          </cell>
          <cell r="E99">
            <v>1707.8230000000001</v>
          </cell>
          <cell r="F99">
            <v>0</v>
          </cell>
          <cell r="G99">
            <v>0</v>
          </cell>
          <cell r="H99">
            <v>300</v>
          </cell>
          <cell r="I99">
            <v>2007.8230000000001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2464.2245557524411</v>
          </cell>
          <cell r="O99">
            <v>805.86802312720158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3681.2535788796426</v>
          </cell>
          <cell r="Y99">
            <v>-144.58440201520111</v>
          </cell>
          <cell r="Z99">
            <v>177507.56346283134</v>
          </cell>
          <cell r="AA99">
            <v>83.910738055726398</v>
          </cell>
          <cell r="AD99">
            <v>48.352859569648928</v>
          </cell>
        </row>
        <row r="100">
          <cell r="A100">
            <v>46291</v>
          </cell>
          <cell r="B100">
            <v>83.910738055726398</v>
          </cell>
          <cell r="C100" t="str">
            <v/>
          </cell>
          <cell r="D100">
            <v>177507.56346283131</v>
          </cell>
          <cell r="E100">
            <v>3423.79</v>
          </cell>
          <cell r="F100">
            <v>0</v>
          </cell>
          <cell r="G100">
            <v>0</v>
          </cell>
          <cell r="H100">
            <v>300</v>
          </cell>
          <cell r="I100">
            <v>3723.79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2461.7913056080374</v>
          </cell>
          <cell r="O100">
            <v>745.38457362168333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3618.3368792297206</v>
          </cell>
          <cell r="Y100">
            <v>9.1111496345521381</v>
          </cell>
          <cell r="Z100">
            <v>177516.67461246587</v>
          </cell>
          <cell r="AA100">
            <v>83.912765800106527</v>
          </cell>
          <cell r="AD100">
            <v>96.93629671574179</v>
          </cell>
        </row>
        <row r="101">
          <cell r="A101">
            <v>46292</v>
          </cell>
          <cell r="B101">
            <v>83.912765800106527</v>
          </cell>
          <cell r="C101" t="str">
            <v/>
          </cell>
          <cell r="D101">
            <v>177516.6746124659</v>
          </cell>
          <cell r="E101">
            <v>2338.4180000000001</v>
          </cell>
          <cell r="F101">
            <v>0</v>
          </cell>
          <cell r="G101">
            <v>0</v>
          </cell>
          <cell r="H101">
            <v>300</v>
          </cell>
          <cell r="I101">
            <v>2638.4180000000001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2461.9446687969248</v>
          </cell>
          <cell r="O101">
            <v>473.98633923953878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3347.0920080364635</v>
          </cell>
          <cell r="Y101">
            <v>-61.229434294350433</v>
          </cell>
          <cell r="Z101">
            <v>177455.44517817153</v>
          </cell>
          <cell r="AA101">
            <v>83.899137801552527</v>
          </cell>
          <cell r="AD101">
            <v>66.206625141562853</v>
          </cell>
        </row>
        <row r="102">
          <cell r="A102">
            <v>46293</v>
          </cell>
          <cell r="B102">
            <v>83.899137801552527</v>
          </cell>
          <cell r="C102" t="str">
            <v/>
          </cell>
          <cell r="D102">
            <v>177455.44517817156</v>
          </cell>
          <cell r="E102">
            <v>1583.376</v>
          </cell>
          <cell r="F102">
            <v>0</v>
          </cell>
          <cell r="G102">
            <v>0</v>
          </cell>
          <cell r="H102">
            <v>300</v>
          </cell>
          <cell r="I102">
            <v>1883.376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2460.9139504594123</v>
          </cell>
          <cell r="O102">
            <v>413.89244161243499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3285.9673920718474</v>
          </cell>
          <cell r="Y102">
            <v>-121.18389627500761</v>
          </cell>
          <cell r="Z102">
            <v>177334.26128189656</v>
          </cell>
          <cell r="AA102">
            <v>83.872158661954487</v>
          </cell>
          <cell r="AD102">
            <v>44.829445073612682</v>
          </cell>
        </row>
        <row r="103">
          <cell r="A103">
            <v>46294</v>
          </cell>
          <cell r="B103">
            <v>83.872158661954487</v>
          </cell>
          <cell r="C103" t="str">
            <v/>
          </cell>
          <cell r="D103">
            <v>177334.26128189656</v>
          </cell>
          <cell r="E103">
            <v>1545.624</v>
          </cell>
          <cell r="F103">
            <v>0</v>
          </cell>
          <cell r="G103">
            <v>0</v>
          </cell>
          <cell r="H103">
            <v>300</v>
          </cell>
          <cell r="I103">
            <v>1845.624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2458.8734531843493</v>
          </cell>
          <cell r="O103">
            <v>359.83913107106508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3229.8735842554142</v>
          </cell>
          <cell r="Y103">
            <v>-119.59916407966779</v>
          </cell>
          <cell r="Z103">
            <v>177214.66211781689</v>
          </cell>
          <cell r="AA103">
            <v>83.845523312953532</v>
          </cell>
          <cell r="AD103">
            <v>43.760588901472254</v>
          </cell>
        </row>
        <row r="104">
          <cell r="A104">
            <v>46295</v>
          </cell>
          <cell r="B104">
            <v>83.845523312953532</v>
          </cell>
          <cell r="C104" t="str">
            <v/>
          </cell>
          <cell r="D104">
            <v>177214.66211781686</v>
          </cell>
          <cell r="E104">
            <v>1347.4259999999999</v>
          </cell>
          <cell r="F104">
            <v>0</v>
          </cell>
          <cell r="G104">
            <v>0</v>
          </cell>
          <cell r="H104">
            <v>300</v>
          </cell>
          <cell r="I104">
            <v>1647.4259999999999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2456.8589576197555</v>
          </cell>
          <cell r="O104">
            <v>377.13816910605647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3245.1581267258121</v>
          </cell>
          <cell r="Y104">
            <v>-138.04405574911016</v>
          </cell>
          <cell r="Z104">
            <v>177076.61806206775</v>
          </cell>
          <cell r="AA104">
            <v>83.814769042298025</v>
          </cell>
          <cell r="AD104">
            <v>38.149093997734994</v>
          </cell>
        </row>
        <row r="105">
          <cell r="A105">
            <v>46296</v>
          </cell>
          <cell r="B105">
            <v>83.814769042298025</v>
          </cell>
          <cell r="C105" t="str">
            <v/>
          </cell>
          <cell r="D105">
            <v>177076.61806206772</v>
          </cell>
          <cell r="E105">
            <v>1318.1679999999999</v>
          </cell>
          <cell r="F105">
            <v>0</v>
          </cell>
          <cell r="G105">
            <v>0</v>
          </cell>
          <cell r="H105">
            <v>300</v>
          </cell>
          <cell r="I105">
            <v>1618.1679999999999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2141.2824568083597</v>
          </cell>
          <cell r="O105">
            <v>627.30002869918872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3179.7434855075485</v>
          </cell>
          <cell r="Y105">
            <v>-134.92012194785218</v>
          </cell>
          <cell r="Z105">
            <v>176941.69794011986</v>
          </cell>
          <cell r="AA105">
            <v>83.784699182208314</v>
          </cell>
          <cell r="AD105">
            <v>37.320724801811998</v>
          </cell>
        </row>
        <row r="106">
          <cell r="A106">
            <v>46297</v>
          </cell>
          <cell r="B106">
            <v>83.784699182208314</v>
          </cell>
          <cell r="C106" t="str">
            <v/>
          </cell>
          <cell r="D106">
            <v>176941.69794011989</v>
          </cell>
          <cell r="E106">
            <v>1209.6310000000001</v>
          </cell>
          <cell r="F106">
            <v>0</v>
          </cell>
          <cell r="G106">
            <v>0</v>
          </cell>
          <cell r="H106">
            <v>300</v>
          </cell>
          <cell r="I106">
            <v>1509.6310000000001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2139.3634586845783</v>
          </cell>
          <cell r="O106">
            <v>568.25085105177345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3118.775309736352</v>
          </cell>
          <cell r="Y106">
            <v>-139.0300683612208</v>
          </cell>
          <cell r="Z106">
            <v>176802.66787175866</v>
          </cell>
          <cell r="AA106">
            <v>83.753701365034132</v>
          </cell>
          <cell r="AD106">
            <v>34.247763306908269</v>
          </cell>
        </row>
        <row r="107">
          <cell r="A107">
            <v>46298</v>
          </cell>
          <cell r="B107">
            <v>83.753701365034132</v>
          </cell>
          <cell r="C107" t="str">
            <v/>
          </cell>
          <cell r="D107">
            <v>176802.6678717586</v>
          </cell>
          <cell r="E107">
            <v>952.09400000000005</v>
          </cell>
          <cell r="F107">
            <v>0</v>
          </cell>
          <cell r="G107">
            <v>0</v>
          </cell>
          <cell r="H107">
            <v>300</v>
          </cell>
          <cell r="I107">
            <v>1252.0940000000001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2137.3852402019811</v>
          </cell>
          <cell r="O107">
            <v>154.9631117096437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2703.5093519116249</v>
          </cell>
          <cell r="Y107">
            <v>-125.40228640516439</v>
          </cell>
          <cell r="Z107">
            <v>176677.26558535345</v>
          </cell>
          <cell r="AA107">
            <v>83.725731535497474</v>
          </cell>
          <cell r="AD107">
            <v>26.956228765571915</v>
          </cell>
        </row>
        <row r="108">
          <cell r="A108">
            <v>46299</v>
          </cell>
          <cell r="B108">
            <v>83.725731535497474</v>
          </cell>
          <cell r="C108" t="str">
            <v/>
          </cell>
          <cell r="D108">
            <v>176677.26558535345</v>
          </cell>
          <cell r="E108">
            <v>1101.002</v>
          </cell>
          <cell r="F108">
            <v>0</v>
          </cell>
          <cell r="G108">
            <v>0</v>
          </cell>
          <cell r="H108">
            <v>300</v>
          </cell>
          <cell r="I108">
            <v>1401.002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2135.6002618135481</v>
          </cell>
          <cell r="O108">
            <v>328.67292259285119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2875.4341844063993</v>
          </cell>
          <cell r="Y108">
            <v>-127.39094073271291</v>
          </cell>
          <cell r="Z108">
            <v>176549.87464462075</v>
          </cell>
          <cell r="AA108">
            <v>83.697308014040246</v>
          </cell>
          <cell r="AD108">
            <v>31.172197055492639</v>
          </cell>
        </row>
        <row r="109">
          <cell r="A109">
            <v>46300</v>
          </cell>
          <cell r="B109">
            <v>83.697308014040246</v>
          </cell>
          <cell r="C109" t="str">
            <v/>
          </cell>
          <cell r="D109">
            <v>176549.87464462072</v>
          </cell>
          <cell r="E109">
            <v>2049.1129999999998</v>
          </cell>
          <cell r="F109">
            <v>0</v>
          </cell>
          <cell r="G109">
            <v>0</v>
          </cell>
          <cell r="H109">
            <v>300</v>
          </cell>
          <cell r="I109">
            <v>2349.1129999999998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2133.7863297172571</v>
          </cell>
          <cell r="O109">
            <v>381.18301671263555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2926.1303464298926</v>
          </cell>
          <cell r="Y109">
            <v>-49.854298731542727</v>
          </cell>
          <cell r="Z109">
            <v>176500.02034588918</v>
          </cell>
          <cell r="AA109">
            <v>83.686181716527315</v>
          </cell>
          <cell r="AD109">
            <v>58.01565685164212</v>
          </cell>
        </row>
        <row r="110">
          <cell r="A110">
            <v>46301</v>
          </cell>
          <cell r="B110">
            <v>83.686181716527315</v>
          </cell>
          <cell r="C110" t="str">
            <v/>
          </cell>
          <cell r="D110">
            <v>176500.02034588912</v>
          </cell>
          <cell r="E110">
            <v>1768.261</v>
          </cell>
          <cell r="F110">
            <v>0</v>
          </cell>
          <cell r="G110">
            <v>0</v>
          </cell>
          <cell r="H110">
            <v>300</v>
          </cell>
          <cell r="I110">
            <v>2068.261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2133.0762717393263</v>
          </cell>
          <cell r="O110">
            <v>343.50341103207057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2887.7406827713971</v>
          </cell>
          <cell r="Y110">
            <v>-70.803044591448725</v>
          </cell>
          <cell r="Z110">
            <v>176429.21730129767</v>
          </cell>
          <cell r="AA110">
            <v>83.670377461272949</v>
          </cell>
          <cell r="AD110">
            <v>50.064014722536804</v>
          </cell>
        </row>
        <row r="111">
          <cell r="A111">
            <v>46302</v>
          </cell>
          <cell r="B111">
            <v>83.670377461272949</v>
          </cell>
          <cell r="C111" t="str">
            <v/>
          </cell>
          <cell r="D111">
            <v>176429.21730129767</v>
          </cell>
          <cell r="E111">
            <v>3146.1329999999998</v>
          </cell>
          <cell r="F111">
            <v>0</v>
          </cell>
          <cell r="G111">
            <v>0</v>
          </cell>
          <cell r="H111">
            <v>300</v>
          </cell>
          <cell r="I111">
            <v>3446.1329999999998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2132.067675886522</v>
          </cell>
          <cell r="O111">
            <v>726.98821300178997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3270.216888888312</v>
          </cell>
          <cell r="Y111">
            <v>15.199152000049821</v>
          </cell>
          <cell r="Z111">
            <v>176444.41645329772</v>
          </cell>
          <cell r="AA111">
            <v>83.673770396661553</v>
          </cell>
          <cell r="AD111">
            <v>89.075113250283124</v>
          </cell>
        </row>
        <row r="112">
          <cell r="A112">
            <v>46303</v>
          </cell>
          <cell r="B112">
            <v>83.673770396661553</v>
          </cell>
          <cell r="C112" t="str">
            <v/>
          </cell>
          <cell r="D112">
            <v>176444.41645329772</v>
          </cell>
          <cell r="E112">
            <v>965.28800000000001</v>
          </cell>
          <cell r="F112">
            <v>0</v>
          </cell>
          <cell r="G112">
            <v>0</v>
          </cell>
          <cell r="H112">
            <v>300</v>
          </cell>
          <cell r="I112">
            <v>1265.288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2132.2842062137474</v>
          </cell>
          <cell r="O112">
            <v>826.05382011080064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3369.4990263245481</v>
          </cell>
          <cell r="Y112">
            <v>-181.80383267444094</v>
          </cell>
          <cell r="Z112">
            <v>176262.61262062329</v>
          </cell>
          <cell r="AA112">
            <v>83.63317642179544</v>
          </cell>
          <cell r="AD112">
            <v>27.32978482446206</v>
          </cell>
        </row>
        <row r="113">
          <cell r="A113">
            <v>46304</v>
          </cell>
          <cell r="B113">
            <v>83.63317642179544</v>
          </cell>
          <cell r="C113" t="str">
            <v/>
          </cell>
          <cell r="D113">
            <v>176262.61262062326</v>
          </cell>
          <cell r="E113">
            <v>707.05499999999995</v>
          </cell>
          <cell r="F113">
            <v>0</v>
          </cell>
          <cell r="G113">
            <v>0</v>
          </cell>
          <cell r="H113">
            <v>300</v>
          </cell>
          <cell r="I113">
            <v>1007.0549999999999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2129.6935802057606</v>
          </cell>
          <cell r="O113">
            <v>432.61595241219487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2973.4705326179555</v>
          </cell>
          <cell r="Y113">
            <v>-169.89830201819137</v>
          </cell>
          <cell r="Z113">
            <v>176092.71431860505</v>
          </cell>
          <cell r="AA113">
            <v>83.595221885409899</v>
          </cell>
          <cell r="AD113">
            <v>20.018544733861834</v>
          </cell>
        </row>
        <row r="114">
          <cell r="A114">
            <v>46305</v>
          </cell>
          <cell r="B114">
            <v>83.595221885409899</v>
          </cell>
          <cell r="C114" t="str">
            <v/>
          </cell>
          <cell r="D114">
            <v>176092.71431860502</v>
          </cell>
          <cell r="E114">
            <v>1414.7049999999999</v>
          </cell>
          <cell r="F114">
            <v>0</v>
          </cell>
          <cell r="G114">
            <v>0</v>
          </cell>
          <cell r="H114">
            <v>300</v>
          </cell>
          <cell r="I114">
            <v>1714.7049999999999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2127.2713978645206</v>
          </cell>
          <cell r="O114">
            <v>284.50997700810399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2822.9423748726249</v>
          </cell>
          <cell r="Y114">
            <v>-95.751709188994795</v>
          </cell>
          <cell r="Z114">
            <v>175996.96260941602</v>
          </cell>
          <cell r="AA114">
            <v>83.573823325091226</v>
          </cell>
          <cell r="AD114">
            <v>40.053935447338617</v>
          </cell>
        </row>
        <row r="115">
          <cell r="A115">
            <v>46306</v>
          </cell>
          <cell r="B115">
            <v>83.573823325091226</v>
          </cell>
          <cell r="C115" t="str">
            <v/>
          </cell>
          <cell r="D115">
            <v>175996.96260941596</v>
          </cell>
          <cell r="E115">
            <v>854.68600000000004</v>
          </cell>
          <cell r="F115">
            <v>0</v>
          </cell>
          <cell r="G115">
            <v>0</v>
          </cell>
          <cell r="H115">
            <v>300</v>
          </cell>
          <cell r="I115">
            <v>1154.6860000000001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2125.9057846897117</v>
          </cell>
          <cell r="O115">
            <v>326.75790264953667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2863.8246873392486</v>
          </cell>
          <cell r="Y115">
            <v>-147.66958258611106</v>
          </cell>
          <cell r="Z115">
            <v>175849.29302682984</v>
          </cell>
          <cell r="AA115">
            <v>83.540810789168063</v>
          </cell>
          <cell r="AD115">
            <v>24.198357870894679</v>
          </cell>
        </row>
        <row r="116">
          <cell r="A116">
            <v>46307</v>
          </cell>
          <cell r="B116">
            <v>83.540810789168063</v>
          </cell>
          <cell r="C116" t="str">
            <v/>
          </cell>
          <cell r="D116">
            <v>175849.29302682981</v>
          </cell>
          <cell r="E116">
            <v>2906.5949999999998</v>
          </cell>
          <cell r="F116">
            <v>0</v>
          </cell>
          <cell r="G116">
            <v>0</v>
          </cell>
          <cell r="H116">
            <v>300</v>
          </cell>
          <cell r="I116">
            <v>3206.5949999999998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2123.7989908998898</v>
          </cell>
          <cell r="O116">
            <v>237.24795972914134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2772.2079506290311</v>
          </cell>
          <cell r="Y116">
            <v>37.531041065651692</v>
          </cell>
          <cell r="Z116">
            <v>175886.82406789545</v>
          </cell>
          <cell r="AA116">
            <v>83.549202417890626</v>
          </cell>
          <cell r="AD116">
            <v>82.293176670441667</v>
          </cell>
        </row>
        <row r="117">
          <cell r="A117">
            <v>46308</v>
          </cell>
          <cell r="B117">
            <v>83.549202417890626</v>
          </cell>
          <cell r="C117" t="str">
            <v/>
          </cell>
          <cell r="D117">
            <v>175886.82406789542</v>
          </cell>
          <cell r="E117">
            <v>2973.797</v>
          </cell>
          <cell r="F117">
            <v>0</v>
          </cell>
          <cell r="G117">
            <v>0</v>
          </cell>
          <cell r="H117">
            <v>300</v>
          </cell>
          <cell r="I117">
            <v>3273.797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2124.3345278038205</v>
          </cell>
          <cell r="O117">
            <v>442.95707061465043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2978.4525984184711</v>
          </cell>
          <cell r="Y117">
            <v>25.517756296644102</v>
          </cell>
          <cell r="Z117">
            <v>175912.34182419206</v>
          </cell>
          <cell r="AA117">
            <v>83.554907465973784</v>
          </cell>
          <cell r="AD117">
            <v>84.195838052095127</v>
          </cell>
        </row>
        <row r="118">
          <cell r="A118">
            <v>46309</v>
          </cell>
          <cell r="B118">
            <v>83.554907465973784</v>
          </cell>
          <cell r="C118" t="str">
            <v/>
          </cell>
          <cell r="D118">
            <v>175912.34182419203</v>
          </cell>
          <cell r="E118">
            <v>1157.096</v>
          </cell>
          <cell r="F118">
            <v>0</v>
          </cell>
          <cell r="G118">
            <v>0</v>
          </cell>
          <cell r="H118">
            <v>300</v>
          </cell>
          <cell r="I118">
            <v>1457.096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2124.6986125230378</v>
          </cell>
          <cell r="O118">
            <v>801.89630995638379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3337.7559224794218</v>
          </cell>
          <cell r="Y118">
            <v>-162.48901730222204</v>
          </cell>
          <cell r="Z118">
            <v>175749.8528068898</v>
          </cell>
          <cell r="AA118">
            <v>83.518572462774657</v>
          </cell>
          <cell r="AD118">
            <v>32.760362400906004</v>
          </cell>
        </row>
        <row r="119">
          <cell r="A119">
            <v>46310</v>
          </cell>
          <cell r="B119">
            <v>83.518572462774657</v>
          </cell>
          <cell r="C119" t="str">
            <v/>
          </cell>
          <cell r="D119">
            <v>175749.85280688971</v>
          </cell>
          <cell r="E119">
            <v>825.56500000000005</v>
          </cell>
          <cell r="F119">
            <v>0</v>
          </cell>
          <cell r="G119">
            <v>0</v>
          </cell>
          <cell r="H119">
            <v>300</v>
          </cell>
          <cell r="I119">
            <v>1125.5650000000001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2122.3797855395164</v>
          </cell>
          <cell r="O119">
            <v>241.88907672278987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2775.4298622623064</v>
          </cell>
          <cell r="Y119">
            <v>-142.54832409946329</v>
          </cell>
          <cell r="Z119">
            <v>175607.30448279026</v>
          </cell>
          <cell r="AA119">
            <v>83.486682700392564</v>
          </cell>
          <cell r="AD119">
            <v>23.373867497168746</v>
          </cell>
        </row>
        <row r="120">
          <cell r="A120">
            <v>46311</v>
          </cell>
          <cell r="B120">
            <v>83.486682700392564</v>
          </cell>
          <cell r="C120" t="str">
            <v/>
          </cell>
          <cell r="D120">
            <v>175607.30448279026</v>
          </cell>
          <cell r="E120">
            <v>850.20600000000002</v>
          </cell>
          <cell r="F120">
            <v>0</v>
          </cell>
          <cell r="G120">
            <v>0</v>
          </cell>
          <cell r="H120">
            <v>300</v>
          </cell>
          <cell r="I120">
            <v>1150.2060000000001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2120.3446449037929</v>
          </cell>
          <cell r="O120">
            <v>343.9200889806674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2875.4257338844604</v>
          </cell>
          <cell r="Y120">
            <v>-149.05898500761737</v>
          </cell>
          <cell r="Z120">
            <v>175458.24549778266</v>
          </cell>
          <cell r="AA120">
            <v>83.453322612713976</v>
          </cell>
          <cell r="AD120">
            <v>24.071517553793885</v>
          </cell>
        </row>
        <row r="121">
          <cell r="A121">
            <v>46312</v>
          </cell>
          <cell r="B121">
            <v>83.453322612713976</v>
          </cell>
          <cell r="C121" t="str">
            <v/>
          </cell>
          <cell r="D121">
            <v>175458.24549778269</v>
          </cell>
          <cell r="E121">
            <v>1307.558</v>
          </cell>
          <cell r="F121">
            <v>0</v>
          </cell>
          <cell r="G121">
            <v>0</v>
          </cell>
          <cell r="H121">
            <v>300</v>
          </cell>
          <cell r="I121">
            <v>1607.558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2118.21567105844</v>
          </cell>
          <cell r="O121">
            <v>739.08503738419529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3268.4617084426354</v>
          </cell>
          <cell r="Y121">
            <v>-143.50208040944369</v>
          </cell>
          <cell r="Z121">
            <v>175314.74341737325</v>
          </cell>
          <cell r="AA121">
            <v>83.421192828125456</v>
          </cell>
          <cell r="AD121">
            <v>37.020328425821063</v>
          </cell>
        </row>
        <row r="122">
          <cell r="A122">
            <v>46313</v>
          </cell>
          <cell r="B122">
            <v>83.421192828125456</v>
          </cell>
          <cell r="C122" t="str">
            <v/>
          </cell>
          <cell r="D122">
            <v>175314.74341737322</v>
          </cell>
          <cell r="E122">
            <v>1231.6289999999999</v>
          </cell>
          <cell r="F122">
            <v>0</v>
          </cell>
          <cell r="G122">
            <v>0</v>
          </cell>
          <cell r="H122">
            <v>300</v>
          </cell>
          <cell r="I122">
            <v>1531.6289999999999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2116.1652126872027</v>
          </cell>
          <cell r="O122">
            <v>313.98108746754662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2841.3073001547496</v>
          </cell>
          <cell r="Y122">
            <v>-113.15620513337035</v>
          </cell>
          <cell r="Z122">
            <v>175201.58721223986</v>
          </cell>
          <cell r="AA122">
            <v>83.395848163862127</v>
          </cell>
          <cell r="AD122">
            <v>34.870583238958098</v>
          </cell>
        </row>
        <row r="123">
          <cell r="A123">
            <v>46314</v>
          </cell>
          <cell r="B123">
            <v>83.395848163862127</v>
          </cell>
          <cell r="C123" t="str">
            <v/>
          </cell>
          <cell r="D123">
            <v>175201.58721223983</v>
          </cell>
          <cell r="E123">
            <v>944.78300000000002</v>
          </cell>
          <cell r="F123">
            <v>0</v>
          </cell>
          <cell r="G123">
            <v>0</v>
          </cell>
          <cell r="H123">
            <v>300</v>
          </cell>
          <cell r="I123">
            <v>1244.7829999999999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2114.5477670780742</v>
          </cell>
          <cell r="O123">
            <v>279.72558740335035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2805.4343544814246</v>
          </cell>
          <cell r="Y123">
            <v>-134.8402770271951</v>
          </cell>
          <cell r="Z123">
            <v>175066.74693521264</v>
          </cell>
          <cell r="AA123">
            <v>83.365636049434983</v>
          </cell>
          <cell r="AD123">
            <v>26.7492355605889</v>
          </cell>
        </row>
        <row r="124">
          <cell r="A124">
            <v>46315</v>
          </cell>
          <cell r="B124">
            <v>83.365636049434983</v>
          </cell>
          <cell r="C124" t="str">
            <v/>
          </cell>
          <cell r="D124">
            <v>175066.74693521258</v>
          </cell>
          <cell r="E124">
            <v>3256.4209999999998</v>
          </cell>
          <cell r="F124">
            <v>0</v>
          </cell>
          <cell r="G124">
            <v>0</v>
          </cell>
          <cell r="H124">
            <v>300</v>
          </cell>
          <cell r="I124">
            <v>3556.4209999999998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2112.6196905679681</v>
          </cell>
          <cell r="O124">
            <v>700.10039459199663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3223.8810851599646</v>
          </cell>
          <cell r="Y124">
            <v>28.731448642179039</v>
          </cell>
          <cell r="Z124">
            <v>175095.47838385476</v>
          </cell>
          <cell r="AA124">
            <v>83.372074548420372</v>
          </cell>
          <cell r="AD124">
            <v>92.197650056625136</v>
          </cell>
        </row>
        <row r="125">
          <cell r="A125">
            <v>46316</v>
          </cell>
          <cell r="B125">
            <v>83.372074548420372</v>
          </cell>
          <cell r="C125" t="str">
            <v/>
          </cell>
          <cell r="D125">
            <v>175095.47838385476</v>
          </cell>
          <cell r="E125">
            <v>2100.6019999999999</v>
          </cell>
          <cell r="F125">
            <v>0</v>
          </cell>
          <cell r="G125">
            <v>0</v>
          </cell>
          <cell r="H125">
            <v>300</v>
          </cell>
          <cell r="I125">
            <v>2400.6019999999999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2113.0305826518043</v>
          </cell>
          <cell r="O125">
            <v>311.04227290167017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2835.2338555534743</v>
          </cell>
          <cell r="Y125">
            <v>-37.552192319820193</v>
          </cell>
          <cell r="Z125">
            <v>175057.92619153493</v>
          </cell>
          <cell r="AA125">
            <v>83.363659282166893</v>
          </cell>
          <cell r="AD125">
            <v>59.473442808607018</v>
          </cell>
        </row>
        <row r="126">
          <cell r="A126">
            <v>46317</v>
          </cell>
          <cell r="B126">
            <v>83.363659282166893</v>
          </cell>
          <cell r="C126" t="str">
            <v/>
          </cell>
          <cell r="D126">
            <v>175057.92619153491</v>
          </cell>
          <cell r="E126">
            <v>1855.94</v>
          </cell>
          <cell r="F126">
            <v>0</v>
          </cell>
          <cell r="G126">
            <v>0</v>
          </cell>
          <cell r="H126">
            <v>300</v>
          </cell>
          <cell r="I126">
            <v>2155.94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2112.4935372480886</v>
          </cell>
          <cell r="O126">
            <v>420.28592612083531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2943.9404633689242</v>
          </cell>
          <cell r="Y126">
            <v>-68.083240035075036</v>
          </cell>
          <cell r="Z126">
            <v>174989.84295149983</v>
          </cell>
          <cell r="AA126">
            <v>83.348399858154181</v>
          </cell>
          <cell r="AD126">
            <v>52.546432616081539</v>
          </cell>
        </row>
        <row r="127">
          <cell r="A127">
            <v>46318</v>
          </cell>
          <cell r="B127">
            <v>83.348399858154181</v>
          </cell>
          <cell r="C127" t="str">
            <v/>
          </cell>
          <cell r="D127">
            <v>174989.8429514998</v>
          </cell>
          <cell r="E127">
            <v>1573.3119999999999</v>
          </cell>
          <cell r="F127">
            <v>0</v>
          </cell>
          <cell r="G127">
            <v>0</v>
          </cell>
          <cell r="H127">
            <v>300</v>
          </cell>
          <cell r="I127">
            <v>1873.3119999999999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2111.5197114317052</v>
          </cell>
          <cell r="O127">
            <v>399.59134768202313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2922.2720591137286</v>
          </cell>
          <cell r="Y127">
            <v>-90.630149107426149</v>
          </cell>
          <cell r="Z127">
            <v>174899.21280239237</v>
          </cell>
          <cell r="AA127">
            <v>83.328082424111116</v>
          </cell>
          <cell r="AD127">
            <v>44.544507361268401</v>
          </cell>
        </row>
        <row r="128">
          <cell r="A128">
            <v>46319</v>
          </cell>
          <cell r="B128">
            <v>83.328082424111116</v>
          </cell>
          <cell r="C128" t="str">
            <v/>
          </cell>
          <cell r="D128">
            <v>174899.2128023924</v>
          </cell>
          <cell r="E128">
            <v>4133.2299999999996</v>
          </cell>
          <cell r="F128">
            <v>0</v>
          </cell>
          <cell r="G128">
            <v>0</v>
          </cell>
          <cell r="H128">
            <v>300</v>
          </cell>
          <cell r="I128">
            <v>4433.2299999999996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2110.2230935660959</v>
          </cell>
          <cell r="O128">
            <v>611.8597398433443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3133.2438334094404</v>
          </cell>
          <cell r="Y128">
            <v>112.31880479342431</v>
          </cell>
          <cell r="Z128">
            <v>175011.53160718584</v>
          </cell>
          <cell r="AA128">
            <v>83.353261234793067</v>
          </cell>
          <cell r="AD128">
            <v>117.02236693091731</v>
          </cell>
        </row>
        <row r="129">
          <cell r="A129">
            <v>46320</v>
          </cell>
          <cell r="B129">
            <v>83.353261234793067</v>
          </cell>
          <cell r="C129" t="str">
            <v/>
          </cell>
          <cell r="D129">
            <v>175011.53160718581</v>
          </cell>
          <cell r="E129">
            <v>2795.2710000000002</v>
          </cell>
          <cell r="F129">
            <v>0</v>
          </cell>
          <cell r="G129">
            <v>0</v>
          </cell>
          <cell r="H129">
            <v>300</v>
          </cell>
          <cell r="I129">
            <v>3095.2710000000002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2111.8299547325114</v>
          </cell>
          <cell r="O129">
            <v>215.2390915810858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2738.2300463135971</v>
          </cell>
          <cell r="Y129">
            <v>30.848338398505227</v>
          </cell>
          <cell r="Z129">
            <v>175042.37994558431</v>
          </cell>
          <cell r="AA129">
            <v>83.36017517945632</v>
          </cell>
          <cell r="AD129">
            <v>79.141308040770113</v>
          </cell>
        </row>
        <row r="130">
          <cell r="A130">
            <v>46321</v>
          </cell>
          <cell r="B130">
            <v>83.36017517945632</v>
          </cell>
          <cell r="C130" t="str">
            <v/>
          </cell>
          <cell r="D130">
            <v>175042.37994558428</v>
          </cell>
          <cell r="E130">
            <v>1864.5170000000001</v>
          </cell>
          <cell r="F130">
            <v>0</v>
          </cell>
          <cell r="G130">
            <v>0</v>
          </cell>
          <cell r="H130">
            <v>300</v>
          </cell>
          <cell r="I130">
            <v>2164.5169999999998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2112.2711888053386</v>
          </cell>
          <cell r="O130">
            <v>200.4387925360231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2723.8709813413616</v>
          </cell>
          <cell r="Y130">
            <v>-48.328183987893652</v>
          </cell>
          <cell r="Z130">
            <v>174994.05176159638</v>
          </cell>
          <cell r="AA130">
            <v>83.349343260136322</v>
          </cell>
          <cell r="AD130">
            <v>52.789269535673839</v>
          </cell>
        </row>
        <row r="131">
          <cell r="A131">
            <v>46322</v>
          </cell>
          <cell r="B131">
            <v>83.349343260136322</v>
          </cell>
          <cell r="C131" t="str">
            <v/>
          </cell>
          <cell r="D131">
            <v>174994.05176159635</v>
          </cell>
          <cell r="E131">
            <v>1817.979</v>
          </cell>
          <cell r="F131">
            <v>0</v>
          </cell>
          <cell r="G131">
            <v>0</v>
          </cell>
          <cell r="H131">
            <v>300</v>
          </cell>
          <cell r="I131">
            <v>2117.9790000000003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2111.5799174528943</v>
          </cell>
          <cell r="O131">
            <v>182.99872598058823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2705.7396434334823</v>
          </cell>
          <cell r="Y131">
            <v>-50.782519592652847</v>
          </cell>
          <cell r="Z131">
            <v>174943.26924200371</v>
          </cell>
          <cell r="AA131">
            <v>83.33795963653354</v>
          </cell>
          <cell r="AD131">
            <v>51.471659116647793</v>
          </cell>
        </row>
        <row r="132">
          <cell r="A132">
            <v>46323</v>
          </cell>
          <cell r="B132">
            <v>83.33795963653354</v>
          </cell>
          <cell r="C132" t="str">
            <v/>
          </cell>
          <cell r="D132">
            <v>174943.26924200368</v>
          </cell>
          <cell r="E132">
            <v>1573.6559999999999</v>
          </cell>
          <cell r="F132">
            <v>0</v>
          </cell>
          <cell r="G132">
            <v>0</v>
          </cell>
          <cell r="H132">
            <v>300</v>
          </cell>
          <cell r="I132">
            <v>1873.6559999999999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2110.8534374403366</v>
          </cell>
          <cell r="O132">
            <v>376.70912972398736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2898.7235671643239</v>
          </cell>
          <cell r="Y132">
            <v>-88.565837802997578</v>
          </cell>
          <cell r="Z132">
            <v>174854.70340420067</v>
          </cell>
          <cell r="AA132">
            <v>83.318102400602072</v>
          </cell>
          <cell r="AD132">
            <v>44.554246885617211</v>
          </cell>
        </row>
        <row r="133">
          <cell r="A133">
            <v>46324</v>
          </cell>
          <cell r="B133">
            <v>83.318102400602072</v>
          </cell>
          <cell r="C133" t="str">
            <v/>
          </cell>
          <cell r="D133">
            <v>174854.70340420073</v>
          </cell>
          <cell r="E133">
            <v>1537.5889999999999</v>
          </cell>
          <cell r="F133">
            <v>0</v>
          </cell>
          <cell r="G133">
            <v>0</v>
          </cell>
          <cell r="H133">
            <v>300</v>
          </cell>
          <cell r="I133">
            <v>1837.5889999999999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2109.5861884946385</v>
          </cell>
          <cell r="O133">
            <v>345.08748400152962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2865.834672496168</v>
          </cell>
          <cell r="Y133">
            <v>-88.840426103668918</v>
          </cell>
          <cell r="Z133">
            <v>174765.86297809705</v>
          </cell>
          <cell r="AA133">
            <v>83.298178558938687</v>
          </cell>
          <cell r="AD133">
            <v>43.533097395243487</v>
          </cell>
        </row>
        <row r="134">
          <cell r="A134">
            <v>46325</v>
          </cell>
          <cell r="B134">
            <v>83.298178558938687</v>
          </cell>
          <cell r="C134" t="str">
            <v/>
          </cell>
          <cell r="D134">
            <v>174765.86297809699</v>
          </cell>
          <cell r="E134">
            <v>1403.7929999999999</v>
          </cell>
          <cell r="F134">
            <v>0</v>
          </cell>
          <cell r="G134">
            <v>0</v>
          </cell>
          <cell r="H134">
            <v>300</v>
          </cell>
          <cell r="I134">
            <v>1703.7929999999999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2108.3146889048003</v>
          </cell>
          <cell r="O134">
            <v>274.64765872448856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2794.1233476292891</v>
          </cell>
          <cell r="Y134">
            <v>-94.20454203517059</v>
          </cell>
          <cell r="Z134">
            <v>174671.65843606181</v>
          </cell>
          <cell r="AA134">
            <v>83.277046212046869</v>
          </cell>
          <cell r="AD134">
            <v>39.744988674971687</v>
          </cell>
        </row>
        <row r="135">
          <cell r="A135">
            <v>46326</v>
          </cell>
          <cell r="B135">
            <v>83.277046212046869</v>
          </cell>
          <cell r="C135" t="str">
            <v/>
          </cell>
          <cell r="D135">
            <v>174671.65843606179</v>
          </cell>
          <cell r="E135">
            <v>1636.7439999999999</v>
          </cell>
          <cell r="F135">
            <v>0</v>
          </cell>
          <cell r="G135">
            <v>0</v>
          </cell>
          <cell r="H135">
            <v>300</v>
          </cell>
          <cell r="I135">
            <v>1936.7439999999999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2106.9660649366301</v>
          </cell>
          <cell r="O135">
            <v>444.58368196461623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2962.7107469012462</v>
          </cell>
          <cell r="Y135">
            <v>-88.643526932267676</v>
          </cell>
          <cell r="Z135">
            <v>174583.01490912953</v>
          </cell>
          <cell r="AA135">
            <v>83.257156142953235</v>
          </cell>
          <cell r="AD135">
            <v>46.340430351075874</v>
          </cell>
        </row>
        <row r="136">
          <cell r="A136">
            <v>46327</v>
          </cell>
          <cell r="B136">
            <v>83.257156142953235</v>
          </cell>
          <cell r="C136" t="str">
            <v/>
          </cell>
          <cell r="D136">
            <v>174583.01490912953</v>
          </cell>
          <cell r="E136">
            <v>1962.4090000000001</v>
          </cell>
          <cell r="F136">
            <v>0</v>
          </cell>
          <cell r="G136">
            <v>0</v>
          </cell>
          <cell r="H136">
            <v>300</v>
          </cell>
          <cell r="I136">
            <v>2262.4090000000001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2105.6967206444151</v>
          </cell>
          <cell r="O136">
            <v>436.65174826918457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2953.5094689135999</v>
          </cell>
          <cell r="Y136">
            <v>-59.71108051413502</v>
          </cell>
          <cell r="Z136">
            <v>174523.3038286154</v>
          </cell>
          <cell r="AA136">
            <v>83.243755173273144</v>
          </cell>
          <cell r="AD136">
            <v>55.560843714609291</v>
          </cell>
        </row>
        <row r="137">
          <cell r="A137">
            <v>46328</v>
          </cell>
          <cell r="B137">
            <v>83.243755173273144</v>
          </cell>
          <cell r="C137" t="str">
            <v/>
          </cell>
          <cell r="D137">
            <v>174523.3038286154</v>
          </cell>
          <cell r="E137">
            <v>3000</v>
          </cell>
          <cell r="F137">
            <v>0</v>
          </cell>
          <cell r="G137">
            <v>0</v>
          </cell>
          <cell r="H137">
            <v>300</v>
          </cell>
          <cell r="I137">
            <v>3300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2104.8414976538115</v>
          </cell>
          <cell r="O137">
            <v>378.97037229863588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2894.9728699524476</v>
          </cell>
          <cell r="Y137">
            <v>34.994344036108529</v>
          </cell>
          <cell r="Z137">
            <v>174558.2981726515</v>
          </cell>
          <cell r="AA137">
            <v>83.251609238205688</v>
          </cell>
          <cell r="AD137">
            <v>84.937712344280854</v>
          </cell>
        </row>
        <row r="138">
          <cell r="A138">
            <v>46329</v>
          </cell>
          <cell r="B138">
            <v>83.251609238205688</v>
          </cell>
          <cell r="C138" t="str">
            <v/>
          </cell>
          <cell r="D138">
            <v>174558.29817265153</v>
          </cell>
          <cell r="E138">
            <v>2000</v>
          </cell>
          <cell r="F138">
            <v>0</v>
          </cell>
          <cell r="G138">
            <v>0</v>
          </cell>
          <cell r="H138">
            <v>300</v>
          </cell>
          <cell r="I138">
            <v>2300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2105.3427283154988</v>
          </cell>
          <cell r="O138">
            <v>521.55476506529328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3038.0584933807922</v>
          </cell>
          <cell r="Y138">
            <v>-63.768253828100448</v>
          </cell>
          <cell r="Z138">
            <v>174494.52991882342</v>
          </cell>
          <cell r="AA138">
            <v>83.237296622451524</v>
          </cell>
          <cell r="AD138">
            <v>56.625141562853905</v>
          </cell>
        </row>
        <row r="139">
          <cell r="A139">
            <v>46330</v>
          </cell>
          <cell r="B139">
            <v>83.237296622451524</v>
          </cell>
          <cell r="C139" t="str">
            <v/>
          </cell>
          <cell r="D139">
            <v>174494.52991882342</v>
          </cell>
          <cell r="E139">
            <v>4000</v>
          </cell>
          <cell r="F139">
            <v>0</v>
          </cell>
          <cell r="G139">
            <v>0</v>
          </cell>
          <cell r="H139">
            <v>300</v>
          </cell>
          <cell r="I139">
            <v>4300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2104.4293259020283</v>
          </cell>
          <cell r="O139">
            <v>634.55817250641701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3150.1484984084454</v>
          </cell>
          <cell r="Y139">
            <v>99.347169737510313</v>
          </cell>
          <cell r="Z139">
            <v>174593.87708856093</v>
          </cell>
          <cell r="AA139">
            <v>83.259593698271686</v>
          </cell>
          <cell r="AD139">
            <v>113.25028312570781</v>
          </cell>
        </row>
        <row r="140">
          <cell r="A140">
            <v>46331</v>
          </cell>
          <cell r="B140">
            <v>83.259593698271686</v>
          </cell>
          <cell r="C140" t="str">
            <v/>
          </cell>
          <cell r="D140">
            <v>174593.87708856093</v>
          </cell>
          <cell r="E140">
            <v>1665.6010000000001</v>
          </cell>
          <cell r="F140">
            <v>0</v>
          </cell>
          <cell r="G140">
            <v>0</v>
          </cell>
          <cell r="H140">
            <v>300</v>
          </cell>
          <cell r="I140">
            <v>1965.6010000000001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2105.8522805329135</v>
          </cell>
          <cell r="O140">
            <v>305.37793293879963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2822.3912134717129</v>
          </cell>
          <cell r="Y140">
            <v>-74.026674443955983</v>
          </cell>
          <cell r="Z140">
            <v>174519.85041411698</v>
          </cell>
          <cell r="AA140">
            <v>83.242980052819831</v>
          </cell>
          <cell r="AD140">
            <v>47.157446206115516</v>
          </cell>
        </row>
        <row r="141">
          <cell r="A141">
            <v>46332</v>
          </cell>
          <cell r="B141">
            <v>83.242980052819831</v>
          </cell>
          <cell r="C141" t="str">
            <v/>
          </cell>
          <cell r="D141">
            <v>174519.85041411695</v>
          </cell>
          <cell r="E141">
            <v>1100.8409999999999</v>
          </cell>
          <cell r="F141">
            <v>0</v>
          </cell>
          <cell r="G141">
            <v>0</v>
          </cell>
          <cell r="H141">
            <v>300</v>
          </cell>
          <cell r="I141">
            <v>1400.8409999999999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2104.7920310220688</v>
          </cell>
          <cell r="O141">
            <v>536.14959951454557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3052.1026305366145</v>
          </cell>
          <cell r="Y141">
            <v>-142.66900487836349</v>
          </cell>
          <cell r="Z141">
            <v>174377.1814092386</v>
          </cell>
          <cell r="AA141">
            <v>83.210951240714067</v>
          </cell>
          <cell r="AD141">
            <v>31.167638731596824</v>
          </cell>
        </row>
        <row r="142">
          <cell r="A142">
            <v>46333</v>
          </cell>
          <cell r="B142">
            <v>83.210951240714067</v>
          </cell>
          <cell r="C142" t="str">
            <v/>
          </cell>
          <cell r="D142">
            <v>174377.18140923866</v>
          </cell>
          <cell r="E142">
            <v>1930.7090000000001</v>
          </cell>
          <cell r="F142">
            <v>0</v>
          </cell>
          <cell r="G142">
            <v>0</v>
          </cell>
          <cell r="H142">
            <v>300</v>
          </cell>
          <cell r="I142">
            <v>2230.7089999999998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2102.7480165120396</v>
          </cell>
          <cell r="O142">
            <v>516.61829386013608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3030.5273103721756</v>
          </cell>
          <cell r="Y142">
            <v>-69.104302016155984</v>
          </cell>
          <cell r="Z142">
            <v>174308.07710722252</v>
          </cell>
          <cell r="AA142">
            <v>83.195432810138612</v>
          </cell>
          <cell r="AD142">
            <v>54.66333522083805</v>
          </cell>
        </row>
        <row r="143">
          <cell r="A143">
            <v>46334</v>
          </cell>
          <cell r="B143">
            <v>83.195432810138612</v>
          </cell>
          <cell r="C143" t="str">
            <v/>
          </cell>
          <cell r="D143">
            <v>174308.07710722255</v>
          </cell>
          <cell r="E143">
            <v>1092.671</v>
          </cell>
          <cell r="F143">
            <v>0</v>
          </cell>
          <cell r="G143">
            <v>0</v>
          </cell>
          <cell r="H143">
            <v>300</v>
          </cell>
          <cell r="I143">
            <v>1392.671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2101.7576614166223</v>
          </cell>
          <cell r="O143">
            <v>337.11675686415941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2850.0354182807819</v>
          </cell>
          <cell r="Y143">
            <v>-125.91628573945955</v>
          </cell>
          <cell r="Z143">
            <v>174182.16082148309</v>
          </cell>
          <cell r="AA143">
            <v>83.167148485795764</v>
          </cell>
          <cell r="AD143">
            <v>30.936325028312574</v>
          </cell>
        </row>
        <row r="144">
          <cell r="A144">
            <v>46335</v>
          </cell>
          <cell r="B144">
            <v>83.167148485795764</v>
          </cell>
          <cell r="C144" t="str">
            <v/>
          </cell>
          <cell r="D144">
            <v>174182.16082148306</v>
          </cell>
          <cell r="E144">
            <v>4163.2420000000002</v>
          </cell>
          <cell r="F144">
            <v>0</v>
          </cell>
          <cell r="G144">
            <v>0</v>
          </cell>
          <cell r="H144">
            <v>300</v>
          </cell>
          <cell r="I144">
            <v>4463.2420000000002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2099.9526126008168</v>
          </cell>
          <cell r="O144">
            <v>220.05572366525021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2731.1693362660671</v>
          </cell>
          <cell r="Y144">
            <v>149.65107814661181</v>
          </cell>
          <cell r="Z144">
            <v>174331.81189962968</v>
          </cell>
          <cell r="AA144">
            <v>83.200763167611427</v>
          </cell>
          <cell r="AD144">
            <v>117.87208380520951</v>
          </cell>
        </row>
        <row r="145">
          <cell r="A145">
            <v>46336</v>
          </cell>
          <cell r="B145">
            <v>83.200763167611427</v>
          </cell>
          <cell r="C145" t="str">
            <v/>
          </cell>
          <cell r="D145">
            <v>174331.81189962971</v>
          </cell>
          <cell r="E145">
            <v>4263.8059999999996</v>
          </cell>
          <cell r="F145">
            <v>0</v>
          </cell>
          <cell r="G145">
            <v>0</v>
          </cell>
          <cell r="H145">
            <v>300</v>
          </cell>
          <cell r="I145">
            <v>4563.8059999999996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2102.0978341330529</v>
          </cell>
          <cell r="O145">
            <v>388.09589339496318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2901.3547275280162</v>
          </cell>
          <cell r="Y145">
            <v>143.63578994157936</v>
          </cell>
          <cell r="Z145">
            <v>174475.4476895713</v>
          </cell>
          <cell r="AA145">
            <v>83.233013159490014</v>
          </cell>
          <cell r="AD145">
            <v>120.71930917327292</v>
          </cell>
        </row>
        <row r="146">
          <cell r="A146">
            <v>46337</v>
          </cell>
          <cell r="B146">
            <v>83.233013159490014</v>
          </cell>
          <cell r="C146" t="str">
            <v/>
          </cell>
          <cell r="D146">
            <v>174475.44768957133</v>
          </cell>
          <cell r="E146">
            <v>1545.211</v>
          </cell>
          <cell r="F146">
            <v>0</v>
          </cell>
          <cell r="G146">
            <v>0</v>
          </cell>
          <cell r="H146">
            <v>300</v>
          </cell>
          <cell r="I146">
            <v>1845.211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2104.155963892299</v>
          </cell>
          <cell r="O146">
            <v>178.57831541466263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2693.8952793069616</v>
          </cell>
          <cell r="Y146">
            <v>-73.326321732121471</v>
          </cell>
          <cell r="Z146">
            <v>174402.12136783922</v>
          </cell>
          <cell r="AA146">
            <v>83.216551137520597</v>
          </cell>
          <cell r="AD146">
            <v>43.748895809739523</v>
          </cell>
        </row>
        <row r="147">
          <cell r="A147">
            <v>46338</v>
          </cell>
          <cell r="B147">
            <v>83.216551137520597</v>
          </cell>
          <cell r="C147" t="str">
            <v/>
          </cell>
          <cell r="D147">
            <v>174402.12136783922</v>
          </cell>
          <cell r="E147">
            <v>1049.0930000000001</v>
          </cell>
          <cell r="F147">
            <v>0</v>
          </cell>
          <cell r="G147">
            <v>0</v>
          </cell>
          <cell r="H147">
            <v>300</v>
          </cell>
          <cell r="I147">
            <v>1349.0930000000001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2103.1053906878105</v>
          </cell>
          <cell r="O147">
            <v>380.07425420696552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2894.3406448947762</v>
          </cell>
          <cell r="Y147">
            <v>-133.50939651890866</v>
          </cell>
          <cell r="Z147">
            <v>174268.61197132032</v>
          </cell>
          <cell r="AA147">
            <v>83.186568932111669</v>
          </cell>
          <cell r="AD147">
            <v>29.702519818799548</v>
          </cell>
        </row>
        <row r="148">
          <cell r="A148">
            <v>46339</v>
          </cell>
          <cell r="B148">
            <v>83.186568932111669</v>
          </cell>
          <cell r="C148" t="str">
            <v/>
          </cell>
          <cell r="D148">
            <v>174268.61197132038</v>
          </cell>
          <cell r="E148">
            <v>1085.9659999999999</v>
          </cell>
          <cell r="F148">
            <v>0</v>
          </cell>
          <cell r="G148">
            <v>0</v>
          </cell>
          <cell r="H148">
            <v>300</v>
          </cell>
          <cell r="I148">
            <v>1385.9659999999999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2101.1919865098421</v>
          </cell>
          <cell r="O148">
            <v>270.26651976211457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2782.6195062719567</v>
          </cell>
          <cell r="Y148">
            <v>-120.67086294189707</v>
          </cell>
          <cell r="Z148">
            <v>174147.94110837849</v>
          </cell>
          <cell r="AA148">
            <v>83.159460017611067</v>
          </cell>
          <cell r="AD148">
            <v>30.746489241223099</v>
          </cell>
        </row>
        <row r="149">
          <cell r="A149">
            <v>46340</v>
          </cell>
          <cell r="B149">
            <v>83.159460017611067</v>
          </cell>
          <cell r="C149" t="str">
            <v/>
          </cell>
          <cell r="D149">
            <v>174147.94110837847</v>
          </cell>
          <cell r="E149">
            <v>1957.972</v>
          </cell>
          <cell r="F149">
            <v>0</v>
          </cell>
          <cell r="G149">
            <v>0</v>
          </cell>
          <cell r="H149">
            <v>300</v>
          </cell>
          <cell r="I149">
            <v>2257.9719999999998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2099.461949991241</v>
          </cell>
          <cell r="O149">
            <v>561.70944508956973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3072.3323950808108</v>
          </cell>
          <cell r="Y149">
            <v>-70.360738134982071</v>
          </cell>
          <cell r="Z149">
            <v>174077.58037024349</v>
          </cell>
          <cell r="AA149">
            <v>83.14364903393286</v>
          </cell>
          <cell r="AD149">
            <v>55.435220838052096</v>
          </cell>
        </row>
        <row r="150">
          <cell r="A150">
            <v>46341</v>
          </cell>
          <cell r="B150">
            <v>83.14364903393286</v>
          </cell>
          <cell r="C150" t="str">
            <v/>
          </cell>
          <cell r="D150">
            <v>174077.58037024349</v>
          </cell>
          <cell r="E150">
            <v>1829.068</v>
          </cell>
          <cell r="F150">
            <v>0</v>
          </cell>
          <cell r="G150">
            <v>0</v>
          </cell>
          <cell r="H150">
            <v>300</v>
          </cell>
          <cell r="I150">
            <v>2129.0680000000002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2098.4529247439305</v>
          </cell>
          <cell r="O150">
            <v>292.78630955312298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2802.4002342970534</v>
          </cell>
          <cell r="Y150">
            <v>-58.175905043265395</v>
          </cell>
          <cell r="Z150">
            <v>174019.40446520023</v>
          </cell>
          <cell r="AA150">
            <v>83.130573735145617</v>
          </cell>
          <cell r="AD150">
            <v>51.785617214043036</v>
          </cell>
        </row>
        <row r="151">
          <cell r="A151">
            <v>46342</v>
          </cell>
          <cell r="B151">
            <v>83.130573735145617</v>
          </cell>
          <cell r="C151" t="str">
            <v/>
          </cell>
          <cell r="D151">
            <v>174019.40446520023</v>
          </cell>
          <cell r="E151">
            <v>1342.095</v>
          </cell>
          <cell r="F151">
            <v>0</v>
          </cell>
          <cell r="G151">
            <v>0</v>
          </cell>
          <cell r="H151">
            <v>300</v>
          </cell>
          <cell r="I151">
            <v>1642.095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2097.6184854161202</v>
          </cell>
          <cell r="O151">
            <v>276.78251609466724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2785.5620015107875</v>
          </cell>
          <cell r="Y151">
            <v>-98.79554893053205</v>
          </cell>
          <cell r="Z151">
            <v>173920.6089162697</v>
          </cell>
          <cell r="AA151">
            <v>83.108363990939438</v>
          </cell>
          <cell r="AD151">
            <v>37.998159682899207</v>
          </cell>
        </row>
        <row r="152">
          <cell r="A152">
            <v>46343</v>
          </cell>
          <cell r="B152">
            <v>83.108363990939438</v>
          </cell>
          <cell r="C152" t="str">
            <v/>
          </cell>
          <cell r="D152">
            <v>173920.60891626964</v>
          </cell>
          <cell r="E152">
            <v>5266.5240000000003</v>
          </cell>
          <cell r="F152">
            <v>0</v>
          </cell>
          <cell r="G152">
            <v>0</v>
          </cell>
          <cell r="H152">
            <v>300</v>
          </cell>
          <cell r="I152">
            <v>5566.5240000000003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2096.2011041135738</v>
          </cell>
          <cell r="O152">
            <v>408.27916467285877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2915.6412687864326</v>
          </cell>
          <cell r="Y152">
            <v>229.03626797685226</v>
          </cell>
          <cell r="Z152">
            <v>174149.6451842465</v>
          </cell>
          <cell r="AA152">
            <v>83.159842906359543</v>
          </cell>
          <cell r="AD152">
            <v>149.10883352208381</v>
          </cell>
        </row>
        <row r="153">
          <cell r="A153">
            <v>46344</v>
          </cell>
          <cell r="B153">
            <v>83.159842906359543</v>
          </cell>
          <cell r="C153" t="str">
            <v/>
          </cell>
          <cell r="D153">
            <v>174149.64518424647</v>
          </cell>
          <cell r="E153">
            <v>3304.3090000000002</v>
          </cell>
          <cell r="F153">
            <v>0</v>
          </cell>
          <cell r="G153">
            <v>0</v>
          </cell>
          <cell r="H153">
            <v>300</v>
          </cell>
          <cell r="I153">
            <v>3604.3090000000002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2099.4863851827504</v>
          </cell>
          <cell r="O153">
            <v>507.56263479529525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3018.2100199780457</v>
          </cell>
          <cell r="Y153">
            <v>50.638951873896872</v>
          </cell>
          <cell r="Z153">
            <v>174200.28413612038</v>
          </cell>
          <cell r="AA153">
            <v>83.171220117989748</v>
          </cell>
          <cell r="AD153">
            <v>93.553482446206118</v>
          </cell>
        </row>
        <row r="154">
          <cell r="A154">
            <v>46345</v>
          </cell>
          <cell r="B154">
            <v>83.171220117989748</v>
          </cell>
          <cell r="C154" t="str">
            <v/>
          </cell>
          <cell r="D154">
            <v>174200.28413612038</v>
          </cell>
          <cell r="E154">
            <v>2888.95</v>
          </cell>
          <cell r="F154">
            <v>0</v>
          </cell>
          <cell r="G154">
            <v>0</v>
          </cell>
          <cell r="H154">
            <v>300</v>
          </cell>
          <cell r="I154">
            <v>3188.95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2100.2124559960857</v>
          </cell>
          <cell r="O154">
            <v>494.30666132581564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3005.6801173219014</v>
          </cell>
          <cell r="Y154">
            <v>15.834517863387699</v>
          </cell>
          <cell r="Z154">
            <v>174216.11865398375</v>
          </cell>
          <cell r="AA154">
            <v>83.17477737005963</v>
          </cell>
          <cell r="AD154">
            <v>81.793601359003389</v>
          </cell>
        </row>
        <row r="155">
          <cell r="A155">
            <v>46346</v>
          </cell>
          <cell r="B155">
            <v>83.17477737005963</v>
          </cell>
          <cell r="C155" t="str">
            <v/>
          </cell>
          <cell r="D155">
            <v>174216.11865398375</v>
          </cell>
          <cell r="E155">
            <v>2409.1390000000001</v>
          </cell>
          <cell r="F155">
            <v>0</v>
          </cell>
          <cell r="G155">
            <v>0</v>
          </cell>
          <cell r="H155">
            <v>300</v>
          </cell>
          <cell r="I155">
            <v>2709.1390000000001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2100.4394726841438</v>
          </cell>
          <cell r="O155">
            <v>646.77156751559005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3158.3720401997339</v>
          </cell>
          <cell r="Y155">
            <v>-38.813734673256995</v>
          </cell>
          <cell r="Z155">
            <v>174177.3049193105</v>
          </cell>
          <cell r="AA155">
            <v>83.166057509972916</v>
          </cell>
          <cell r="AD155">
            <v>68.208918459796152</v>
          </cell>
        </row>
        <row r="156">
          <cell r="A156">
            <v>46347</v>
          </cell>
          <cell r="B156">
            <v>83.166057509972916</v>
          </cell>
          <cell r="C156" t="str">
            <v/>
          </cell>
          <cell r="D156">
            <v>174177.30491931047</v>
          </cell>
          <cell r="E156">
            <v>4088.7669999999998</v>
          </cell>
          <cell r="F156">
            <v>0</v>
          </cell>
          <cell r="G156">
            <v>0</v>
          </cell>
          <cell r="H156">
            <v>300</v>
          </cell>
          <cell r="I156">
            <v>4388.7669999999998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2099.8829887132797</v>
          </cell>
          <cell r="O156">
            <v>643.37671507290815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3154.4207037861879</v>
          </cell>
          <cell r="Y156">
            <v>106.64751999287336</v>
          </cell>
          <cell r="Z156">
            <v>174283.95243930334</v>
          </cell>
          <cell r="AA156">
            <v>83.190014523463418</v>
          </cell>
          <cell r="AD156">
            <v>115.76350509626273</v>
          </cell>
        </row>
        <row r="157">
          <cell r="A157">
            <v>46348</v>
          </cell>
          <cell r="B157">
            <v>83.190014523463418</v>
          </cell>
          <cell r="C157" t="str">
            <v/>
          </cell>
          <cell r="D157">
            <v>174283.95243930325</v>
          </cell>
          <cell r="E157">
            <v>2766.6390000000001</v>
          </cell>
          <cell r="F157">
            <v>0</v>
          </cell>
          <cell r="G157">
            <v>0</v>
          </cell>
          <cell r="H157">
            <v>300</v>
          </cell>
          <cell r="I157">
            <v>3066.6390000000001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2101.4118772349598</v>
          </cell>
          <cell r="O157">
            <v>737.23197552087197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3249.8048527558317</v>
          </cell>
          <cell r="Y157">
            <v>-15.825529678103848</v>
          </cell>
          <cell r="Z157">
            <v>174268.12690962513</v>
          </cell>
          <cell r="AA157">
            <v>83.186459980922322</v>
          </cell>
          <cell r="AD157">
            <v>78.330662514156288</v>
          </cell>
        </row>
        <row r="158">
          <cell r="A158">
            <v>46349</v>
          </cell>
          <cell r="B158">
            <v>83.186459980922322</v>
          </cell>
          <cell r="C158" t="str">
            <v/>
          </cell>
          <cell r="D158">
            <v>174268.12690962513</v>
          </cell>
          <cell r="E158">
            <v>1846.8969999999999</v>
          </cell>
          <cell r="F158">
            <v>0</v>
          </cell>
          <cell r="G158">
            <v>0</v>
          </cell>
          <cell r="H158">
            <v>300</v>
          </cell>
          <cell r="I158">
            <v>2146.8969999999999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2101.1850334635919</v>
          </cell>
          <cell r="O158">
            <v>368.64934089882127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2880.9953743624133</v>
          </cell>
          <cell r="Y158">
            <v>-63.426099544912518</v>
          </cell>
          <cell r="Z158">
            <v>174204.70081008022</v>
          </cell>
          <cell r="AA158">
            <v>83.172212347720063</v>
          </cell>
          <cell r="AD158">
            <v>52.290402038505093</v>
          </cell>
        </row>
        <row r="159">
          <cell r="A159">
            <v>46350</v>
          </cell>
          <cell r="B159">
            <v>83.172212347720063</v>
          </cell>
          <cell r="C159" t="str">
            <v/>
          </cell>
          <cell r="D159">
            <v>174204.70081008028</v>
          </cell>
          <cell r="E159">
            <v>1800.91</v>
          </cell>
          <cell r="F159">
            <v>0</v>
          </cell>
          <cell r="G159">
            <v>0</v>
          </cell>
          <cell r="H159">
            <v>300</v>
          </cell>
          <cell r="I159">
            <v>2100.91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2100.2757781061705</v>
          </cell>
          <cell r="O159">
            <v>617.98834870812811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3129.4251268142989</v>
          </cell>
          <cell r="Y159">
            <v>-88.863706956755436</v>
          </cell>
          <cell r="Z159">
            <v>174115.83710312351</v>
          </cell>
          <cell r="AA159">
            <v>83.152246220504324</v>
          </cell>
          <cell r="AD159">
            <v>50.988391845979613</v>
          </cell>
        </row>
        <row r="160">
          <cell r="A160">
            <v>46351</v>
          </cell>
          <cell r="B160">
            <v>83.152246220504324</v>
          </cell>
          <cell r="C160" t="str">
            <v/>
          </cell>
          <cell r="D160">
            <v>174115.83710312351</v>
          </cell>
          <cell r="E160">
            <v>1559.4780000000001</v>
          </cell>
          <cell r="F160">
            <v>0</v>
          </cell>
          <cell r="G160">
            <v>0</v>
          </cell>
          <cell r="H160">
            <v>300</v>
          </cell>
          <cell r="I160">
            <v>1859.4780000000001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2099.0015799372445</v>
          </cell>
          <cell r="O160">
            <v>233.32641110801961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2743.4889910452644</v>
          </cell>
          <cell r="Y160">
            <v>-76.378549626310829</v>
          </cell>
          <cell r="Z160">
            <v>174039.45855349721</v>
          </cell>
          <cell r="AA160">
            <v>83.1350812287439</v>
          </cell>
          <cell r="AD160">
            <v>44.152831257078141</v>
          </cell>
        </row>
        <row r="161">
          <cell r="A161">
            <v>46352</v>
          </cell>
          <cell r="B161">
            <v>83.1350812287439</v>
          </cell>
          <cell r="C161" t="str">
            <v/>
          </cell>
          <cell r="D161">
            <v>174039.45855349716</v>
          </cell>
          <cell r="E161">
            <v>1523.838</v>
          </cell>
          <cell r="F161">
            <v>0</v>
          </cell>
          <cell r="G161">
            <v>0</v>
          </cell>
          <cell r="H161">
            <v>300</v>
          </cell>
          <cell r="I161">
            <v>1823.838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2097.9061446114824</v>
          </cell>
          <cell r="O161">
            <v>292.06381526149045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2801.1309598729731</v>
          </cell>
          <cell r="Y161">
            <v>-84.438111733024868</v>
          </cell>
          <cell r="Z161">
            <v>173955.02044176412</v>
          </cell>
          <cell r="AA161">
            <v>83.116100591706285</v>
          </cell>
          <cell r="AD161">
            <v>43.143771234428087</v>
          </cell>
        </row>
        <row r="162">
          <cell r="A162">
            <v>46353</v>
          </cell>
          <cell r="B162">
            <v>83.116100591706285</v>
          </cell>
          <cell r="C162" t="str">
            <v/>
          </cell>
          <cell r="D162">
            <v>173955.02044176412</v>
          </cell>
          <cell r="E162">
            <v>1391.625</v>
          </cell>
          <cell r="F162">
            <v>0</v>
          </cell>
          <cell r="G162">
            <v>0</v>
          </cell>
          <cell r="H162">
            <v>300</v>
          </cell>
          <cell r="I162">
            <v>1691.625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2096.6948384479447</v>
          </cell>
          <cell r="O162">
            <v>530.48726264725303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3038.3431010951977</v>
          </cell>
          <cell r="Y162">
            <v>-116.35644393462508</v>
          </cell>
          <cell r="Z162">
            <v>173838.66399782948</v>
          </cell>
          <cell r="AA162">
            <v>83.089937579908963</v>
          </cell>
          <cell r="AD162">
            <v>39.400481313703281</v>
          </cell>
        </row>
        <row r="163">
          <cell r="A163">
            <v>46354</v>
          </cell>
          <cell r="B163">
            <v>83.089937579908963</v>
          </cell>
          <cell r="C163" t="str">
            <v/>
          </cell>
          <cell r="D163">
            <v>173838.66399782948</v>
          </cell>
          <cell r="E163">
            <v>1021.441</v>
          </cell>
          <cell r="F163">
            <v>0</v>
          </cell>
          <cell r="G163">
            <v>0</v>
          </cell>
          <cell r="H163">
            <v>300</v>
          </cell>
          <cell r="I163">
            <v>1321.441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2095.0251675415375</v>
          </cell>
          <cell r="O163">
            <v>269.11890240146084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2775.3050699429982</v>
          </cell>
          <cell r="Y163">
            <v>-125.61385564307503</v>
          </cell>
          <cell r="Z163">
            <v>173713.0501421864</v>
          </cell>
          <cell r="AA163">
            <v>83.061683211717281</v>
          </cell>
          <cell r="AD163">
            <v>28.91962061155153</v>
          </cell>
        </row>
        <row r="164">
          <cell r="A164">
            <v>46355</v>
          </cell>
          <cell r="B164">
            <v>83.061683211717281</v>
          </cell>
          <cell r="C164" t="str">
            <v/>
          </cell>
          <cell r="D164">
            <v>173713.05014218632</v>
          </cell>
          <cell r="E164">
            <v>1188.252</v>
          </cell>
          <cell r="F164">
            <v>0</v>
          </cell>
          <cell r="G164">
            <v>0</v>
          </cell>
          <cell r="H164">
            <v>300</v>
          </cell>
          <cell r="I164">
            <v>1488.252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2093.222030467181</v>
          </cell>
          <cell r="O164">
            <v>289.25959511118833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2793.6426255783695</v>
          </cell>
          <cell r="Y164">
            <v>-112.78575004997111</v>
          </cell>
          <cell r="Z164">
            <v>173600.26439213633</v>
          </cell>
          <cell r="AA164">
            <v>83.03630559005633</v>
          </cell>
          <cell r="AD164">
            <v>33.642468856172137</v>
          </cell>
        </row>
        <row r="165">
          <cell r="A165">
            <v>46356</v>
          </cell>
          <cell r="B165">
            <v>83.03630559005633</v>
          </cell>
          <cell r="C165" t="str">
            <v/>
          </cell>
          <cell r="D165">
            <v>173600.26439213631</v>
          </cell>
          <cell r="E165">
            <v>2250.3560000000002</v>
          </cell>
          <cell r="F165">
            <v>0</v>
          </cell>
          <cell r="G165">
            <v>0</v>
          </cell>
          <cell r="H165">
            <v>300</v>
          </cell>
          <cell r="I165">
            <v>2550.3560000000002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2091.6024815830779</v>
          </cell>
          <cell r="O165">
            <v>443.15355301013119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2945.9170345932089</v>
          </cell>
          <cell r="Y165">
            <v>-34.176473388853225</v>
          </cell>
          <cell r="Z165">
            <v>173566.08791874745</v>
          </cell>
          <cell r="AA165">
            <v>83.028614009297868</v>
          </cell>
          <cell r="AD165">
            <v>63.713363533408838</v>
          </cell>
        </row>
        <row r="166">
          <cell r="A166">
            <v>46357</v>
          </cell>
          <cell r="B166">
            <v>83.028614009297868</v>
          </cell>
          <cell r="C166" t="str">
            <v/>
          </cell>
          <cell r="D166">
            <v>173566.08791874739</v>
          </cell>
          <cell r="E166">
            <v>1935.7370000000001</v>
          </cell>
          <cell r="F166">
            <v>0</v>
          </cell>
          <cell r="G166">
            <v>0</v>
          </cell>
          <cell r="H166">
            <v>300</v>
          </cell>
          <cell r="I166">
            <v>2235.7370000000001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2091.1116203352922</v>
          </cell>
          <cell r="O166">
            <v>711.18142994071206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3213.4540502760042</v>
          </cell>
          <cell r="Y166">
            <v>-84.474753143846755</v>
          </cell>
          <cell r="Z166">
            <v>173481.61316560354</v>
          </cell>
          <cell r="AA166">
            <v>83.009599315517647</v>
          </cell>
          <cell r="AD166">
            <v>54.805690826727066</v>
          </cell>
        </row>
        <row r="167">
          <cell r="A167">
            <v>46358</v>
          </cell>
          <cell r="B167">
            <v>83.009599315517647</v>
          </cell>
          <cell r="C167" t="str">
            <v/>
          </cell>
          <cell r="D167">
            <v>173481.61316560357</v>
          </cell>
          <cell r="E167">
            <v>3479.2719999999999</v>
          </cell>
          <cell r="F167">
            <v>0</v>
          </cell>
          <cell r="G167">
            <v>0</v>
          </cell>
          <cell r="H167">
            <v>300</v>
          </cell>
          <cell r="I167">
            <v>3779.2719999999999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2089.8981407387901</v>
          </cell>
          <cell r="O167">
            <v>407.10999259920715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2908.1691333379972</v>
          </cell>
          <cell r="Y167">
            <v>75.263287679597028</v>
          </cell>
          <cell r="Z167">
            <v>173556.87645328316</v>
          </cell>
          <cell r="AA167">
            <v>83.026540795174952</v>
          </cell>
          <cell r="AD167">
            <v>98.507134767836916</v>
          </cell>
        </row>
        <row r="168">
          <cell r="A168">
            <v>46359</v>
          </cell>
          <cell r="B168">
            <v>83.026540795174952</v>
          </cell>
          <cell r="C168" t="str">
            <v/>
          </cell>
          <cell r="D168">
            <v>173556.87645328313</v>
          </cell>
          <cell r="E168">
            <v>1036.222</v>
          </cell>
          <cell r="F168">
            <v>0</v>
          </cell>
          <cell r="G168">
            <v>69.437268729299007</v>
          </cell>
          <cell r="H168">
            <v>300</v>
          </cell>
          <cell r="I168">
            <v>1405.6592687292991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2090.9793119706965</v>
          </cell>
          <cell r="O168">
            <v>278.94947399771218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2781.0897859684087</v>
          </cell>
          <cell r="Y168">
            <v>-118.83719668945906</v>
          </cell>
          <cell r="Z168">
            <v>173438.03925659368</v>
          </cell>
          <cell r="AA168">
            <v>82.999789318822081</v>
          </cell>
          <cell r="AD168">
            <v>29.338108720271801</v>
          </cell>
        </row>
        <row r="169">
          <cell r="A169">
            <v>46360</v>
          </cell>
          <cell r="B169">
            <v>82.999789318822081</v>
          </cell>
          <cell r="C169" t="str">
            <v/>
          </cell>
          <cell r="D169">
            <v>173438.03925659368</v>
          </cell>
          <cell r="E169">
            <v>746.94100000000003</v>
          </cell>
          <cell r="F169">
            <v>0</v>
          </cell>
          <cell r="G169">
            <v>263.23594170550479</v>
          </cell>
          <cell r="H169">
            <v>300</v>
          </cell>
          <cell r="I169">
            <v>1310.1769417055048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2089.2720864373423</v>
          </cell>
          <cell r="O169">
            <v>405.73800753265908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2906.1710939700015</v>
          </cell>
          <cell r="Y169">
            <v>-137.89389475565252</v>
          </cell>
          <cell r="Z169">
            <v>173300.14536183802</v>
          </cell>
          <cell r="AA169">
            <v>82.968736522123919</v>
          </cell>
          <cell r="AD169">
            <v>21.147819932049831</v>
          </cell>
        </row>
        <row r="170">
          <cell r="A170">
            <v>46361</v>
          </cell>
          <cell r="B170">
            <v>82.968736522123919</v>
          </cell>
          <cell r="C170" t="str">
            <v/>
          </cell>
          <cell r="D170">
            <v>173300.14536183805</v>
          </cell>
          <cell r="E170">
            <v>1038.8900000000001</v>
          </cell>
          <cell r="F170">
            <v>0</v>
          </cell>
          <cell r="G170">
            <v>339.40105953400854</v>
          </cell>
          <cell r="H170">
            <v>300</v>
          </cell>
          <cell r="I170">
            <v>1678.2910595340086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2087.2903592718617</v>
          </cell>
          <cell r="O170">
            <v>345.49182198182365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2843.9431812536855</v>
          </cell>
          <cell r="Y170">
            <v>-100.71234331658007</v>
          </cell>
          <cell r="Z170">
            <v>173199.43301852146</v>
          </cell>
          <cell r="AA170">
            <v>82.946048977861906</v>
          </cell>
          <cell r="AD170">
            <v>29.413646659116651</v>
          </cell>
        </row>
        <row r="171">
          <cell r="A171">
            <v>46362</v>
          </cell>
          <cell r="B171">
            <v>82.946048977861906</v>
          </cell>
          <cell r="C171" t="str">
            <v/>
          </cell>
          <cell r="D171">
            <v>173199.43301852149</v>
          </cell>
          <cell r="E171">
            <v>681.35799999999995</v>
          </cell>
          <cell r="F171">
            <v>0</v>
          </cell>
          <cell r="G171">
            <v>309.02305352636347</v>
          </cell>
          <cell r="H171">
            <v>300</v>
          </cell>
          <cell r="I171">
            <v>1290.3810535263633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2085.8424857286491</v>
          </cell>
          <cell r="O171">
            <v>646.86044333627751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3143.8639290649267</v>
          </cell>
          <cell r="Y171">
            <v>-160.14092044653188</v>
          </cell>
          <cell r="Z171">
            <v>173039.29209807495</v>
          </cell>
          <cell r="AA171">
            <v>82.909960360223891</v>
          </cell>
          <cell r="AD171">
            <v>19.290996602491504</v>
          </cell>
        </row>
        <row r="172">
          <cell r="A172">
            <v>46363</v>
          </cell>
          <cell r="B172">
            <v>82.909960360223891</v>
          </cell>
          <cell r="C172" t="str">
            <v/>
          </cell>
          <cell r="D172">
            <v>173039.29209807498</v>
          </cell>
          <cell r="E172">
            <v>1991.355</v>
          </cell>
          <cell r="F172">
            <v>0</v>
          </cell>
          <cell r="G172">
            <v>248.52234536139952</v>
          </cell>
          <cell r="H172">
            <v>300</v>
          </cell>
          <cell r="I172">
            <v>2539.8773453613994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2083.5393825771671</v>
          </cell>
          <cell r="O172">
            <v>353.28231340933365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2847.9826959865009</v>
          </cell>
          <cell r="Y172">
            <v>-26.620302294008763</v>
          </cell>
          <cell r="Z172">
            <v>173012.67179578097</v>
          </cell>
          <cell r="AA172">
            <v>82.903959717509608</v>
          </cell>
          <cell r="AD172">
            <v>56.380379388448468</v>
          </cell>
        </row>
        <row r="173">
          <cell r="A173">
            <v>46364</v>
          </cell>
          <cell r="B173">
            <v>82.903959717509608</v>
          </cell>
          <cell r="C173" t="str">
            <v/>
          </cell>
          <cell r="D173">
            <v>173012.67179578095</v>
          </cell>
          <cell r="E173">
            <v>2034.259</v>
          </cell>
          <cell r="F173">
            <v>0</v>
          </cell>
          <cell r="G173">
            <v>280.98249237841986</v>
          </cell>
          <cell r="H173">
            <v>300</v>
          </cell>
          <cell r="I173">
            <v>2615.2414923784199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2083.1564336018196</v>
          </cell>
          <cell r="O173">
            <v>495.31614968707828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2989.6335832888981</v>
          </cell>
          <cell r="Y173">
            <v>-32.347476654665314</v>
          </cell>
          <cell r="Z173">
            <v>172980.32431912629</v>
          </cell>
          <cell r="AA173">
            <v>82.896667458122266</v>
          </cell>
          <cell r="AD173">
            <v>57.595101925254816</v>
          </cell>
        </row>
        <row r="174">
          <cell r="A174">
            <v>46365</v>
          </cell>
          <cell r="B174">
            <v>82.896667458122266</v>
          </cell>
          <cell r="C174" t="str">
            <v/>
          </cell>
          <cell r="D174">
            <v>172980.32431912626</v>
          </cell>
          <cell r="E174">
            <v>874.42499999999995</v>
          </cell>
          <cell r="F174">
            <v>0</v>
          </cell>
          <cell r="G174">
            <v>655.32316947218487</v>
          </cell>
          <cell r="H174">
            <v>300</v>
          </cell>
          <cell r="I174">
            <v>1829.7481694721848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2082.6910562425405</v>
          </cell>
          <cell r="O174">
            <v>411.92899966177981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2905.7810559043205</v>
          </cell>
          <cell r="Y174">
            <v>-92.969241387736531</v>
          </cell>
          <cell r="Z174">
            <v>172887.35507773852</v>
          </cell>
          <cell r="AA174">
            <v>82.875705132653238</v>
          </cell>
          <cell r="AD174">
            <v>24.757219705549261</v>
          </cell>
        </row>
        <row r="175">
          <cell r="A175">
            <v>46366</v>
          </cell>
          <cell r="B175">
            <v>82.875705132653238</v>
          </cell>
          <cell r="C175" t="str">
            <v/>
          </cell>
          <cell r="D175">
            <v>172887.3550777385</v>
          </cell>
          <cell r="E175">
            <v>662.76599999999996</v>
          </cell>
          <cell r="F175">
            <v>0</v>
          </cell>
          <cell r="G175">
            <v>531.72930078838419</v>
          </cell>
          <cell r="H175">
            <v>300</v>
          </cell>
          <cell r="I175">
            <v>1494.4953007883842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2081.3532827003573</v>
          </cell>
          <cell r="O175">
            <v>197.87883324358336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2690.3931159439408</v>
          </cell>
          <cell r="Y175">
            <v>-103.32557122944007</v>
          </cell>
          <cell r="Z175">
            <v>172784.02950650905</v>
          </cell>
          <cell r="AA175">
            <v>82.85240110653379</v>
          </cell>
          <cell r="AD175">
            <v>18.764609286523214</v>
          </cell>
        </row>
        <row r="176">
          <cell r="A176">
            <v>46367</v>
          </cell>
          <cell r="B176">
            <v>82.85240110653379</v>
          </cell>
          <cell r="C176" t="str">
            <v/>
          </cell>
          <cell r="D176">
            <v>172784.02950650896</v>
          </cell>
          <cell r="E176">
            <v>678.49699999999996</v>
          </cell>
          <cell r="F176">
            <v>0</v>
          </cell>
          <cell r="G176">
            <v>410.71312679534793</v>
          </cell>
          <cell r="H176">
            <v>300</v>
          </cell>
          <cell r="I176">
            <v>1389.2101267953481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2079.8660665222187</v>
          </cell>
          <cell r="O176">
            <v>281.01067284768101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2772.0377393699</v>
          </cell>
          <cell r="Y176">
            <v>-119.47630572644128</v>
          </cell>
          <cell r="Z176">
            <v>172664.55320078251</v>
          </cell>
          <cell r="AA176">
            <v>82.825445780412394</v>
          </cell>
          <cell r="AD176">
            <v>19.209994337485842</v>
          </cell>
        </row>
        <row r="177">
          <cell r="A177">
            <v>46368</v>
          </cell>
          <cell r="B177">
            <v>82.825445780412394</v>
          </cell>
          <cell r="C177" t="str">
            <v/>
          </cell>
          <cell r="D177">
            <v>172664.55320078248</v>
          </cell>
          <cell r="E177">
            <v>995.41399999999999</v>
          </cell>
          <cell r="F177">
            <v>0</v>
          </cell>
          <cell r="G177">
            <v>309.02305352636347</v>
          </cell>
          <cell r="H177">
            <v>300</v>
          </cell>
          <cell r="I177">
            <v>1604.4370535263633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2078.1458317057427</v>
          </cell>
          <cell r="O177">
            <v>398.17583117691152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2887.482662882654</v>
          </cell>
          <cell r="Y177">
            <v>-110.8551406483835</v>
          </cell>
          <cell r="Z177">
            <v>172553.69806013411</v>
          </cell>
          <cell r="AA177">
            <v>82.800427173957075</v>
          </cell>
          <cell r="AD177">
            <v>28.182729331823328</v>
          </cell>
        </row>
        <row r="178">
          <cell r="A178">
            <v>46369</v>
          </cell>
          <cell r="B178">
            <v>82.800427173957075</v>
          </cell>
          <cell r="C178" t="str">
            <v/>
          </cell>
          <cell r="D178">
            <v>172553.69806013408</v>
          </cell>
          <cell r="E178">
            <v>944.90700000000004</v>
          </cell>
          <cell r="F178">
            <v>0</v>
          </cell>
          <cell r="G178">
            <v>336.46745888526334</v>
          </cell>
          <cell r="H178">
            <v>300</v>
          </cell>
          <cell r="I178">
            <v>1581.3744588852633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2076.5491944515566</v>
          </cell>
          <cell r="O178">
            <v>212.19677105783234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2699.906965509389</v>
          </cell>
          <cell r="Y178">
            <v>-96.641208572324445</v>
          </cell>
          <cell r="Z178">
            <v>172457.05685156176</v>
          </cell>
          <cell r="AA178">
            <v>82.778609931253328</v>
          </cell>
          <cell r="AD178">
            <v>26.752746319365798</v>
          </cell>
        </row>
        <row r="179">
          <cell r="A179">
            <v>46370</v>
          </cell>
          <cell r="B179">
            <v>82.778609931253328</v>
          </cell>
          <cell r="C179" t="str">
            <v/>
          </cell>
          <cell r="D179">
            <v>172457.05685156171</v>
          </cell>
          <cell r="E179">
            <v>754.10599999999999</v>
          </cell>
          <cell r="F179">
            <v>0</v>
          </cell>
          <cell r="G179">
            <v>297.70092958526288</v>
          </cell>
          <cell r="H179">
            <v>300</v>
          </cell>
          <cell r="I179">
            <v>1351.8069295852629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2075.1568618071856</v>
          </cell>
          <cell r="O179">
            <v>644.10671919432252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3130.4245810015082</v>
          </cell>
          <cell r="Y179">
            <v>-153.67256508236358</v>
          </cell>
          <cell r="Z179">
            <v>172303.38428647936</v>
          </cell>
          <cell r="AA179">
            <v>82.74390500955721</v>
          </cell>
          <cell r="AD179">
            <v>21.350679501698753</v>
          </cell>
        </row>
        <row r="180">
          <cell r="A180">
            <v>46371</v>
          </cell>
          <cell r="B180">
            <v>82.74390500955721</v>
          </cell>
          <cell r="C180" t="str">
            <v/>
          </cell>
          <cell r="D180">
            <v>172303.38428647927</v>
          </cell>
          <cell r="E180">
            <v>2291.7379999999998</v>
          </cell>
          <cell r="F180">
            <v>0</v>
          </cell>
          <cell r="G180">
            <v>231.49925718141105</v>
          </cell>
          <cell r="H180">
            <v>300</v>
          </cell>
          <cell r="I180">
            <v>2823.2372571814108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2072.9420633537784</v>
          </cell>
          <cell r="O180">
            <v>529.47907508000924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3013.5821384337878</v>
          </cell>
          <cell r="Y180">
            <v>-16.445797740205375</v>
          </cell>
          <cell r="Z180">
            <v>172286.93848873905</v>
          </cell>
          <cell r="AA180">
            <v>82.740190028774208</v>
          </cell>
          <cell r="AD180">
            <v>64.884994337485836</v>
          </cell>
        </row>
        <row r="181">
          <cell r="A181">
            <v>46372</v>
          </cell>
          <cell r="B181">
            <v>82.740190028774208</v>
          </cell>
          <cell r="C181" t="str">
            <v/>
          </cell>
          <cell r="D181">
            <v>172286.93848873908</v>
          </cell>
          <cell r="E181">
            <v>1522.922</v>
          </cell>
          <cell r="F181">
            <v>0</v>
          </cell>
          <cell r="G181">
            <v>185.30343132047699</v>
          </cell>
          <cell r="H181">
            <v>300</v>
          </cell>
          <cell r="I181">
            <v>2008.2254313204771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2072.7049807357953</v>
          </cell>
          <cell r="O181">
            <v>361.13917245210882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2845.0051531879044</v>
          </cell>
          <cell r="Y181">
            <v>-72.297767969345713</v>
          </cell>
          <cell r="Z181">
            <v>172214.64072076973</v>
          </cell>
          <cell r="AA181">
            <v>82.723856413964015</v>
          </cell>
          <cell r="AD181">
            <v>43.1178369195923</v>
          </cell>
        </row>
        <row r="182">
          <cell r="A182">
            <v>46373</v>
          </cell>
          <cell r="B182">
            <v>82.723856413964015</v>
          </cell>
          <cell r="C182" t="str">
            <v/>
          </cell>
          <cell r="D182">
            <v>172214.6407207697</v>
          </cell>
          <cell r="E182">
            <v>1360.18</v>
          </cell>
          <cell r="F182">
            <v>0</v>
          </cell>
          <cell r="G182">
            <v>562.69226684441287</v>
          </cell>
          <cell r="H182">
            <v>300</v>
          </cell>
          <cell r="I182">
            <v>2222.8722668444129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2071.6626022185083</v>
          </cell>
          <cell r="O182">
            <v>274.59259430997662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2757.4161965284848</v>
          </cell>
          <cell r="Y182">
            <v>-46.184595524703802</v>
          </cell>
          <cell r="Z182">
            <v>172168.45612524499</v>
          </cell>
          <cell r="AA182">
            <v>82.713420534067907</v>
          </cell>
          <cell r="AD182">
            <v>38.510192525481315</v>
          </cell>
        </row>
        <row r="183">
          <cell r="A183">
            <v>46374</v>
          </cell>
          <cell r="B183">
            <v>82.713420534067907</v>
          </cell>
          <cell r="C183" t="str">
            <v/>
          </cell>
          <cell r="D183">
            <v>172168.45612524496</v>
          </cell>
          <cell r="E183">
            <v>1172.1849999999999</v>
          </cell>
          <cell r="F183">
            <v>0</v>
          </cell>
          <cell r="G183">
            <v>499.68053632280743</v>
          </cell>
          <cell r="H183">
            <v>300</v>
          </cell>
          <cell r="I183">
            <v>1971.8655363228074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2070.9966053072853</v>
          </cell>
          <cell r="O183">
            <v>506.49618459975949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2988.6537899070449</v>
          </cell>
          <cell r="Y183">
            <v>-87.850505109678124</v>
          </cell>
          <cell r="Z183">
            <v>172080.60562013529</v>
          </cell>
          <cell r="AA183">
            <v>82.693565962786323</v>
          </cell>
          <cell r="AD183">
            <v>33.187570781426949</v>
          </cell>
        </row>
        <row r="184">
          <cell r="A184">
            <v>46375</v>
          </cell>
          <cell r="B184">
            <v>82.693565962786323</v>
          </cell>
          <cell r="C184" t="str">
            <v/>
          </cell>
          <cell r="D184">
            <v>172080.60562013526</v>
          </cell>
          <cell r="E184">
            <v>2017.664</v>
          </cell>
          <cell r="F184">
            <v>0</v>
          </cell>
          <cell r="G184">
            <v>398.25959092796552</v>
          </cell>
          <cell r="H184">
            <v>300</v>
          </cell>
          <cell r="I184">
            <v>2715.9235909279655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2069.7295264141949</v>
          </cell>
          <cell r="O184">
            <v>275.79891684802072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2756.6894432622157</v>
          </cell>
          <cell r="Y184">
            <v>-3.5221696416792185</v>
          </cell>
          <cell r="Z184">
            <v>172077.08345049358</v>
          </cell>
          <cell r="AA184">
            <v>82.692769832734612</v>
          </cell>
          <cell r="AD184">
            <v>57.125254813137033</v>
          </cell>
        </row>
        <row r="185">
          <cell r="A185">
            <v>46376</v>
          </cell>
          <cell r="B185">
            <v>82.692769832734612</v>
          </cell>
          <cell r="C185" t="str">
            <v/>
          </cell>
          <cell r="D185">
            <v>172077.08345049352</v>
          </cell>
          <cell r="E185">
            <v>1432.925</v>
          </cell>
          <cell r="F185">
            <v>0</v>
          </cell>
          <cell r="G185">
            <v>504.69700322817869</v>
          </cell>
          <cell r="H185">
            <v>300</v>
          </cell>
          <cell r="I185">
            <v>2237.6220032281785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2069.6787189920469</v>
          </cell>
          <cell r="O185">
            <v>310.98134045509431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2791.8210594471411</v>
          </cell>
          <cell r="Y185">
            <v>-47.882798457318373</v>
          </cell>
          <cell r="Z185">
            <v>172029.2006520362</v>
          </cell>
          <cell r="AA185">
            <v>82.681945886425538</v>
          </cell>
          <cell r="AD185">
            <v>40.569790486976217</v>
          </cell>
        </row>
        <row r="186">
          <cell r="A186">
            <v>46377</v>
          </cell>
          <cell r="B186">
            <v>82.681945886425538</v>
          </cell>
          <cell r="C186" t="str">
            <v/>
          </cell>
          <cell r="D186">
            <v>172029.20065203626</v>
          </cell>
          <cell r="E186">
            <v>1026.1500000000001</v>
          </cell>
          <cell r="F186">
            <v>0</v>
          </cell>
          <cell r="G186">
            <v>511.41132939321272</v>
          </cell>
          <cell r="H186">
            <v>300</v>
          </cell>
          <cell r="I186">
            <v>1837.5613293932129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2068.9879564611588</v>
          </cell>
          <cell r="O186">
            <v>227.10448464231584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2707.2534411034749</v>
          </cell>
          <cell r="Y186">
            <v>-75.141398451766634</v>
          </cell>
          <cell r="Z186">
            <v>171954.05925358451</v>
          </cell>
          <cell r="AA186">
            <v>82.664957081304777</v>
          </cell>
          <cell r="AD186">
            <v>29.052944507361271</v>
          </cell>
        </row>
        <row r="187">
          <cell r="A187">
            <v>46378</v>
          </cell>
          <cell r="B187">
            <v>82.664957081304777</v>
          </cell>
          <cell r="C187" t="str">
            <v/>
          </cell>
          <cell r="D187">
            <v>171954.05925358451</v>
          </cell>
          <cell r="E187">
            <v>1005.811</v>
          </cell>
          <cell r="F187">
            <v>0</v>
          </cell>
          <cell r="G187">
            <v>469.93210056303036</v>
          </cell>
          <cell r="H187">
            <v>300</v>
          </cell>
          <cell r="I187">
            <v>1775.7431005630306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2067.9037650131513</v>
          </cell>
          <cell r="O187">
            <v>468.22672203469921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2947.2914870478508</v>
          </cell>
          <cell r="Y187">
            <v>-101.22178059228847</v>
          </cell>
          <cell r="Z187">
            <v>171852.83747299222</v>
          </cell>
          <cell r="AA187">
            <v>82.642065878111566</v>
          </cell>
          <cell r="AD187">
            <v>28.477095130237828</v>
          </cell>
        </row>
        <row r="188">
          <cell r="A188">
            <v>46379</v>
          </cell>
          <cell r="B188">
            <v>82.642065878111566</v>
          </cell>
          <cell r="C188" t="str">
            <v/>
          </cell>
          <cell r="D188">
            <v>171852.83747299222</v>
          </cell>
          <cell r="E188">
            <v>899.03300000000002</v>
          </cell>
          <cell r="F188">
            <v>0</v>
          </cell>
          <cell r="G188">
            <v>401.36107207800404</v>
          </cell>
          <cell r="H188">
            <v>300</v>
          </cell>
          <cell r="I188">
            <v>1600.3940720780042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2066.4428943656717</v>
          </cell>
          <cell r="O188">
            <v>537.45293165756209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3015.056826023234</v>
          </cell>
          <cell r="Y188">
            <v>-122.22686194086783</v>
          </cell>
          <cell r="Z188">
            <v>171730.61061105135</v>
          </cell>
          <cell r="AA188">
            <v>82.614415432479205</v>
          </cell>
          <cell r="AD188">
            <v>25.453935447338619</v>
          </cell>
        </row>
        <row r="189">
          <cell r="A189">
            <v>46380</v>
          </cell>
          <cell r="B189">
            <v>82.614415432479205</v>
          </cell>
          <cell r="C189" t="str">
            <v/>
          </cell>
          <cell r="D189">
            <v>171730.61061105132</v>
          </cell>
          <cell r="E189">
            <v>883.27</v>
          </cell>
          <cell r="F189">
            <v>0</v>
          </cell>
          <cell r="G189">
            <v>339.40105953400854</v>
          </cell>
          <cell r="H189">
            <v>300</v>
          </cell>
          <cell r="I189">
            <v>1522.6710595340085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2064.67829841704</v>
          </cell>
          <cell r="O189">
            <v>519.75003676998415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2995.5893351870241</v>
          </cell>
          <cell r="Y189">
            <v>-127.26013901642054</v>
          </cell>
          <cell r="Z189">
            <v>171603.35047203489</v>
          </cell>
          <cell r="AA189">
            <v>82.585615915184434</v>
          </cell>
          <cell r="AD189">
            <v>25.007644394110983</v>
          </cell>
        </row>
        <row r="190">
          <cell r="A190">
            <v>46381</v>
          </cell>
          <cell r="B190">
            <v>82.585615915184434</v>
          </cell>
          <cell r="C190" t="str">
            <v/>
          </cell>
          <cell r="D190">
            <v>171603.35047203489</v>
          </cell>
          <cell r="E190">
            <v>824.79600000000005</v>
          </cell>
          <cell r="F190">
            <v>0</v>
          </cell>
          <cell r="G190">
            <v>283.74661946266804</v>
          </cell>
          <cell r="H190">
            <v>300</v>
          </cell>
          <cell r="I190">
            <v>1408.542619462668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2062.8403710209823</v>
          </cell>
          <cell r="O190">
            <v>641.42832595824734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3115.4296969792294</v>
          </cell>
          <cell r="Y190">
            <v>-147.4750434974309</v>
          </cell>
          <cell r="Z190">
            <v>171455.87542853746</v>
          </cell>
          <cell r="AA190">
            <v>82.552228350120203</v>
          </cell>
          <cell r="AD190">
            <v>23.352095130237828</v>
          </cell>
        </row>
        <row r="191">
          <cell r="A191">
            <v>46382</v>
          </cell>
          <cell r="B191">
            <v>82.552228350120203</v>
          </cell>
          <cell r="C191" t="str">
            <v/>
          </cell>
          <cell r="D191">
            <v>171455.87542853749</v>
          </cell>
          <cell r="E191">
            <v>678.65599999999995</v>
          </cell>
          <cell r="F191">
            <v>0</v>
          </cell>
          <cell r="G191">
            <v>230.20645226583113</v>
          </cell>
          <cell r="H191">
            <v>300</v>
          </cell>
          <cell r="I191">
            <v>1208.8624522658311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2060.7096436240226</v>
          </cell>
          <cell r="O191">
            <v>186.44642088002092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2658.3170645040436</v>
          </cell>
          <cell r="Y191">
            <v>-125.23287849738156</v>
          </cell>
          <cell r="Z191">
            <v>171330.64255004009</v>
          </cell>
          <cell r="AA191">
            <v>82.523865045534691</v>
          </cell>
          <cell r="AD191">
            <v>19.214496036240089</v>
          </cell>
        </row>
        <row r="192">
          <cell r="A192">
            <v>46383</v>
          </cell>
          <cell r="B192">
            <v>82.523865045534691</v>
          </cell>
          <cell r="C192" t="str">
            <v/>
          </cell>
          <cell r="D192">
            <v>171330.64255004004</v>
          </cell>
          <cell r="E192">
            <v>756.971</v>
          </cell>
          <cell r="F192">
            <v>0</v>
          </cell>
          <cell r="G192">
            <v>150.4372703077257</v>
          </cell>
          <cell r="H192">
            <v>300</v>
          </cell>
          <cell r="I192">
            <v>1207.4082703077256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2058.8995544476356</v>
          </cell>
          <cell r="O192">
            <v>402.47977672534375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2872.5403311729797</v>
          </cell>
          <cell r="Y192">
            <v>-143.86741005875797</v>
          </cell>
          <cell r="Z192">
            <v>171186.77513998127</v>
          </cell>
          <cell r="AA192">
            <v>82.491268543135419</v>
          </cell>
          <cell r="AD192">
            <v>21.431795016987543</v>
          </cell>
        </row>
        <row r="193">
          <cell r="A193">
            <v>46384</v>
          </cell>
          <cell r="B193">
            <v>82.491268543135419</v>
          </cell>
          <cell r="C193" t="str">
            <v/>
          </cell>
          <cell r="D193">
            <v>171186.77513998124</v>
          </cell>
          <cell r="E193">
            <v>1255.607</v>
          </cell>
          <cell r="F193">
            <v>0</v>
          </cell>
          <cell r="G193">
            <v>165.2496172644646</v>
          </cell>
          <cell r="H193">
            <v>300</v>
          </cell>
          <cell r="I193">
            <v>1720.8566172644646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2056.8193110823709</v>
          </cell>
          <cell r="O193">
            <v>227.1262419982306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2695.1065530806013</v>
          </cell>
          <cell r="Y193">
            <v>-84.175194454514212</v>
          </cell>
          <cell r="Z193">
            <v>171102.59994552672</v>
          </cell>
          <cell r="AA193">
            <v>82.47219036238657</v>
          </cell>
          <cell r="AD193">
            <v>35.549462061155154</v>
          </cell>
        </row>
        <row r="194">
          <cell r="A194">
            <v>46385</v>
          </cell>
          <cell r="B194">
            <v>82.47219036238657</v>
          </cell>
          <cell r="C194" t="str">
            <v/>
          </cell>
          <cell r="D194">
            <v>171102.59994552674</v>
          </cell>
          <cell r="E194">
            <v>1107.9000000000001</v>
          </cell>
          <cell r="F194">
            <v>0</v>
          </cell>
          <cell r="G194">
            <v>348.25227914726599</v>
          </cell>
          <cell r="H194">
            <v>300</v>
          </cell>
          <cell r="I194">
            <v>1756.1522791472662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2055.6017798749435</v>
          </cell>
          <cell r="O194">
            <v>339.56681165221966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2806.3295915271633</v>
          </cell>
          <cell r="Y194">
            <v>-90.735319789623105</v>
          </cell>
          <cell r="Z194">
            <v>171011.86462573713</v>
          </cell>
          <cell r="AA194">
            <v>82.451620095869984</v>
          </cell>
          <cell r="AD194">
            <v>31.367497168742926</v>
          </cell>
        </row>
        <row r="195">
          <cell r="A195">
            <v>46386</v>
          </cell>
          <cell r="B195">
            <v>82.451620095869984</v>
          </cell>
          <cell r="C195" t="str">
            <v/>
          </cell>
          <cell r="D195">
            <v>171011.86462573707</v>
          </cell>
          <cell r="E195">
            <v>1832.559</v>
          </cell>
          <cell r="F195">
            <v>0</v>
          </cell>
          <cell r="G195">
            <v>296.29553320447747</v>
          </cell>
          <cell r="H195">
            <v>300</v>
          </cell>
          <cell r="I195">
            <v>2428.8545332044773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2054.2890267482821</v>
          </cell>
          <cell r="O195">
            <v>263.77990298360817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2729.2299297318905</v>
          </cell>
          <cell r="Y195">
            <v>-25.952434259968495</v>
          </cell>
          <cell r="Z195">
            <v>170985.91219147711</v>
          </cell>
          <cell r="AA195">
            <v>82.445735515050885</v>
          </cell>
          <cell r="AD195">
            <v>51.884456398640992</v>
          </cell>
        </row>
        <row r="196">
          <cell r="A196">
            <v>46387</v>
          </cell>
          <cell r="B196">
            <v>82.445735515050885</v>
          </cell>
          <cell r="C196" t="str">
            <v/>
          </cell>
          <cell r="D196">
            <v>170985.91219147705</v>
          </cell>
          <cell r="E196">
            <v>685.59500000000003</v>
          </cell>
          <cell r="F196">
            <v>0</v>
          </cell>
          <cell r="G196">
            <v>223.77856488515079</v>
          </cell>
          <cell r="H196">
            <v>0</v>
          </cell>
          <cell r="I196">
            <v>909.37356488515081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2053.913484610161</v>
          </cell>
          <cell r="O196">
            <v>425.29813565283956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2890.3726202630005</v>
          </cell>
          <cell r="Y196">
            <v>-171.15831838464624</v>
          </cell>
          <cell r="Z196">
            <v>170814.75387309241</v>
          </cell>
          <cell r="AA196">
            <v>82.406915085920517</v>
          </cell>
          <cell r="AD196">
            <v>19.410956964892414</v>
          </cell>
        </row>
        <row r="197">
          <cell r="A197">
            <v>46388</v>
          </cell>
          <cell r="B197">
            <v>82.406915085920517</v>
          </cell>
          <cell r="C197" t="str">
            <v/>
          </cell>
          <cell r="D197">
            <v>170814.75387309241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2051.4360427317051</v>
          </cell>
          <cell r="O197">
            <v>347.28143297868877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2809.878475710394</v>
          </cell>
          <cell r="Y197">
            <v>-195.27216270137802</v>
          </cell>
          <cell r="Z197">
            <v>170619.48171039103</v>
          </cell>
          <cell r="AA197">
            <v>82.362601693701095</v>
          </cell>
          <cell r="AD197">
            <v>15.565798414496037</v>
          </cell>
        </row>
        <row r="198">
          <cell r="A198">
            <v>46389</v>
          </cell>
          <cell r="B198">
            <v>82.362601693701095</v>
          </cell>
          <cell r="C198" t="str">
            <v/>
          </cell>
          <cell r="D198">
            <v>170619.48171039103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2048.6080509727217</v>
          </cell>
          <cell r="O198">
            <v>387.56516699991488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2847.3342179726365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45" zoomScaleNormal="100" workbookViewId="0">
      <selection activeCell="D41" sqref="D41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37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46241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14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46255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8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46263</v>
      </c>
      <c r="AG17" s="34">
        <f>IFERROR(INDEX($V$14:$V$197,MATCH(ROWS($AF$14:AF17),$Y$14:$Y$197,0)),"")</f>
        <v>49</v>
      </c>
      <c r="AH17" s="34">
        <f>IFERROR(INDEX($X$14:$X$197,MATCH(ROWS($AF$14:AF17)+1,$Y$14:$Y$197,0))-AF17,"")</f>
        <v>24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46287</v>
      </c>
      <c r="AG18" s="34">
        <f>IFERROR(INDEX($V$14:$V$197,MATCH(ROWS($AF$14:AF18),$Y$14:$Y$197,0)),"")</f>
        <v>48.5</v>
      </c>
      <c r="AH18" s="34">
        <f>IFERROR(INDEX($X$14:$X$197,MATCH(ROWS($AF$14:AF18)+1,$Y$14:$Y$197,0))-AF18,"")</f>
        <v>24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46311</v>
      </c>
      <c r="AG19" s="34">
        <f>IFERROR(INDEX($V$14:$V$197,MATCH(ROWS($AF$14:AF19),$Y$14:$Y$197,0)),"")</f>
        <v>48</v>
      </c>
      <c r="AH19" s="34">
        <f>IFERROR(INDEX($X$14:$X$197,MATCH(ROWS($AF$14:AF19)+1,$Y$14:$Y$197,0))-AF19,"")</f>
        <v>49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46360</v>
      </c>
      <c r="AG20" s="34">
        <f>IFERROR(INDEX($V$14:$V$197,MATCH(ROWS($AF$14:AF20),$Y$14:$Y$197,0)),"")</f>
        <v>47.5</v>
      </c>
      <c r="AH20" s="34">
        <f>IFERROR(INDEX($X$14:$X$197,MATCH(ROWS($AF$14:AF20)+1,$Y$14:$Y$197,0))-AF20,"")</f>
        <v>25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46385</v>
      </c>
      <c r="AG21" s="34">
        <f>IFERROR(INDEX($V$14:$V$197,MATCH(ROWS($AF$14:AF21),$Y$14:$Y$197,0)),"")</f>
        <v>47</v>
      </c>
      <c r="AH21" s="34" t="str">
        <f>IFERROR(INDEX($X$14:$X$197,MATCH(ROWS($AF$14:AF21)+1,$Y$14:$Y$197,0))-AF21,"")</f>
        <v/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 t="str">
        <f>IFERROR(INDEX($X$14:$X$197,MATCH(ROWS($AF$14:AF22),$Y$14:$Y$197,0)),"")</f>
        <v/>
      </c>
      <c r="AG22" s="34" t="str">
        <f>IFERROR(INDEX($V$14:$V$197,MATCH(ROWS($AF$14:AF22),$Y$14:$Y$197,0)),"")</f>
        <v/>
      </c>
      <c r="AH22" s="34" t="str">
        <f>IFERROR(INDEX($X$14:$X$197,MATCH(ROWS($AF$14:AF22)+1,$Y$14:$Y$197,0))-AF22,"")</f>
        <v/>
      </c>
      <c r="AI22" s="35" t="str">
        <f t="shared" si="2"/>
        <v/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 t="str">
        <f>IFERROR(INDEX($X$14:$X$197,MATCH(ROWS($AF$14:AF23),$Y$14:$Y$197,0)),"")</f>
        <v/>
      </c>
      <c r="AG23" s="34" t="str">
        <f>IFERROR(INDEX($V$14:$V$197,MATCH(ROWS($AF$14:AF23),$Y$14:$Y$197,0)),"")</f>
        <v/>
      </c>
      <c r="AH23" s="34" t="str">
        <f>IFERROR(INDEX($X$14:$X$197,MATCH(ROWS($AF$14:AF23)+1,$Y$14:$Y$197,0))-AF23,"")</f>
        <v/>
      </c>
      <c r="AI23" s="35" t="str">
        <f t="shared" si="2"/>
        <v/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227.23</v>
      </c>
      <c r="D47" s="25">
        <f>+VLOOKUP(B47,[1]Balance_Gatún!$A$13:$E$5087,2)</f>
        <v>84.513000000000005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6.1349200545317508</v>
      </c>
      <c r="P47" s="24">
        <f>+VLOOKUP(B47,[1]Balance_Madden!$A$12:$V$5087,12)/35.32</f>
        <v>1.4334379703597988</v>
      </c>
      <c r="Q47" s="25">
        <f>+VLOOKUP(B47,[1]Balance_Gatún!$A$13:$AD$5087,15)/35.32</f>
        <v>15.531972697286001</v>
      </c>
      <c r="R47" s="24">
        <f>+VLOOKUP(B47,[1]Balance_Madden!$A$12:$V$5087,14)/35.32</f>
        <v>13.687118604561386</v>
      </c>
      <c r="S47" s="26">
        <f>[1]Balance_Gatún!X46/35.32</f>
        <v>98.162290542334873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227.34</v>
      </c>
      <c r="D48" s="25">
        <f>+VLOOKUP(B48,[1]Balance_Gatún!$A$13:$E$5087,2)</f>
        <v>84.492999999999995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6.1312189335474505</v>
      </c>
      <c r="P48" s="24">
        <f>+VLOOKUP(B48,[1]Balance_Madden!$A$12:$V$5087,12)/35.32</f>
        <v>1.351648294771407</v>
      </c>
      <c r="Q48" s="25">
        <f>+VLOOKUP(B48,[1]Balance_Gatún!$A$13:$AD$5087,15)/35.32</f>
        <v>14.618907273184323</v>
      </c>
      <c r="R48" s="24">
        <f>+VLOOKUP(B48,[1]Balance_Madden!$A$12:$V$5087,14)/35.32</f>
        <v>13.605328928972993</v>
      </c>
      <c r="S48" s="26">
        <f>[1]Balance_Gatún!X47/35.32</f>
        <v>97.206398160524159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228.11</v>
      </c>
      <c r="D49" s="25">
        <f>+VLOOKUP(B49,[1]Balance_Gatún!$A$13:$E$5087,2)</f>
        <v>84.507999999999996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6.1339947742856733</v>
      </c>
      <c r="P49" s="24">
        <f>+VLOOKUP(B49,[1]Balance_Madden!$A$12:$V$5087,12)/35.32</f>
        <v>1.9248387854772364</v>
      </c>
      <c r="Q49" s="25">
        <f>+VLOOKUP(B49,[1]Balance_Gatún!$A$13:$AD$5087,15)/35.32</f>
        <v>20.594234196796425</v>
      </c>
      <c r="R49" s="24">
        <f>+VLOOKUP(B49,[1]Balance_Madden!$A$12:$V$5087,14)/35.32</f>
        <v>14.178519419678821</v>
      </c>
      <c r="S49" s="26">
        <f>[1]Balance_Gatún!X48/35.32</f>
        <v>103.21384530241802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228.67</v>
      </c>
      <c r="D50" s="25">
        <f>+VLOOKUP(B50,[1]Balance_Gatún!$A$13:$E$5087,2)</f>
        <v>84.512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6.134734998482533</v>
      </c>
      <c r="P50" s="24">
        <f>+VLOOKUP(B50,[1]Balance_Madden!$A$12:$V$5087,12)/35.32</f>
        <v>1.7658741569845855</v>
      </c>
      <c r="Q50" s="25">
        <f>+VLOOKUP(B50,[1]Balance_Gatún!$A$13:$AD$5087,15)/35.32</f>
        <v>18.744488283003385</v>
      </c>
      <c r="R50" s="24">
        <f>+VLOOKUP(B50,[1]Balance_Madden!$A$12:$V$5087,14)/35.32</f>
        <v>14.019554791186172</v>
      </c>
      <c r="S50" s="26">
        <f>[1]Balance_Gatún!X49/35.32</f>
        <v>101.37266478016679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228.85</v>
      </c>
      <c r="D51" s="25">
        <f>+VLOOKUP(B51,[1]Balance_Gatún!$A$13:$E$5087,2)</f>
        <v>84.483000000000004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0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6.1293683730553017</v>
      </c>
      <c r="P51" s="24">
        <f>+VLOOKUP(B51,[1]Balance_Madden!$A$12:$V$5087,12)/35.32</f>
        <v>1.4502383321749417</v>
      </c>
      <c r="Q51" s="25">
        <f>+VLOOKUP(B51,[1]Balance_Gatún!$A$13:$AD$5087,15)/35.32</f>
        <v>15.349137648807657</v>
      </c>
      <c r="R51" s="24">
        <f>+VLOOKUP(B51,[1]Balance_Madden!$A$12:$V$5087,14)/35.32</f>
        <v>13.703918966376527</v>
      </c>
      <c r="S51" s="26">
        <f>[1]Balance_Gatún!X50/35.32</f>
        <v>97.915215057292983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>Cambio Calado</v>
      </c>
      <c r="X51" s="31">
        <f t="shared" si="3"/>
        <v>46241</v>
      </c>
      <c r="Y51" s="30">
        <f>IF($W51="Cambio Calado",COUNTIF($W$14:W51,"Cambio Calado"),"")</f>
        <v>2</v>
      </c>
      <c r="Z51" s="31">
        <f t="shared" si="4"/>
        <v>46241</v>
      </c>
      <c r="AA51" s="30">
        <f t="shared" si="5"/>
        <v>49</v>
      </c>
      <c r="AB51" s="29">
        <f>IFERROR(LOOKUP($A51,$Z$14:$Z51,$AA$14:$AA51),$U51)</f>
        <v>49</v>
      </c>
      <c r="AC51" s="32">
        <f>IFERROR($A52-LOOKUP($A52,$Z$14:$Z51),"")</f>
        <v>1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228.97</v>
      </c>
      <c r="D52" s="25">
        <f>+VLOOKUP(B52,[1]Balance_Gatún!$A$13:$E$5087,2)</f>
        <v>84.427999999999997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0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6.1191902903484863</v>
      </c>
      <c r="P52" s="24">
        <f>+VLOOKUP(B52,[1]Balance_Madden!$A$12:$V$5087,12)/35.32</f>
        <v>1.9630022100236726</v>
      </c>
      <c r="Q52" s="25">
        <f>+VLOOKUP(B52,[1]Balance_Gatún!$A$13:$AD$5087,15)/35.32</f>
        <v>20.726333112810813</v>
      </c>
      <c r="R52" s="24">
        <f>+VLOOKUP(B52,[1]Balance_Madden!$A$12:$V$5087,14)/35.32</f>
        <v>14.216682844225257</v>
      </c>
      <c r="S52" s="26">
        <f>[1]Balance_Gatún!X51/35.32</f>
        <v>103.17463638759638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2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229.15</v>
      </c>
      <c r="D53" s="25">
        <f>+VLOOKUP(B53,[1]Balance_Gatún!$A$13:$E$5087,2)</f>
        <v>84.4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0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6.1140087209704719</v>
      </c>
      <c r="P53" s="24">
        <f>+VLOOKUP(B53,[1]Balance_Madden!$A$12:$V$5087,12)/35.32</f>
        <v>1.6061838943184943</v>
      </c>
      <c r="Q53" s="25">
        <f>+VLOOKUP(B53,[1]Balance_Gatún!$A$13:$AD$5087,15)/35.32</f>
        <v>16.909695626300302</v>
      </c>
      <c r="R53" s="24">
        <f>+VLOOKUP(B53,[1]Balance_Madden!$A$12:$V$5087,14)/35.32</f>
        <v>13.859864528520079</v>
      </c>
      <c r="S53" s="26">
        <f>[1]Balance_Gatún!X52/35.32</f>
        <v>99.29804116029328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3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229.26</v>
      </c>
      <c r="D54" s="25">
        <f>+VLOOKUP(B54,[1]Balance_Gatún!$A$13:$E$5087,2)</f>
        <v>84.328000000000003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0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6.1006846854270025</v>
      </c>
      <c r="P54" s="24">
        <f>+VLOOKUP(B54,[1]Balance_Madden!$A$12:$V$5087,12)/35.32</f>
        <v>1.422078457706194</v>
      </c>
      <c r="Q54" s="25">
        <f>+VLOOKUP(B54,[1]Balance_Gatún!$A$13:$AD$5087,15)/35.32</f>
        <v>14.934464415312565</v>
      </c>
      <c r="R54" s="24">
        <f>+VLOOKUP(B54,[1]Balance_Madden!$A$12:$V$5087,14)/35.32</f>
        <v>13.675759091907778</v>
      </c>
      <c r="S54" s="26">
        <f>[1]Balance_Gatún!X53/35.32</f>
        <v>97.168632901553096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4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229.35</v>
      </c>
      <c r="D55" s="25">
        <f>+VLOOKUP(B55,[1]Balance_Gatún!$A$13:$E$5087,2)</f>
        <v>84.268000000000001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0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6.0895813224741113</v>
      </c>
      <c r="P55" s="24">
        <f>+VLOOKUP(B55,[1]Balance_Madden!$A$12:$V$5087,12)/35.32</f>
        <v>1.493469524721897</v>
      </c>
      <c r="Q55" s="25">
        <f>+VLOOKUP(B55,[1]Balance_Gatún!$A$13:$AD$5087,15)/35.32</f>
        <v>15.652276017646489</v>
      </c>
      <c r="R55" s="24">
        <f>+VLOOKUP(B55,[1]Balance_Madden!$A$12:$V$5087,14)/35.32</f>
        <v>13.747150158923484</v>
      </c>
      <c r="S55" s="26">
        <f>[1]Balance_Gatún!X54/35.32</f>
        <v>97.757963630760003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5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229.45</v>
      </c>
      <c r="D56" s="25">
        <f>+VLOOKUP(B56,[1]Balance_Gatún!$A$13:$E$5087,2)</f>
        <v>84.218000000000004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0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6.0803285200133681</v>
      </c>
      <c r="P56" s="24">
        <f>+VLOOKUP(B56,[1]Balance_Madden!$A$12:$V$5087,12)/35.32</f>
        <v>1.7929260186111242</v>
      </c>
      <c r="Q56" s="25">
        <f>+VLOOKUP(B56,[1]Balance_Gatún!$A$13:$AD$5087,15)/35.32</f>
        <v>18.752233903169056</v>
      </c>
      <c r="R56" s="24">
        <f>+VLOOKUP(B56,[1]Balance_Madden!$A$12:$V$5087,14)/35.32</f>
        <v>14.046606652812709</v>
      </c>
      <c r="S56" s="26">
        <f>[1]Balance_Gatún!X55/35.32</f>
        <v>100.75085412201005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6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229.51</v>
      </c>
      <c r="D57" s="25">
        <f>+VLOOKUP(B57,[1]Balance_Gatún!$A$13:$E$5087,2)</f>
        <v>84.168999999999997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0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6.0712607736018391</v>
      </c>
      <c r="P57" s="24">
        <f>+VLOOKUP(B57,[1]Balance_Madden!$A$12:$V$5087,12)/35.32</f>
        <v>2.3930387708907324</v>
      </c>
      <c r="Q57" s="25">
        <f>+VLOOKUP(B57,[1]Balance_Gatún!$A$13:$AD$5087,15)/35.32</f>
        <v>24.991976093083917</v>
      </c>
      <c r="R57" s="24">
        <f>+VLOOKUP(B57,[1]Balance_Madden!$A$12:$V$5087,14)/35.32</f>
        <v>14.64671940509232</v>
      </c>
      <c r="S57" s="26">
        <f>[1]Balance_Gatún!X56/35.32</f>
        <v>106.88567026553781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7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229.58</v>
      </c>
      <c r="D58" s="25">
        <f>+VLOOKUP(B58,[1]Balance_Gatún!$A$13:$E$5087,2)</f>
        <v>84.123000000000005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0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6.0627481953379592</v>
      </c>
      <c r="P58" s="24">
        <f>+VLOOKUP(B58,[1]Balance_Madden!$A$12:$V$5087,12)/35.32</f>
        <v>2.2835719439769582</v>
      </c>
      <c r="Q58" s="25">
        <f>+VLOOKUP(B58,[1]Balance_Gatún!$A$13:$AD$5087,15)/35.32</f>
        <v>23.811200608264315</v>
      </c>
      <c r="R58" s="24">
        <f>+VLOOKUP(B58,[1]Balance_Madden!$A$12:$V$5087,14)/35.32</f>
        <v>14.537252578178546</v>
      </c>
      <c r="S58" s="26">
        <f>[1]Balance_Gatún!X57/35.32</f>
        <v>105.60639277798752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8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229.67</v>
      </c>
      <c r="D59" s="47">
        <f>+VLOOKUP(B59,[1]Balance_Gatún!$A$13:$E$5087,2)</f>
        <v>84.063000000000002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0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6.0516448323850662</v>
      </c>
      <c r="P59" s="46">
        <f>+VLOOKUP(B59,[1]Balance_Madden!$A$12:$V$5087,12)/35.32</f>
        <v>2.0083825456842255</v>
      </c>
      <c r="Q59" s="47">
        <f>+VLOOKUP(B59,[1]Balance_Gatún!$A$13:$AD$5087,15)/35.32</f>
        <v>20.899150061442949</v>
      </c>
      <c r="R59" s="46">
        <f>+VLOOKUP(B59,[1]Balance_Madden!$A$12:$V$5087,14)/35.32</f>
        <v>14.262063179885811</v>
      </c>
      <c r="S59" s="48">
        <f>[1]Balance_Gatún!X58/35.32</f>
        <v>102.56586135803911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9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229.9</v>
      </c>
      <c r="D60" s="25">
        <f>+VLOOKUP(B60,[1]Balance_Gatún!$A$13:$E$5087,2)</f>
        <v>84.024000000000001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0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6.0444276464656861</v>
      </c>
      <c r="P60" s="24">
        <f>+VLOOKUP(B60,[1]Balance_Madden!$A$12:$V$5087,12)/35.32</f>
        <v>2.1755871648941327</v>
      </c>
      <c r="Q60" s="25">
        <f>+VLOOKUP(B60,[1]Balance_Gatún!$A$13:$AD$5087,15)/35.32</f>
        <v>22.554674997725048</v>
      </c>
      <c r="R60" s="24">
        <f>+VLOOKUP(B60,[1]Balance_Madden!$A$12:$V$5087,14)/35.32</f>
        <v>14.429267799095719</v>
      </c>
      <c r="S60" s="26">
        <f>[1]Balance_Gatún!X59/35.32</f>
        <v>104.13787372678864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10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230.11</v>
      </c>
      <c r="D61" s="25">
        <f>+VLOOKUP(B61,[1]Balance_Gatún!$A$13:$E$5087,2)</f>
        <v>84.138000000000005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0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6.0655240360761811</v>
      </c>
      <c r="P61" s="24">
        <f>+VLOOKUP(B61,[1]Balance_Madden!$A$12:$V$5087,12)/35.32</f>
        <v>1.6855129113256277</v>
      </c>
      <c r="Q61" s="25">
        <f>+VLOOKUP(B61,[1]Balance_Gatún!$A$13:$AD$5087,15)/35.32</f>
        <v>17.448027549851965</v>
      </c>
      <c r="R61" s="24">
        <f>+VLOOKUP(B61,[1]Balance_Madden!$A$12:$V$5087,14)/35.32</f>
        <v>13.939193545527214</v>
      </c>
      <c r="S61" s="26">
        <f>[1]Balance_Gatún!X60/35.32</f>
        <v>99.275339937856927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230.23</v>
      </c>
      <c r="D62" s="25">
        <f>+VLOOKUP(B62,[1]Balance_Gatún!$A$13:$E$5087,2)</f>
        <v>84.135999999999996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0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6.0651539239777517</v>
      </c>
      <c r="P62" s="24">
        <f>+VLOOKUP(B62,[1]Balance_Madden!$A$12:$V$5087,12)/35.32</f>
        <v>0.95740920059586365</v>
      </c>
      <c r="Q62" s="25">
        <f>+VLOOKUP(B62,[1]Balance_Gatún!$A$13:$AD$5087,15)/35.32</f>
        <v>9.8939568029652634</v>
      </c>
      <c r="R62" s="24">
        <f>+VLOOKUP(B62,[1]Balance_Madden!$A$12:$V$5087,14)/35.32</f>
        <v>13.21108983479745</v>
      </c>
      <c r="S62" s="26">
        <f>[1]Balance_Gatún!X61/35.32</f>
        <v>91.716986495199322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230.33</v>
      </c>
      <c r="D63" s="25">
        <f>+VLOOKUP(B63,[1]Balance_Gatún!$A$13:$E$5087,2)</f>
        <v>84.094999999999999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0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6.0575666259599421</v>
      </c>
      <c r="P63" s="24">
        <f>+VLOOKUP(B63,[1]Balance_Madden!$A$12:$V$5087,12)/35.32</f>
        <v>1.8950918869482938</v>
      </c>
      <c r="Q63" s="25">
        <f>+VLOOKUP(B63,[1]Balance_Gatún!$A$13:$AD$5087,15)/35.32</f>
        <v>19.54637173365434</v>
      </c>
      <c r="R63" s="24">
        <f>+VLOOKUP(B63,[1]Balance_Madden!$A$12:$V$5087,14)/35.32</f>
        <v>14.14877252114988</v>
      </c>
      <c r="S63" s="26">
        <f>[1]Balance_Gatún!X62/35.32</f>
        <v>101.28160616258492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230.44</v>
      </c>
      <c r="D64" s="25">
        <f>+VLOOKUP(B64,[1]Balance_Gatún!$A$13:$E$5087,2)</f>
        <v>84.051000000000002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0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6.0494241597944898</v>
      </c>
      <c r="P64" s="24">
        <f>+VLOOKUP(B64,[1]Balance_Madden!$A$12:$V$5087,12)/35.32</f>
        <v>2.6199438364051546</v>
      </c>
      <c r="Q64" s="25">
        <f>+VLOOKUP(B64,[1]Balance_Gatún!$A$13:$AD$5087,15)/35.32</f>
        <v>26.965857149859396</v>
      </c>
      <c r="R64" s="24">
        <f>+VLOOKUP(B64,[1]Balance_Madden!$A$12:$V$5087,14)/35.32</f>
        <v>14.873624470606739</v>
      </c>
      <c r="S64" s="26">
        <f>[1]Balance_Gatún!X63/35.32</f>
        <v>108.60687227183017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230.58</v>
      </c>
      <c r="D65" s="25">
        <f>+VLOOKUP(B65,[1]Balance_Gatún!$A$13:$E$5087,2)</f>
        <v>83.991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2.7027027027027026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6.0383207968415968</v>
      </c>
      <c r="P65" s="24">
        <f>+VLOOKUP(B65,[1]Balance_Madden!$A$12:$V$5087,12)/35.32</f>
        <v>2.2875373419826119</v>
      </c>
      <c r="Q65" s="25">
        <f>+VLOOKUP(B65,[1]Balance_Gatún!$A$13:$AD$5087,15)/35.32</f>
        <v>23.480427198173576</v>
      </c>
      <c r="R65" s="24">
        <f>+VLOOKUP(B65,[1]Balance_Madden!$A$12:$V$5087,14)/35.32</f>
        <v>23.034989210612281</v>
      </c>
      <c r="S65" s="26">
        <f>[1]Balance_Gatún!X64/35.32</f>
        <v>104.99296144701731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>Cambio Calado</v>
      </c>
      <c r="X65" s="31">
        <f t="shared" si="3"/>
        <v>46255</v>
      </c>
      <c r="Y65" s="30">
        <f>IF($W65="Cambio Calado",COUNTIF($W$14:W65,"Cambio Calado"),"")</f>
        <v>3</v>
      </c>
      <c r="Z65" s="31">
        <f t="shared" si="4"/>
        <v>46255</v>
      </c>
      <c r="AA65" s="30">
        <f t="shared" si="5"/>
        <v>48.5</v>
      </c>
      <c r="AB65" s="29">
        <f>IFERROR(LOOKUP($A65,$Z$14:$Z65,$AA$14:$AA65),$U65)</f>
        <v>48.5</v>
      </c>
      <c r="AC65" s="32">
        <f>IFERROR($A66-LOOKUP($A66,$Z$14:$Z65),"")</f>
        <v>1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230.79</v>
      </c>
      <c r="D66" s="25">
        <f>+VLOOKUP(B66,[1]Balance_Gatún!$A$13:$E$5087,2)</f>
        <v>83.971000000000004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2.7027027027027026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6.034619675857301</v>
      </c>
      <c r="P66" s="24">
        <f>+VLOOKUP(B66,[1]Balance_Madden!$A$12:$V$5087,12)/35.32</f>
        <v>2.3581417076675275</v>
      </c>
      <c r="Q66" s="25">
        <f>+VLOOKUP(B66,[1]Balance_Gatún!$A$13:$AD$5087,15)/35.32</f>
        <v>24.128078650099226</v>
      </c>
      <c r="R66" s="24">
        <f>+VLOOKUP(B66,[1]Balance_Madden!$A$12:$V$5087,14)/35.32</f>
        <v>23.105593576297196</v>
      </c>
      <c r="S66" s="26">
        <f>[1]Balance_Gatún!X65/35.32</f>
        <v>105.59778594123397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2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231.52</v>
      </c>
      <c r="D67" s="25">
        <f>+VLOOKUP(B67,[1]Balance_Gatún!$A$13:$E$5087,2)</f>
        <v>83.929000000000002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2.7027027027027026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6.026847321790278</v>
      </c>
      <c r="P67" s="24">
        <f>+VLOOKUP(B67,[1]Balance_Madden!$A$12:$V$5087,12)/35.32</f>
        <v>2.1232837186108946</v>
      </c>
      <c r="Q67" s="25">
        <f>+VLOOKUP(B67,[1]Balance_Gatún!$A$13:$AD$5087,15)/35.32</f>
        <v>21.493956716813653</v>
      </c>
      <c r="R67" s="24">
        <f>+VLOOKUP(B67,[1]Balance_Madden!$A$12:$V$5087,14)/35.32</f>
        <v>22.870735587240564</v>
      </c>
      <c r="S67" s="26">
        <f>[1]Balance_Gatún!X66/35.32</f>
        <v>102.87372739675948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3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231.75</v>
      </c>
      <c r="D68" s="25">
        <f>+VLOOKUP(B68,[1]Balance_Gatún!$A$13:$E$5087,2)</f>
        <v>83.869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2.7027027027027026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6.015743958837386</v>
      </c>
      <c r="P68" s="24">
        <f>+VLOOKUP(B68,[1]Balance_Madden!$A$12:$V$5087,12)/35.32</f>
        <v>1.8989934002273319</v>
      </c>
      <c r="Q68" s="25">
        <f>+VLOOKUP(B68,[1]Balance_Gatún!$A$13:$AD$5087,15)/35.32</f>
        <v>19.147529703997733</v>
      </c>
      <c r="R68" s="24">
        <f>+VLOOKUP(B68,[1]Balance_Madden!$A$12:$V$5087,14)/35.32</f>
        <v>22.646445268857001</v>
      </c>
      <c r="S68" s="26">
        <f>[1]Balance_Gatún!X67/35.32</f>
        <v>100.39881951081652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4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231.88</v>
      </c>
      <c r="D69" s="25">
        <f>+VLOOKUP(B69,[1]Balance_Gatún!$A$13:$E$5087,2)</f>
        <v>83.844999999999999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2.7027027027027026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6.0113026136562304</v>
      </c>
      <c r="P69" s="24">
        <f>+VLOOKUP(B69,[1]Balance_Madden!$A$12:$V$5087,12)/35.32</f>
        <v>1.4996919651508314</v>
      </c>
      <c r="Q69" s="25">
        <f>+VLOOKUP(B69,[1]Balance_Gatún!$A$13:$AD$5087,15)/35.32</f>
        <v>15.089542895543737</v>
      </c>
      <c r="R69" s="24">
        <f>+VLOOKUP(B69,[1]Balance_Madden!$A$12:$V$5087,14)/35.32</f>
        <v>22.247143833780502</v>
      </c>
      <c r="S69" s="26">
        <f>[1]Balance_Gatún!X68/35.32</f>
        <v>96.289440353111729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5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232.04</v>
      </c>
      <c r="D70" s="25">
        <f>+VLOOKUP(B70,[1]Balance_Gatún!$A$13:$E$5087,2)</f>
        <v>83.8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2.7027027027027026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6.002975091441562</v>
      </c>
      <c r="P70" s="24">
        <f>+VLOOKUP(B70,[1]Balance_Madden!$A$12:$V$5087,12)/35.32</f>
        <v>0.61638233560019806</v>
      </c>
      <c r="Q70" s="25">
        <f>+VLOOKUP(B70,[1]Balance_Gatún!$A$13:$AD$5087,15)/35.32</f>
        <v>6.1846108680145395</v>
      </c>
      <c r="R70" s="24">
        <f>+VLOOKUP(B70,[1]Balance_Madden!$A$12:$V$5087,14)/35.32</f>
        <v>21.363834204229867</v>
      </c>
      <c r="S70" s="26">
        <f>[1]Balance_Gatún!X69/35.32</f>
        <v>87.28814767073726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6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232.27</v>
      </c>
      <c r="D71" s="25">
        <f>+VLOOKUP(B71,[1]Balance_Gatún!$A$13:$E$5087,2)</f>
        <v>83.843000000000004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2.7027027027027026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6.010932501557801</v>
      </c>
      <c r="P71" s="24">
        <f>+VLOOKUP(B71,[1]Balance_Madden!$A$12:$V$5087,12)/35.32</f>
        <v>0.51360923009249959</v>
      </c>
      <c r="Q71" s="25">
        <f>+VLOOKUP(B71,[1]Balance_Gatún!$A$13:$AD$5087,15)/35.32</f>
        <v>5.1399230633559378</v>
      </c>
      <c r="R71" s="24">
        <f>+VLOOKUP(B71,[1]Balance_Madden!$A$12:$V$5087,14)/35.32</f>
        <v>21.26106109872217</v>
      </c>
      <c r="S71" s="26">
        <f>[1]Balance_Gatún!X70/35.32</f>
        <v>86.335537825153025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7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232.97</v>
      </c>
      <c r="D72" s="25">
        <f>+VLOOKUP(B72,[1]Balance_Gatún!$A$13:$E$5087,2)</f>
        <v>83.882000000000005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2.7027027027027026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6.0181496874771812</v>
      </c>
      <c r="P72" s="24">
        <f>+VLOOKUP(B72,[1]Balance_Madden!$A$12:$V$5087,12)/35.32</f>
        <v>1.4435622163737518</v>
      </c>
      <c r="Q72" s="25">
        <f>+VLOOKUP(B72,[1]Balance_Gatún!$A$13:$AD$5087,15)/35.32</f>
        <v>14.315176138165613</v>
      </c>
      <c r="R72" s="24">
        <f>+VLOOKUP(B72,[1]Balance_Madden!$A$12:$V$5087,14)/35.32</f>
        <v>22.19101408500342</v>
      </c>
      <c r="S72" s="26">
        <f>[1]Balance_Gatún!X71/35.32</f>
        <v>95.59430346749528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8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233.24</v>
      </c>
      <c r="D73" s="25">
        <f>+VLOOKUP(B73,[1]Balance_Gatún!$A$13:$E$5087,2)</f>
        <v>84.01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2.7027027027027026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6.0418368617766811</v>
      </c>
      <c r="P73" s="24">
        <f>+VLOOKUP(B73,[1]Balance_Madden!$A$12:$V$5087,12)/35.32</f>
        <v>1.307588577725721</v>
      </c>
      <c r="Q73" s="25">
        <f>+VLOOKUP(B73,[1]Balance_Gatún!$A$13:$AD$5087,15)/35.32</f>
        <v>12.940164896009987</v>
      </c>
      <c r="R73" s="24">
        <f>+VLOOKUP(B73,[1]Balance_Madden!$A$12:$V$5087,14)/35.32</f>
        <v>22.055040446355392</v>
      </c>
      <c r="S73" s="26">
        <f>[1]Balance_Gatún!X72/35.32</f>
        <v>94.493384754677308</v>
      </c>
      <c r="T73" s="25">
        <v>52.305411226169149</v>
      </c>
      <c r="U73" s="25">
        <v>34.022432854390715</v>
      </c>
      <c r="V73" s="29">
        <f>LOOKUP(D73,[1]Parámetros!$A$7:$A$24,[1]Parámetros!$B$7:$B$24)</f>
        <v>49</v>
      </c>
      <c r="W73" s="30" t="str">
        <f t="shared" si="1"/>
        <v>Cambio Calado</v>
      </c>
      <c r="X73" s="31">
        <f t="shared" si="3"/>
        <v>46263</v>
      </c>
      <c r="Y73" s="30">
        <f>IF($W73="Cambio Calado",COUNTIF($W$14:W73,"Cambio Calado"),"")</f>
        <v>4</v>
      </c>
      <c r="Z73" s="31">
        <f t="shared" si="4"/>
        <v>46263</v>
      </c>
      <c r="AA73" s="30">
        <f t="shared" si="5"/>
        <v>49</v>
      </c>
      <c r="AB73" s="29">
        <f>IFERROR(LOOKUP($A73,$Z$14:$Z73,$AA$14:$AA73),$U73)</f>
        <v>49</v>
      </c>
      <c r="AC73" s="32">
        <f>IFERROR($A74-LOOKUP($A74,$Z$14:$Z73),"")</f>
        <v>1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236.1</v>
      </c>
      <c r="D74" s="25">
        <f>+VLOOKUP(B74,[1]Balance_Gatún!$A$13:$E$5087,2)</f>
        <v>84.087999999999994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2.7027027027027026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6.0562712336154378</v>
      </c>
      <c r="P74" s="24">
        <f>+VLOOKUP(B74,[1]Balance_Madden!$A$12:$V$5087,12)/35.32</f>
        <v>1.2411714341936917</v>
      </c>
      <c r="Q74" s="25">
        <f>+VLOOKUP(B74,[1]Balance_Gatún!$A$13:$AD$5087,15)/35.32</f>
        <v>11.828368828204178</v>
      </c>
      <c r="R74" s="24">
        <f>+VLOOKUP(B74,[1]Balance_Madden!$A$12:$V$5087,14)/35.32</f>
        <v>21.988623302823363</v>
      </c>
      <c r="S74" s="26">
        <f>[1]Balance_Gatún!X73/35.32</f>
        <v>93.548613821936613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49</v>
      </c>
      <c r="AC74" s="32">
        <f>IFERROR($A75-LOOKUP($A75,$Z$14:$Z74),"")</f>
        <v>2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236.59</v>
      </c>
      <c r="D75" s="25">
        <f>+VLOOKUP(B75,[1]Balance_Gatún!$A$13:$E$5087,2)</f>
        <v>84.075000000000003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2.7027027027027026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6.0538655049756462</v>
      </c>
      <c r="P75" s="24">
        <f>+VLOOKUP(B75,[1]Balance_Madden!$A$12:$V$5087,12)/35.32</f>
        <v>1.28108995382197</v>
      </c>
      <c r="Q75" s="25">
        <f>+VLOOKUP(B75,[1]Balance_Gatún!$A$13:$AD$5087,15)/35.32</f>
        <v>12.127104018698361</v>
      </c>
      <c r="R75" s="24">
        <f>+VLOOKUP(B75,[1]Balance_Madden!$A$12:$V$5087,14)/35.32</f>
        <v>22.02854182245164</v>
      </c>
      <c r="S75" s="26">
        <f>[1]Balance_Gatún!X74/35.32</f>
        <v>93.819511489919961</v>
      </c>
      <c r="T75" s="25">
        <v>59.697825154719006</v>
      </c>
      <c r="U75" s="25">
        <v>25.497506041491771</v>
      </c>
      <c r="V75" s="29">
        <f>LOOKUP(D75,[1]Parámetros!$A$7:$A$24,[1]Parámetros!$B$7:$B$24)</f>
        <v>49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49</v>
      </c>
      <c r="AC75" s="32">
        <f>IFERROR($A76-LOOKUP($A76,$Z$14:$Z75),"")</f>
        <v>3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236.87</v>
      </c>
      <c r="D76" s="25">
        <f>+VLOOKUP(B76,[1]Balance_Gatún!$A$13:$E$5087,2)</f>
        <v>84.042000000000002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2.7027027027027026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6.0477586553515543</v>
      </c>
      <c r="P76" s="24">
        <f>+VLOOKUP(B76,[1]Balance_Madden!$A$12:$V$5087,12)/35.32</f>
        <v>2.0621212208577657</v>
      </c>
      <c r="Q76" s="25">
        <f>+VLOOKUP(B76,[1]Balance_Gatún!$A$13:$AD$5087,15)/35.32</f>
        <v>19.439627397602568</v>
      </c>
      <c r="R76" s="24">
        <f>+VLOOKUP(B76,[1]Balance_Madden!$A$12:$V$5087,14)/35.32</f>
        <v>22.809573089487436</v>
      </c>
      <c r="S76" s="26">
        <f>[1]Balance_Gatún!X75/35.32</f>
        <v>101.06137038860427</v>
      </c>
      <c r="T76" s="25">
        <v>37.998584185008561</v>
      </c>
      <c r="U76" s="25">
        <v>24.871109839943596</v>
      </c>
      <c r="V76" s="29">
        <f>LOOKUP(D76,[1]Parámetros!$A$7:$A$24,[1]Parámetros!$B$7:$B$24)</f>
        <v>49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49</v>
      </c>
      <c r="AC76" s="32">
        <f>IFERROR($A77-LOOKUP($A77,$Z$14:$Z76),"")</f>
        <v>4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237.06</v>
      </c>
      <c r="D77" s="25">
        <f>+VLOOKUP(B77,[1]Balance_Gatún!$A$13:$E$5087,2)</f>
        <v>84.006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2.7027027027027026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6.0410966375798214</v>
      </c>
      <c r="P77" s="24">
        <f>+VLOOKUP(B77,[1]Balance_Madden!$A$12:$V$5087,12)/35.32</f>
        <v>2.2604449553582304</v>
      </c>
      <c r="Q77" s="25">
        <f>+VLOOKUP(B77,[1]Balance_Gatún!$A$13:$AD$5087,15)/35.32</f>
        <v>21.24563966701113</v>
      </c>
      <c r="R77" s="24">
        <f>+VLOOKUP(B77,[1]Balance_Madden!$A$12:$V$5087,14)/35.32</f>
        <v>23.007896823987902</v>
      </c>
      <c r="S77" s="26">
        <f>[1]Balance_Gatún!X76/35.32</f>
        <v>102.79029413413664</v>
      </c>
      <c r="T77" s="25">
        <v>52.634280014108285</v>
      </c>
      <c r="U77" s="25">
        <v>24.085584621298647</v>
      </c>
      <c r="V77" s="29">
        <f>LOOKUP(D77,[1]Parámetros!$A$7:$A$24,[1]Parámetros!$B$7:$B$24)</f>
        <v>49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49</v>
      </c>
      <c r="AC77" s="32">
        <f>IFERROR($A78-LOOKUP($A78,$Z$14:$Z77),"")</f>
        <v>5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237.24</v>
      </c>
      <c r="D78" s="25">
        <f>+VLOOKUP(B78,[1]Balance_Gatún!$A$13:$E$5087,2)</f>
        <v>84.028000000000006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2.7027027027027026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6.0451678706625493</v>
      </c>
      <c r="P78" s="24">
        <f>+VLOOKUP(B78,[1]Balance_Madden!$A$12:$V$5087,12)/35.32</f>
        <v>1.3247844964363999</v>
      </c>
      <c r="Q78" s="25">
        <f>+VLOOKUP(B78,[1]Balance_Gatún!$A$13:$AD$5087,15)/35.32</f>
        <v>12.425262454042546</v>
      </c>
      <c r="R78" s="24">
        <f>+VLOOKUP(B78,[1]Balance_Madden!$A$12:$V$5087,14)/35.32</f>
        <v>22.072236365066068</v>
      </c>
      <c r="S78" s="26">
        <f>[1]Balance_Gatún!X77/35.32</f>
        <v>94.017026574647986</v>
      </c>
      <c r="T78" s="25">
        <v>28.772576361785138</v>
      </c>
      <c r="U78" s="25">
        <v>19.451824900617922</v>
      </c>
      <c r="V78" s="29">
        <f>LOOKUP(D78,[1]Parámetros!$A$7:$A$24,[1]Parámetros!$B$7:$B$24)</f>
        <v>49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49</v>
      </c>
      <c r="AC78" s="32">
        <f>IFERROR($A79-LOOKUP($A79,$Z$14:$Z78),"")</f>
        <v>6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237.54</v>
      </c>
      <c r="D79" s="25">
        <f>+VLOOKUP(B79,[1]Balance_Gatún!$A$13:$E$5087,2)</f>
        <v>84.001000000000005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2.7027027027027026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6.0401713573337465</v>
      </c>
      <c r="P79" s="24">
        <f>+VLOOKUP(B79,[1]Balance_Madden!$A$12:$V$5087,12)/35.32</f>
        <v>1.6252313801382259</v>
      </c>
      <c r="Q79" s="25">
        <f>+VLOOKUP(B79,[1]Balance_Gatún!$A$13:$AD$5087,15)/35.32</f>
        <v>15.177422901314053</v>
      </c>
      <c r="R79" s="24">
        <f>+VLOOKUP(B79,[1]Balance_Madden!$A$12:$V$5087,14)/35.32</f>
        <v>22.372683248767895</v>
      </c>
      <c r="S79" s="26">
        <f>[1]Balance_Gatún!X78/35.32</f>
        <v>96.711370629012308</v>
      </c>
      <c r="T79" s="25">
        <v>31.227806991970528</v>
      </c>
      <c r="U79" s="25">
        <v>18.754835386152774</v>
      </c>
      <c r="V79" s="29">
        <f>LOOKUP(D79,[1]Parámetros!$A$7:$A$24,[1]Parámetros!$B$7:$B$24)</f>
        <v>49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49</v>
      </c>
      <c r="AC79" s="32">
        <f>IFERROR($A80-LOOKUP($A80,$Z$14:$Z79),"")</f>
        <v>7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237.64</v>
      </c>
      <c r="D80" s="25">
        <f>+VLOOKUP(B80,[1]Balance_Gatún!$A$13:$E$5087,2)</f>
        <v>84.001000000000005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2.7027027027027026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6.0401713573337465</v>
      </c>
      <c r="P80" s="24">
        <f>+VLOOKUP(B80,[1]Balance_Madden!$A$12:$V$5087,12)/35.32</f>
        <v>1.3357080117772056</v>
      </c>
      <c r="Q80" s="25">
        <f>+VLOOKUP(B80,[1]Balance_Gatún!$A$13:$AD$5087,15)/35.32</f>
        <v>12.457174382396746</v>
      </c>
      <c r="R80" s="24">
        <f>+VLOOKUP(B80,[1]Balance_Madden!$A$12:$V$5087,14)/35.32</f>
        <v>22.083159880406875</v>
      </c>
      <c r="S80" s="26">
        <f>[1]Balance_Gatún!X79/35.32</f>
        <v>93.991122110094992</v>
      </c>
      <c r="T80" s="25">
        <v>25.407716808397296</v>
      </c>
      <c r="U80" s="25">
        <v>17.207083965648565</v>
      </c>
      <c r="V80" s="29">
        <f>LOOKUP(D80,[1]Parámetros!$A$7:$A$24,[1]Parámetros!$B$7:$B$24)</f>
        <v>49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49</v>
      </c>
      <c r="AC80" s="32">
        <f>IFERROR($A81-LOOKUP($A81,$Z$14:$Z80),"")</f>
        <v>8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238.33</v>
      </c>
      <c r="D81" s="25">
        <f>+VLOOKUP(B81,[1]Balance_Gatún!$A$13:$E$5087,2)</f>
        <v>84.100999999999999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2.7027027027027026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6.0586769622552303</v>
      </c>
      <c r="P81" s="24">
        <f>+VLOOKUP(B81,[1]Balance_Madden!$A$12:$V$5087,12)/35.32</f>
        <v>0.84277667816951496</v>
      </c>
      <c r="Q81" s="25">
        <f>+VLOOKUP(B81,[1]Balance_Gatún!$A$13:$AD$5087,15)/35.32</f>
        <v>7.7987115574686765</v>
      </c>
      <c r="R81" s="24">
        <f>+VLOOKUP(B81,[1]Balance_Madden!$A$12:$V$5087,14)/35.32</f>
        <v>21.590228546799185</v>
      </c>
      <c r="S81" s="26">
        <f>[1]Balance_Gatún!X80/35.32</f>
        <v>89.546794073711951</v>
      </c>
      <c r="T81" s="25">
        <v>61.487595438029231</v>
      </c>
      <c r="U81" s="25">
        <v>28.464518269144584</v>
      </c>
      <c r="V81" s="29">
        <f>LOOKUP(D81,[1]Parámetros!$A$7:$A$24,[1]Parámetros!$B$7:$B$24)</f>
        <v>49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49</v>
      </c>
      <c r="AC81" s="32">
        <f>IFERROR($A82-LOOKUP($A82,$Z$14:$Z81),"")</f>
        <v>9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238.52</v>
      </c>
      <c r="D82" s="25">
        <f>+VLOOKUP(B82,[1]Balance_Gatún!$A$13:$E$5087,2)</f>
        <v>84.091999999999999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2.7027027027027026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6.0570114578122993</v>
      </c>
      <c r="P82" s="24">
        <f>+VLOOKUP(B82,[1]Balance_Madden!$A$12:$V$5087,12)/35.32</f>
        <v>0.9281866177098641</v>
      </c>
      <c r="Q82" s="25">
        <f>+VLOOKUP(B82,[1]Balance_Gatún!$A$13:$AD$5087,15)/35.32</f>
        <v>8.5666336916315871</v>
      </c>
      <c r="R82" s="24">
        <f>+VLOOKUP(B82,[1]Balance_Madden!$A$12:$V$5087,14)/35.32</f>
        <v>21.675638486339537</v>
      </c>
      <c r="S82" s="26">
        <f>[1]Balance_Gatún!X81/35.32</f>
        <v>90.295444076905838</v>
      </c>
      <c r="T82" s="25">
        <v>38.389779908224725</v>
      </c>
      <c r="U82" s="25">
        <v>21.043888227808537</v>
      </c>
      <c r="V82" s="29">
        <f>LOOKUP(D82,[1]Parámetros!$A$7:$A$24,[1]Parámetros!$B$7:$B$24)</f>
        <v>49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49</v>
      </c>
      <c r="AC82" s="32">
        <f>IFERROR($A83-LOOKUP($A83,$Z$14:$Z82),"")</f>
        <v>10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238.59</v>
      </c>
      <c r="D83" s="25">
        <f>+VLOOKUP(B83,[1]Balance_Gatún!$A$13:$E$5087,2)</f>
        <v>84.066999999999993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2.7027027027027026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6.052385056581925</v>
      </c>
      <c r="P83" s="24">
        <f>+VLOOKUP(B83,[1]Balance_Madden!$A$12:$V$5087,12)/35.32</f>
        <v>0.8857761173750055</v>
      </c>
      <c r="Q83" s="25">
        <f>+VLOOKUP(B83,[1]Balance_Gatún!$A$13:$AD$5087,15)/35.32</f>
        <v>8.1650754743870042</v>
      </c>
      <c r="R83" s="24">
        <f>+VLOOKUP(B83,[1]Balance_Madden!$A$12:$V$5087,14)/35.32</f>
        <v>21.633227986004677</v>
      </c>
      <c r="S83" s="26">
        <f>[1]Balance_Gatún!X82/35.32</f>
        <v>89.840352162524965</v>
      </c>
      <c r="T83" s="25">
        <v>78.11855316117628</v>
      </c>
      <c r="U83" s="25">
        <v>215.95760409284713</v>
      </c>
      <c r="V83" s="29">
        <f>LOOKUP(D83,[1]Parámetros!$A$7:$A$24,[1]Parámetros!$B$7:$B$24)</f>
        <v>49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49</v>
      </c>
      <c r="AC83" s="32">
        <f>IFERROR($A84-LOOKUP($A84,$Z$14:$Z83),"")</f>
        <v>11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238.71</v>
      </c>
      <c r="D84" s="25">
        <f>+VLOOKUP(B84,[1]Balance_Gatún!$A$13:$E$5087,2)</f>
        <v>84.091999999999999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2.7027027027027026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6.0570114578122993</v>
      </c>
      <c r="P84" s="24">
        <f>+VLOOKUP(B84,[1]Balance_Madden!$A$12:$V$5087,12)/35.32</f>
        <v>1.358837562980898</v>
      </c>
      <c r="Q84" s="25">
        <f>+VLOOKUP(B84,[1]Balance_Gatún!$A$13:$AD$5087,15)/35.32</f>
        <v>12.510037455705064</v>
      </c>
      <c r="R84" s="24">
        <f>+VLOOKUP(B84,[1]Balance_Madden!$A$12:$V$5087,14)/35.32</f>
        <v>22.106289431610566</v>
      </c>
      <c r="S84" s="26">
        <f>[1]Balance_Gatún!X83/35.32</f>
        <v>94.238847840979318</v>
      </c>
      <c r="T84" s="25">
        <v>35.715572560368528</v>
      </c>
      <c r="U84" s="25">
        <v>51.776497186311381</v>
      </c>
      <c r="V84" s="29">
        <f>LOOKUP(D84,[1]Parámetros!$A$7:$A$24,[1]Parámetros!$B$7:$B$24)</f>
        <v>49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49</v>
      </c>
      <c r="AC84" s="32">
        <f>IFERROR($A85-LOOKUP($A85,$Z$14:$Z84),"")</f>
        <v>12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238.92</v>
      </c>
      <c r="D85" s="25">
        <f>+VLOOKUP(B85,[1]Balance_Gatún!$A$13:$E$5087,2)</f>
        <v>84.046999999999997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2.7027027027027026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6.0486839355976283</v>
      </c>
      <c r="P85" s="24">
        <f>+VLOOKUP(B85,[1]Balance_Madden!$A$12:$V$5087,12)/35.32</f>
        <v>1.0246651749116165</v>
      </c>
      <c r="Q85" s="25">
        <f>+VLOOKUP(B85,[1]Balance_Gatún!$A$13:$AD$5087,15)/35.32</f>
        <v>9.4021323863034016</v>
      </c>
      <c r="R85" s="24">
        <f>+VLOOKUP(B85,[1]Balance_Madden!$A$12:$V$5087,14)/35.32</f>
        <v>21.772117043541286</v>
      </c>
      <c r="S85" s="26">
        <f>[1]Balance_Gatún!X84/35.32</f>
        <v>91.034582116732352</v>
      </c>
      <c r="T85" s="25">
        <v>42.290543146477667</v>
      </c>
      <c r="U85" s="25">
        <v>37.199709277309118</v>
      </c>
      <c r="V85" s="29">
        <f>LOOKUP(D85,[1]Parámetros!$A$7:$A$24,[1]Parámetros!$B$7:$B$24)</f>
        <v>49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49</v>
      </c>
      <c r="AC85" s="32">
        <f>IFERROR($A86-LOOKUP($A86,$Z$14:$Z85),"")</f>
        <v>13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238.96</v>
      </c>
      <c r="D86" s="25">
        <f>+VLOOKUP(B86,[1]Balance_Gatún!$A$13:$E$5087,2)</f>
        <v>84.076999999999998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2.7027027027027026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6.0542356170740748</v>
      </c>
      <c r="P86" s="24">
        <f>+VLOOKUP(B86,[1]Balance_Madden!$A$12:$V$5087,12)/35.32</f>
        <v>0.77879100645002142</v>
      </c>
      <c r="Q86" s="25">
        <f>+VLOOKUP(B86,[1]Balance_Gatún!$A$13:$AD$5087,15)/35.32</f>
        <v>7.1450411709777661</v>
      </c>
      <c r="R86" s="24">
        <f>+VLOOKUP(B86,[1]Balance_Madden!$A$12:$V$5087,14)/35.32</f>
        <v>21.526242875079692</v>
      </c>
      <c r="S86" s="26">
        <f>[1]Balance_Gatún!X85/35.32</f>
        <v>88.841731337970245</v>
      </c>
      <c r="T86" s="25">
        <v>31.893359897482441</v>
      </c>
      <c r="U86" s="25">
        <v>29.797920761988347</v>
      </c>
      <c r="V86" s="29">
        <f>LOOKUP(D86,[1]Parámetros!$A$7:$A$24,[1]Parámetros!$B$7:$B$24)</f>
        <v>49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49</v>
      </c>
      <c r="AC86" s="32">
        <f>IFERROR($A87-LOOKUP($A87,$Z$14:$Z86),"")</f>
        <v>14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239.04</v>
      </c>
      <c r="D87" s="25">
        <f>+VLOOKUP(B87,[1]Balance_Gatún!$A$13:$E$5087,2)</f>
        <v>84.081999999999994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2.7027027027027026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6.055160897320147</v>
      </c>
      <c r="P87" s="24">
        <f>+VLOOKUP(B87,[1]Balance_Madden!$A$12:$V$5087,12)/35.32</f>
        <v>2.2158268184542149</v>
      </c>
      <c r="Q87" s="25">
        <f>+VLOOKUP(B87,[1]Balance_Gatún!$A$13:$AD$5087,15)/35.32</f>
        <v>20.309181083889495</v>
      </c>
      <c r="R87" s="24">
        <f>+VLOOKUP(B87,[1]Balance_Madden!$A$12:$V$5087,14)/35.32</f>
        <v>22.963278687083886</v>
      </c>
      <c r="S87" s="26">
        <f>[1]Balance_Gatún!X86/35.32</f>
        <v>102.0165779903092</v>
      </c>
      <c r="T87" s="25">
        <v>43.144456966685432</v>
      </c>
      <c r="U87" s="25">
        <v>37.794355521625505</v>
      </c>
      <c r="V87" s="29">
        <f>LOOKUP(D87,[1]Parámetros!$A$7:$A$24,[1]Parámetros!$B$7:$B$24)</f>
        <v>49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49</v>
      </c>
      <c r="AC87" s="32">
        <f>IFERROR($A88-LOOKUP($A88,$Z$14:$Z87),"")</f>
        <v>15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239.54</v>
      </c>
      <c r="D88" s="25">
        <f>+VLOOKUP(B88,[1]Balance_Gatún!$A$13:$E$5087,2)</f>
        <v>84.19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2.7027027027027026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6.0751469506353537</v>
      </c>
      <c r="P88" s="24">
        <f>+VLOOKUP(B88,[1]Balance_Madden!$A$12:$V$5087,12)/35.32</f>
        <v>2.6616639034410041</v>
      </c>
      <c r="Q88" s="25">
        <f>+VLOOKUP(B88,[1]Balance_Gatún!$A$13:$AD$5087,15)/35.32</f>
        <v>24.270161983795774</v>
      </c>
      <c r="R88" s="24">
        <f>+VLOOKUP(B88,[1]Balance_Madden!$A$12:$V$5087,14)/35.32</f>
        <v>23.409115772070674</v>
      </c>
      <c r="S88" s="26">
        <f>[1]Balance_Gatún!X87/35.32</f>
        <v>106.20882446184416</v>
      </c>
      <c r="T88" s="25">
        <v>56.246436803878893</v>
      </c>
      <c r="U88" s="25">
        <v>35.724110384315956</v>
      </c>
      <c r="V88" s="29">
        <f>LOOKUP(D88,[1]Parámetros!$A$7:$A$24,[1]Parámetros!$B$7:$B$24)</f>
        <v>49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49</v>
      </c>
      <c r="AC88" s="32">
        <f>IFERROR($A89-LOOKUP($A89,$Z$14:$Z88),"")</f>
        <v>16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239.61699999999999</v>
      </c>
      <c r="D89" s="25">
        <f>+VLOOKUP(B89,[1]Balance_Gatún!$A$13:$E$5087,2)</f>
        <v>84.146253577393367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2.7027027027027026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6.0670514105004862</v>
      </c>
      <c r="P89" s="24">
        <f>+VLOOKUP(B89,[1]Balance_Madden!$A$12:$V$5087,12)/35.32</f>
        <v>2.5129881336812567</v>
      </c>
      <c r="Q89" s="25">
        <f>+VLOOKUP(B89,[1]Balance_Gatún!$A$13:$AD$5087,15)/35.32</f>
        <v>22.87865709522416</v>
      </c>
      <c r="R89" s="24">
        <f>+VLOOKUP(B89,[1]Balance_Madden!$A$12:$V$5087,14)/35.32</f>
        <v>23.260440002310926</v>
      </c>
      <c r="S89" s="26">
        <f>[1]Balance_Gatún!X88/35.32</f>
        <v>104.72364326372781</v>
      </c>
      <c r="T89" s="25">
        <v>20.655212741567915</v>
      </c>
      <c r="U89" s="25">
        <v>28.145020430518777</v>
      </c>
      <c r="V89" s="29">
        <f>LOOKUP(D89,[1]Parámetros!$A$7:$A$24,[1]Parámetros!$B$7:$B$24)</f>
        <v>49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49</v>
      </c>
      <c r="AC89" s="32">
        <f>IFERROR($A90-LOOKUP($A90,$Z$14:$Z89),"")</f>
        <v>17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239.78399999999999</v>
      </c>
      <c r="D90" s="25">
        <f>+VLOOKUP(B90,[1]Balance_Gatún!$A$13:$E$5087,2)</f>
        <v>84.168622051319346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2.7027027027027026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6.0711908319121921</v>
      </c>
      <c r="P90" s="24">
        <f>+VLOOKUP(B90,[1]Balance_Madden!$A$12:$V$5087,12)/35.32</f>
        <v>2.4950430936633099</v>
      </c>
      <c r="Q90" s="25">
        <f>+VLOOKUP(B90,[1]Balance_Gatún!$A$13:$AD$5087,15)/35.32</f>
        <v>22.672402475359135</v>
      </c>
      <c r="R90" s="24">
        <f>+VLOOKUP(B90,[1]Balance_Madden!$A$12:$V$5087,14)/35.32</f>
        <v>23.24249496229298</v>
      </c>
      <c r="S90" s="26">
        <f>[1]Balance_Gatún!X89/35.32</f>
        <v>104.56528732820492</v>
      </c>
      <c r="T90" s="25">
        <v>26.443413481667108</v>
      </c>
      <c r="U90" s="25">
        <v>21.078527619610782</v>
      </c>
      <c r="V90" s="29">
        <f>LOOKUP(D90,[1]Parámetros!$A$7:$A$24,[1]Parámetros!$B$7:$B$24)</f>
        <v>49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49</v>
      </c>
      <c r="AC90" s="32">
        <f>IFERROR($A91-LOOKUP($A91,$Z$14:$Z90),"")</f>
        <v>18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240.3</v>
      </c>
      <c r="D91" s="25">
        <f>+VLOOKUP(B91,[1]Balance_Gatún!$A$13:$E$5087,2)</f>
        <v>84.193223067026707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2.7027027027027026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6.0757433986856686</v>
      </c>
      <c r="P91" s="24">
        <f>+VLOOKUP(B91,[1]Balance_Madden!$A$12:$V$5087,12)/35.32</f>
        <v>2.4310956077151014</v>
      </c>
      <c r="Q91" s="25">
        <f>+VLOOKUP(B91,[1]Balance_Gatún!$A$13:$AD$5087,15)/35.32</f>
        <v>21.95056745332505</v>
      </c>
      <c r="R91" s="24">
        <f>+VLOOKUP(B91,[1]Balance_Madden!$A$12:$V$5087,14)/35.32</f>
        <v>23.178547476344772</v>
      </c>
      <c r="S91" s="26">
        <f>[1]Balance_Gatún!X90/35.32</f>
        <v>103.89613163913572</v>
      </c>
      <c r="T91" s="25">
        <v>26.641096769612801</v>
      </c>
      <c r="U91" s="25">
        <v>23.504636737283047</v>
      </c>
      <c r="V91" s="29">
        <f>LOOKUP(D91,[1]Parámetros!$A$7:$A$24,[1]Parámetros!$B$7:$B$24)</f>
        <v>49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49</v>
      </c>
      <c r="AC91" s="32">
        <f>IFERROR($A92-LOOKUP($A92,$Z$14:$Z91),"")</f>
        <v>19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240.41499999999999</v>
      </c>
      <c r="D92" s="25">
        <f>+VLOOKUP(B92,[1]Balance_Gatún!$A$13:$E$5087,2)</f>
        <v>84.160641258960254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2.7027027027027026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6.0697139380086167</v>
      </c>
      <c r="P92" s="24">
        <f>+VLOOKUP(B92,[1]Balance_Madden!$A$12:$V$5087,12)/35.32</f>
        <v>1.4896991817092329</v>
      </c>
      <c r="Q92" s="25">
        <f>+VLOOKUP(B92,[1]Balance_Gatún!$A$13:$AD$5087,15)/35.32</f>
        <v>13.424976178700504</v>
      </c>
      <c r="R92" s="24">
        <f>+VLOOKUP(B92,[1]Balance_Madden!$A$12:$V$5087,14)/35.32</f>
        <v>22.237151050338902</v>
      </c>
      <c r="S92" s="26">
        <f>[1]Balance_Gatún!X91/35.32</f>
        <v>95.300771378703942</v>
      </c>
      <c r="T92" s="25">
        <v>50.347524403101964</v>
      </c>
      <c r="U92" s="25">
        <v>22.617956743483411</v>
      </c>
      <c r="V92" s="29">
        <f>LOOKUP(D92,[1]Parámetros!$A$7:$A$24,[1]Parámetros!$B$7:$B$24)</f>
        <v>49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49</v>
      </c>
      <c r="AC92" s="32">
        <f>IFERROR($A93-LOOKUP($A93,$Z$14:$Z92),"")</f>
        <v>20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240.489</v>
      </c>
      <c r="D93" s="25">
        <f>+VLOOKUP(B93,[1]Balance_Gatún!$A$13:$E$5087,2)</f>
        <v>84.123343006221859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2.7027027027027026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6.0628116707142317</v>
      </c>
      <c r="P93" s="24">
        <f>+VLOOKUP(B93,[1]Balance_Madden!$A$12:$V$5087,12)/35.32</f>
        <v>1.0907153576550483</v>
      </c>
      <c r="Q93" s="25">
        <f>+VLOOKUP(B93,[1]Balance_Gatún!$A$13:$AD$5087,15)/35.32</f>
        <v>9.8152748315600071</v>
      </c>
      <c r="R93" s="24">
        <f>+VLOOKUP(B93,[1]Balance_Madden!$A$12:$V$5087,14)/35.32</f>
        <v>21.838167226284721</v>
      </c>
      <c r="S93" s="26">
        <f>[1]Balance_Gatún!X92/35.32</f>
        <v>91.611201496931088</v>
      </c>
      <c r="T93" s="25">
        <v>99.838942374957213</v>
      </c>
      <c r="U93" s="25">
        <v>81.133860951367282</v>
      </c>
      <c r="V93" s="29">
        <f>LOOKUP(D93,[1]Parámetros!$A$7:$A$24,[1]Parámetros!$B$7:$B$24)</f>
        <v>49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49</v>
      </c>
      <c r="AC93" s="32">
        <f>IFERROR($A94-LOOKUP($A94,$Z$14:$Z93),"")</f>
        <v>21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240.54499999999999</v>
      </c>
      <c r="D94" s="25">
        <f>+VLOOKUP(B94,[1]Balance_Gatún!$A$13:$E$5087,2)</f>
        <v>84.08931014224801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2.7027027027027026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6.0565136833637645</v>
      </c>
      <c r="P94" s="24">
        <f>+VLOOKUP(B94,[1]Balance_Madden!$A$12:$V$5087,12)/35.32</f>
        <v>2.0101178485462596</v>
      </c>
      <c r="Q94" s="25">
        <f>+VLOOKUP(B94,[1]Balance_Gatún!$A$13:$AD$5087,15)/35.32</f>
        <v>18.067920480771587</v>
      </c>
      <c r="R94" s="24">
        <f>+VLOOKUP(B94,[1]Balance_Madden!$A$12:$V$5087,14)/35.32</f>
        <v>22.757569717175929</v>
      </c>
      <c r="S94" s="26">
        <f>[1]Balance_Gatún!X93/35.32</f>
        <v>99.790970944836445</v>
      </c>
      <c r="T94" s="25">
        <v>62.497494206702974</v>
      </c>
      <c r="U94" s="25">
        <v>49.22671790919064</v>
      </c>
      <c r="V94" s="29">
        <f>LOOKUP(D94,[1]Parámetros!$A$7:$A$24,[1]Parámetros!$B$7:$B$24)</f>
        <v>49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49</v>
      </c>
      <c r="AC94" s="32">
        <f>IFERROR($A95-LOOKUP($A95,$Z$14:$Z94),"")</f>
        <v>22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240.62899999999999</v>
      </c>
      <c r="D95" s="25">
        <f>+VLOOKUP(B95,[1]Balance_Gatún!$A$13:$E$5087,2)</f>
        <v>84.054530337729645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2.7027027027027026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6.0500774701471309</v>
      </c>
      <c r="P95" s="24">
        <f>+VLOOKUP(B95,[1]Balance_Madden!$A$12:$V$5087,12)/35.32</f>
        <v>1.9675655100308111</v>
      </c>
      <c r="Q95" s="25">
        <f>+VLOOKUP(B95,[1]Balance_Gatún!$A$13:$AD$5087,15)/35.32</f>
        <v>17.658343887282982</v>
      </c>
      <c r="R95" s="24">
        <f>+VLOOKUP(B95,[1]Balance_Madden!$A$12:$V$5087,14)/35.32</f>
        <v>22.71501737866048</v>
      </c>
      <c r="S95" s="26">
        <f>[1]Balance_Gatún!X94/35.32</f>
        <v>99.306918690486057</v>
      </c>
      <c r="T95" s="25">
        <v>45.41809416430668</v>
      </c>
      <c r="U95" s="25">
        <v>30.305279317689177</v>
      </c>
      <c r="V95" s="29">
        <f>LOOKUP(D95,[1]Parámetros!$A$7:$A$24,[1]Parámetros!$B$7:$B$24)</f>
        <v>49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49</v>
      </c>
      <c r="AC95" s="32">
        <f>IFERROR($A96-LOOKUP($A96,$Z$14:$Z95),"")</f>
        <v>23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240.66</v>
      </c>
      <c r="D96" s="25">
        <f>+VLOOKUP(B96,[1]Balance_Gatún!$A$13:$E$5087,2)</f>
        <v>84.018441810993565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2.7027027027027026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6.0433990699673679</v>
      </c>
      <c r="P96" s="24">
        <f>+VLOOKUP(B96,[1]Balance_Madden!$A$12:$V$5087,12)/35.32</f>
        <v>1.3517147972851764</v>
      </c>
      <c r="Q96" s="25">
        <f>+VLOOKUP(B96,[1]Balance_Gatún!$A$13:$AD$5087,15)/35.32</f>
        <v>12.120781309394284</v>
      </c>
      <c r="R96" s="24">
        <f>+VLOOKUP(B96,[1]Balance_Madden!$A$12:$V$5087,14)/35.32</f>
        <v>22.099166665914844</v>
      </c>
      <c r="S96" s="26">
        <f>[1]Balance_Gatún!X95/35.32</f>
        <v>93.692078022182031</v>
      </c>
      <c r="T96" s="25">
        <v>43.613178070981867</v>
      </c>
      <c r="U96" s="25">
        <v>23.572027405610466</v>
      </c>
      <c r="V96" s="29">
        <f>LOOKUP(D96,[1]Parámetros!$A$7:$A$24,[1]Parámetros!$B$7:$B$24)</f>
        <v>49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49</v>
      </c>
      <c r="AC96" s="32">
        <f>IFERROR($A97-LOOKUP($A97,$Z$14:$Z96),"")</f>
        <v>24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240.673</v>
      </c>
      <c r="D97" s="25">
        <f>+VLOOKUP(B97,[1]Balance_Gatún!$A$13:$E$5087,2)</f>
        <v>83.980017255934499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2.7027027027027026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6.0362883736152977</v>
      </c>
      <c r="P97" s="24">
        <f>+VLOOKUP(B97,[1]Balance_Madden!$A$12:$V$5087,12)/35.32</f>
        <v>2.3509542288919527</v>
      </c>
      <c r="Q97" s="25">
        <f>+VLOOKUP(B97,[1]Balance_Gatún!$A$13:$AD$5087,15)/35.32</f>
        <v>21.066992958686207</v>
      </c>
      <c r="R97" s="24">
        <f>+VLOOKUP(B97,[1]Balance_Madden!$A$12:$V$5087,14)/35.32</f>
        <v>23.098406097521622</v>
      </c>
      <c r="S97" s="26">
        <f>[1]Balance_Gatún!X96/35.32</f>
        <v>102.55600933174884</v>
      </c>
      <c r="T97" s="25">
        <v>67.805431719465801</v>
      </c>
      <c r="U97" s="25">
        <v>37.950228960192611</v>
      </c>
      <c r="V97" s="29">
        <f>LOOKUP(D97,[1]Parámetros!$A$7:$A$24,[1]Parámetros!$B$7:$B$24)</f>
        <v>48.5</v>
      </c>
      <c r="W97" s="30" t="str">
        <f t="shared" si="7"/>
        <v>Cambio Calado</v>
      </c>
      <c r="X97" s="31">
        <f t="shared" si="8"/>
        <v>46287</v>
      </c>
      <c r="Y97" s="30">
        <f>IF($W97="Cambio Calado",COUNTIF($W$14:W97,"Cambio Calado"),"")</f>
        <v>5</v>
      </c>
      <c r="Z97" s="31">
        <f t="shared" si="9"/>
        <v>46287</v>
      </c>
      <c r="AA97" s="30">
        <f t="shared" si="10"/>
        <v>48.5</v>
      </c>
      <c r="AB97" s="29">
        <f>IFERROR(LOOKUP($A97,$Z$14:$Z97,$AA$14:$AA97),$U97)</f>
        <v>48.5</v>
      </c>
      <c r="AC97" s="32">
        <f>IFERROR($A98-LOOKUP($A98,$Z$14:$Z97),"")</f>
        <v>1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240.678</v>
      </c>
      <c r="D98" s="25">
        <f>+VLOOKUP(B98,[1]Balance_Gatún!$A$13:$E$5087,2)</f>
        <v>83.98496680281589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2.7027027027027026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6.0372043172065712</v>
      </c>
      <c r="P98" s="24">
        <f>+VLOOKUP(B98,[1]Balance_Madden!$A$12:$V$5087,12)/35.32</f>
        <v>2.4002359517879364</v>
      </c>
      <c r="Q98" s="25">
        <f>+VLOOKUP(B98,[1]Balance_Gatún!$A$13:$AD$5087,15)/35.32</f>
        <v>21.508583476018416</v>
      </c>
      <c r="R98" s="24">
        <f>+VLOOKUP(B98,[1]Balance_Madden!$A$12:$V$5087,14)/35.32</f>
        <v>23.147687820417605</v>
      </c>
      <c r="S98" s="26">
        <f>[1]Balance_Gatún!X97/35.32</f>
        <v>103.00819855082945</v>
      </c>
      <c r="T98" s="25">
        <v>48.734463531571286</v>
      </c>
      <c r="U98" s="25">
        <v>38.627017706436348</v>
      </c>
      <c r="V98" s="29">
        <f>LOOKUP(D98,[1]Parámetros!$A$7:$A$24,[1]Parámetros!$B$7:$B$24)</f>
        <v>48.5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48.5</v>
      </c>
      <c r="AC98" s="32">
        <f>IFERROR($A99-LOOKUP($A99,$Z$14:$Z98),"")</f>
        <v>2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241.01</v>
      </c>
      <c r="D99" s="25">
        <f>+VLOOKUP(B99,[1]Balance_Gatún!$A$13:$E$5087,2)</f>
        <v>83.964909160040989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2.7027027027027026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6.0334925290780861</v>
      </c>
      <c r="P99" s="24">
        <f>+VLOOKUP(B99,[1]Balance_Madden!$A$12:$V$5087,12)/35.32</f>
        <v>1.8720012333705895</v>
      </c>
      <c r="Q99" s="25">
        <f>+VLOOKUP(B99,[1]Balance_Gatún!$A$13:$AD$5087,15)/35.32</f>
        <v>16.698951440315927</v>
      </c>
      <c r="R99" s="24">
        <f>+VLOOKUP(B99,[1]Balance_Madden!$A$12:$V$5087,14)/35.32</f>
        <v>22.619453102000257</v>
      </c>
      <c r="S99" s="26">
        <f>[1]Balance_Gatún!X98/35.32</f>
        <v>98.155616124183808</v>
      </c>
      <c r="T99" s="25">
        <v>17.275308391534619</v>
      </c>
      <c r="U99" s="25">
        <v>25.263727309246644</v>
      </c>
      <c r="V99" s="29">
        <f>LOOKUP(D99,[1]Parámetros!$A$7:$A$24,[1]Parámetros!$B$7:$B$24)</f>
        <v>48.5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48.5</v>
      </c>
      <c r="AC99" s="32">
        <f>IFERROR($A100-LOOKUP($A100,$Z$14:$Z99),"")</f>
        <v>3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241.07599999999999</v>
      </c>
      <c r="D100" s="25">
        <f>+VLOOKUP(B100,[1]Balance_Gatún!$A$13:$E$5087,2)</f>
        <v>83.942910113060208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2.7027027027027026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6.0294214723573312</v>
      </c>
      <c r="P100" s="24">
        <f>+VLOOKUP(B100,[1]Balance_Madden!$A$12:$V$5087,12)/35.32</f>
        <v>2.560664253387253</v>
      </c>
      <c r="Q100" s="25">
        <f>+VLOOKUP(B100,[1]Balance_Gatún!$A$13:$AD$5087,15)/35.32</f>
        <v>22.816195445277508</v>
      </c>
      <c r="R100" s="24">
        <f>+VLOOKUP(B100,[1]Balance_Madden!$A$12:$V$5087,14)/35.32</f>
        <v>23.308116122016926</v>
      </c>
      <c r="S100" s="26">
        <f>[1]Balance_Gatún!X99/35.32</f>
        <v>104.22575251641118</v>
      </c>
      <c r="T100" s="25">
        <v>28.599194885211464</v>
      </c>
      <c r="U100" s="25">
        <v>23.2424212681867</v>
      </c>
      <c r="V100" s="29">
        <f>LOOKUP(D100,[1]Parámetros!$A$7:$A$24,[1]Parámetros!$B$7:$B$24)</f>
        <v>48.5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48.5</v>
      </c>
      <c r="AC100" s="32">
        <f>IFERROR($A101-LOOKUP($A101,$Z$14:$Z100),"")</f>
        <v>4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241.101</v>
      </c>
      <c r="D101" s="25">
        <f>+VLOOKUP(B101,[1]Balance_Gatún!$A$13:$E$5087,2)</f>
        <v>83.910738055726398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2.7027027027027026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6.0234678385320226</v>
      </c>
      <c r="P101" s="24">
        <f>+VLOOKUP(B101,[1]Balance_Madden!$A$12:$V$5087,12)/35.32</f>
        <v>2.3702196983470545</v>
      </c>
      <c r="Q101" s="25">
        <f>+VLOOKUP(B101,[1]Balance_Gatún!$A$13:$AD$5087,15)/35.32</f>
        <v>21.103753500047659</v>
      </c>
      <c r="R101" s="24">
        <f>+VLOOKUP(B101,[1]Balance_Madden!$A$12:$V$5087,14)/35.32</f>
        <v>23.117671566976725</v>
      </c>
      <c r="S101" s="26">
        <f>[1]Balance_Gatún!X100/35.32</f>
        <v>102.44441900423898</v>
      </c>
      <c r="T101" s="25">
        <v>117.50874721896638</v>
      </c>
      <c r="U101" s="25">
        <v>46.51026447447974</v>
      </c>
      <c r="V101" s="29">
        <f>LOOKUP(D101,[1]Parámetros!$A$7:$A$24,[1]Parámetros!$B$7:$B$24)</f>
        <v>48.5</v>
      </c>
      <c r="W101" s="30" t="str">
        <f t="shared" si="7"/>
        <v/>
      </c>
      <c r="X101" s="31" t="str">
        <f t="shared" si="8"/>
        <v/>
      </c>
      <c r="Y101" s="30" t="str">
        <f>IF($W101="Cambio Calado",COUNTIF($W$14:W101,"Cambio Calado"),"")</f>
        <v/>
      </c>
      <c r="Z101" s="31" t="str">
        <f t="shared" si="9"/>
        <v/>
      </c>
      <c r="AA101" s="30" t="str">
        <f t="shared" si="10"/>
        <v/>
      </c>
      <c r="AB101" s="29">
        <f>IFERROR(LOOKUP($A101,$Z$14:$Z101,$AA$14:$AA101),$U101)</f>
        <v>48.5</v>
      </c>
      <c r="AC101" s="32">
        <f>IFERROR($A102-LOOKUP($A102,$Z$14:$Z101),"")</f>
        <v>5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241.322</v>
      </c>
      <c r="D102" s="25">
        <f>+VLOOKUP(B102,[1]Balance_Gatún!$A$13:$E$5087,2)</f>
        <v>83.912765800106527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2.7027027027027026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6.0238430848958275</v>
      </c>
      <c r="P102" s="24">
        <f>+VLOOKUP(B102,[1]Balance_Madden!$A$12:$V$5087,12)/35.32</f>
        <v>1.51146996643002</v>
      </c>
      <c r="Q102" s="25">
        <f>+VLOOKUP(B102,[1]Balance_Gatún!$A$13:$AD$5087,15)/35.32</f>
        <v>13.41977177914889</v>
      </c>
      <c r="R102" s="24">
        <f>+VLOOKUP(B102,[1]Balance_Madden!$A$12:$V$5087,14)/35.32</f>
        <v>22.258921835059692</v>
      </c>
      <c r="S102" s="26">
        <f>[1]Balance_Gatún!X101/35.32</f>
        <v>94.76477938948085</v>
      </c>
      <c r="T102" s="25">
        <v>39.605802753482372</v>
      </c>
      <c r="U102" s="25">
        <v>34.384243234767155</v>
      </c>
      <c r="V102" s="29">
        <f>LOOKUP(D102,[1]Parámetros!$A$7:$A$24,[1]Parámetros!$B$7:$B$24)</f>
        <v>48.5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48.5</v>
      </c>
      <c r="AC102" s="32">
        <f>IFERROR($A103-LOOKUP($A103,$Z$14:$Z102),"")</f>
        <v>6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241.48599999999999</v>
      </c>
      <c r="D103" s="25">
        <f>+VLOOKUP(B103,[1]Balance_Gatún!$A$13:$E$5087,2)</f>
        <v>83.899137801552527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2.7027027027027026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6.0213211413247185</v>
      </c>
      <c r="P103" s="24">
        <f>+VLOOKUP(B103,[1]Balance_Madden!$A$12:$V$5087,12)/35.32</f>
        <v>1.3228596077035379</v>
      </c>
      <c r="Q103" s="25">
        <f>+VLOOKUP(B103,[1]Balance_Gatún!$A$13:$AD$5087,15)/35.32</f>
        <v>11.718359049049688</v>
      </c>
      <c r="R103" s="24">
        <f>+VLOOKUP(B103,[1]Balance_Madden!$A$12:$V$5087,14)/35.32</f>
        <v>22.07031147633321</v>
      </c>
      <c r="S103" s="26">
        <f>[1]Balance_Gatún!X102/35.32</f>
        <v>93.034184373495108</v>
      </c>
      <c r="T103" s="25">
        <v>33.074210259485035</v>
      </c>
      <c r="U103" s="25">
        <v>28.58886482546875</v>
      </c>
      <c r="V103" s="29">
        <f>LOOKUP(D103,[1]Parámetros!$A$7:$A$24,[1]Parámetros!$B$7:$B$24)</f>
        <v>48.5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48.5</v>
      </c>
      <c r="AC103" s="32">
        <f>IFERROR($A104-LOOKUP($A104,$Z$14:$Z103),"")</f>
        <v>7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241.608</v>
      </c>
      <c r="D104" s="25">
        <f>+VLOOKUP(B104,[1]Balance_Gatún!$A$13:$E$5087,2)</f>
        <v>83.872158661954487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2.7027027027027026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6.0163284883394894</v>
      </c>
      <c r="P104" s="24">
        <f>+VLOOKUP(B104,[1]Balance_Madden!$A$12:$V$5087,12)/35.32</f>
        <v>1.1523019992282715</v>
      </c>
      <c r="Q104" s="25">
        <f>+VLOOKUP(B104,[1]Balance_Gatún!$A$13:$AD$5087,15)/35.32</f>
        <v>10.1879708683767</v>
      </c>
      <c r="R104" s="24">
        <f>+VLOOKUP(B104,[1]Balance_Madden!$A$12:$V$5087,14)/35.32</f>
        <v>21.899753867857942</v>
      </c>
      <c r="S104" s="26">
        <f>[1]Balance_Gatún!X103/35.32</f>
        <v>91.446024469292581</v>
      </c>
      <c r="T104" s="25">
        <v>46.315581836797037</v>
      </c>
      <c r="U104" s="25">
        <v>32.267276974351454</v>
      </c>
      <c r="V104" s="29">
        <f>LOOKUP(D104,[1]Parámetros!$A$7:$A$24,[1]Parámetros!$B$7:$B$24)</f>
        <v>48.5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48.5</v>
      </c>
      <c r="AC104" s="32">
        <f>IFERROR($A105-LOOKUP($A105,$Z$14:$Z104),"")</f>
        <v>8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241.70400000000001</v>
      </c>
      <c r="D105" s="25">
        <f>+VLOOKUP(B105,[1]Balance_Gatún!$A$13:$E$5087,2)</f>
        <v>83.845523312953532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2.7027027027027026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6.0113994558839137</v>
      </c>
      <c r="P105" s="24">
        <f>+VLOOKUP(B105,[1]Balance_Madden!$A$12:$V$5087,12)/35.32</f>
        <v>1.2096023912484821</v>
      </c>
      <c r="Q105" s="25">
        <f>+VLOOKUP(B105,[1]Balance_Gatún!$A$13:$AD$5087,15)/35.32</f>
        <v>10.677751107192991</v>
      </c>
      <c r="R105" s="24">
        <f>+VLOOKUP(B105,[1]Balance_Madden!$A$12:$V$5087,14)/35.32</f>
        <v>21.957054259878152</v>
      </c>
      <c r="S105" s="26">
        <f>[1]Balance_Gatún!X104/35.32</f>
        <v>91.878769159847451</v>
      </c>
      <c r="T105" s="25">
        <v>43.29790228335429</v>
      </c>
      <c r="U105" s="25">
        <v>23.886961083390851</v>
      </c>
      <c r="V105" s="29">
        <f>LOOKUP(D105,[1]Parámetros!$A$7:$A$24,[1]Parámetros!$B$7:$B$24)</f>
        <v>48.5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48.5</v>
      </c>
      <c r="AC105" s="32">
        <f>IFERROR($A106-LOOKUP($A106,$Z$14:$Z105),"")</f>
        <v>9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241.78800000000001</v>
      </c>
      <c r="D106" s="25">
        <f>+VLOOKUP(B106,[1]Balance_Gatún!$A$13:$E$5087,2)</f>
        <v>83.814769042298025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2.7027027027027026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5.2392524022714948</v>
      </c>
      <c r="P106" s="24">
        <f>+VLOOKUP(B106,[1]Balance_Madden!$A$12:$V$5087,12)/35.32</f>
        <v>2.0149185278794333</v>
      </c>
      <c r="Q106" s="25">
        <f>+VLOOKUP(B106,[1]Balance_Gatún!$A$13:$AD$5087,15)/35.32</f>
        <v>17.760476463736939</v>
      </c>
      <c r="R106" s="24">
        <f>+VLOOKUP(B106,[1]Balance_Madden!$A$12:$V$5087,14)/35.32</f>
        <v>22.762370396509105</v>
      </c>
      <c r="S106" s="26">
        <f>[1]Balance_Gatún!X105/35.32</f>
        <v>90.026712500213719</v>
      </c>
      <c r="T106" s="25">
        <v>43.445725335284848</v>
      </c>
      <c r="U106" s="25">
        <v>22.784704413547551</v>
      </c>
      <c r="V106" s="29">
        <f>LOOKUP(D106,[1]Parámetros!$A$7:$A$24,[1]Parámetros!$B$7:$B$24)</f>
        <v>48.5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48.5</v>
      </c>
      <c r="AC106" s="32">
        <f>IFERROR($A107-LOOKUP($A107,$Z$14:$Z106),"")</f>
        <v>10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241.85300000000001</v>
      </c>
      <c r="D107" s="25">
        <f>+VLOOKUP(B107,[1]Balance_Gatún!$A$13:$E$5087,2)</f>
        <v>83.784699182208314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2.7027027027027026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5.2345570312810823</v>
      </c>
      <c r="P107" s="24">
        <f>+VLOOKUP(B107,[1]Balance_Madden!$A$12:$V$5087,12)/35.32</f>
        <v>1.8274791906801384</v>
      </c>
      <c r="Q107" s="25">
        <f>+VLOOKUP(B107,[1]Balance_Gatún!$A$13:$AD$5087,15)/35.32</f>
        <v>16.088642442009441</v>
      </c>
      <c r="R107" s="24">
        <f>+VLOOKUP(B107,[1]Balance_Madden!$A$12:$V$5087,14)/35.32</f>
        <v>22.574931059309808</v>
      </c>
      <c r="S107" s="26">
        <f>[1]Balance_Gatún!X106/35.32</f>
        <v>88.300546708277238</v>
      </c>
      <c r="T107" s="25">
        <v>59.570332851783952</v>
      </c>
      <c r="U107" s="25">
        <v>22.80393099216375</v>
      </c>
      <c r="V107" s="29">
        <f>LOOKUP(D107,[1]Parámetros!$A$7:$A$24,[1]Parámetros!$B$7:$B$24)</f>
        <v>48.5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48.5</v>
      </c>
      <c r="AC107" s="32">
        <f>IFERROR($A108-LOOKUP($A108,$Z$14:$Z107),"")</f>
        <v>11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241.90899999999999</v>
      </c>
      <c r="D108" s="25">
        <f>+VLOOKUP(B108,[1]Balance_Gatún!$A$13:$E$5087,2)</f>
        <v>83.753701365034132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2.7027027027027026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5.229716760954199</v>
      </c>
      <c r="P108" s="24">
        <f>+VLOOKUP(B108,[1]Balance_Madden!$A$12:$V$5087,12)/35.32</f>
        <v>0.49891413360047498</v>
      </c>
      <c r="Q108" s="25">
        <f>+VLOOKUP(B108,[1]Balance_Gatún!$A$13:$AD$5087,15)/35.32</f>
        <v>4.3874040687894595</v>
      </c>
      <c r="R108" s="24">
        <f>+VLOOKUP(B108,[1]Balance_Madden!$A$12:$V$5087,14)/35.32</f>
        <v>21.246366002230143</v>
      </c>
      <c r="S108" s="26">
        <f>[1]Balance_Gatún!X107/35.32</f>
        <v>76.543299884247588</v>
      </c>
      <c r="T108" s="25">
        <v>118.38852410411407</v>
      </c>
      <c r="U108" s="25">
        <v>51.044064501527423</v>
      </c>
      <c r="V108" s="29">
        <f>LOOKUP(D108,[1]Parámetros!$A$7:$A$24,[1]Parámetros!$B$7:$B$24)</f>
        <v>48.5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48.5</v>
      </c>
      <c r="AC108" s="32">
        <f>IFERROR($A109-LOOKUP($A109,$Z$14:$Z108),"")</f>
        <v>12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241.91499999999999</v>
      </c>
      <c r="D109" s="25">
        <f>+VLOOKUP(B109,[1]Balance_Gatún!$A$13:$E$5087,2)</f>
        <v>83.725731535497474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2.7027027027027026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5.2253493071043504</v>
      </c>
      <c r="P109" s="24">
        <f>+VLOOKUP(B109,[1]Balance_Madden!$A$12:$V$5087,12)/35.32</f>
        <v>1.0586470736731142</v>
      </c>
      <c r="Q109" s="25">
        <f>+VLOOKUP(B109,[1]Balance_Gatún!$A$13:$AD$5087,15)/35.32</f>
        <v>9.3055753848485612</v>
      </c>
      <c r="R109" s="24">
        <f>+VLOOKUP(B109,[1]Balance_Madden!$A$12:$V$5087,14)/35.32</f>
        <v>21.806098942302782</v>
      </c>
      <c r="S109" s="26">
        <f>[1]Balance_Gatún!X108/35.32</f>
        <v>81.410933873340866</v>
      </c>
      <c r="T109" s="25">
        <v>52.397743735287953</v>
      </c>
      <c r="U109" s="25">
        <v>35.020775475747669</v>
      </c>
      <c r="V109" s="29">
        <f>LOOKUP(D109,[1]Parámetros!$A$7:$A$24,[1]Parámetros!$B$7:$B$24)</f>
        <v>48.5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48.5</v>
      </c>
      <c r="AC109" s="32">
        <f>IFERROR($A110-LOOKUP($A110,$Z$14:$Z109),"")</f>
        <v>13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242.024</v>
      </c>
      <c r="D110" s="25">
        <f>+VLOOKUP(B110,[1]Balance_Gatún!$A$13:$E$5087,2)</f>
        <v>83.697308014040246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2.7027027027027026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5.2209110098293543</v>
      </c>
      <c r="P110" s="24">
        <f>+VLOOKUP(B110,[1]Balance_Madden!$A$12:$V$5087,12)/35.32</f>
        <v>1.2299471895375598</v>
      </c>
      <c r="Q110" s="25">
        <f>+VLOOKUP(B110,[1]Balance_Gatún!$A$13:$AD$5087,15)/35.32</f>
        <v>10.792271141354346</v>
      </c>
      <c r="R110" s="24">
        <f>+VLOOKUP(B110,[1]Balance_Madden!$A$12:$V$5087,14)/35.32</f>
        <v>21.977399058167229</v>
      </c>
      <c r="S110" s="26">
        <f>[1]Balance_Gatún!X109/35.32</f>
        <v>82.846272548977709</v>
      </c>
      <c r="T110" s="25">
        <v>32.556971259099619</v>
      </c>
      <c r="U110" s="25">
        <v>18.692628400028969</v>
      </c>
      <c r="V110" s="29">
        <f>LOOKUP(D110,[1]Parámetros!$A$7:$A$24,[1]Parámetros!$B$7:$B$24)</f>
        <v>48.5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48.5</v>
      </c>
      <c r="AC110" s="32">
        <f>IFERROR($A111-LOOKUP($A111,$Z$14:$Z110),"")</f>
        <v>14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242.31899999999999</v>
      </c>
      <c r="D111" s="25">
        <f>+VLOOKUP(B111,[1]Balance_Gatún!$A$13:$E$5087,2)</f>
        <v>83.686181716527315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2.7027027027027026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5.2191736524084327</v>
      </c>
      <c r="P111" s="24">
        <f>+VLOOKUP(B111,[1]Balance_Madden!$A$12:$V$5087,12)/35.32</f>
        <v>1.112719558529883</v>
      </c>
      <c r="Q111" s="25">
        <f>+VLOOKUP(B111,[1]Balance_Gatún!$A$13:$AD$5087,15)/35.32</f>
        <v>9.7254646385070949</v>
      </c>
      <c r="R111" s="24">
        <f>+VLOOKUP(B111,[1]Balance_Madden!$A$12:$V$5087,14)/35.32</f>
        <v>21.860171427159553</v>
      </c>
      <c r="S111" s="26">
        <f>[1]Balance_Gatún!X110/35.32</f>
        <v>81.759362479371376</v>
      </c>
      <c r="T111" s="25">
        <v>39.691461499170678</v>
      </c>
      <c r="U111" s="25">
        <v>28.988720564165657</v>
      </c>
      <c r="V111" s="29">
        <f>LOOKUP(D111,[1]Parámetros!$A$7:$A$24,[1]Parámetros!$B$7:$B$24)</f>
        <v>48.5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48.5</v>
      </c>
      <c r="AC111" s="32">
        <f>IFERROR($A112-LOOKUP($A112,$Z$14:$Z111),"")</f>
        <v>15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242.40100000000001</v>
      </c>
      <c r="D112" s="25">
        <f>+VLOOKUP(B112,[1]Balance_Gatún!$A$13:$E$5087,2)</f>
        <v>83.670377461272949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2.7027027027027026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5.2167058377453444</v>
      </c>
      <c r="P112" s="24">
        <f>+VLOOKUP(B112,[1]Balance_Madden!$A$12:$V$5087,12)/35.32</f>
        <v>2.3579010678549399</v>
      </c>
      <c r="Q112" s="25">
        <f>+VLOOKUP(B112,[1]Balance_Gatún!$A$13:$AD$5087,15)/35.32</f>
        <v>20.582905237876272</v>
      </c>
      <c r="R112" s="24">
        <f>+VLOOKUP(B112,[1]Balance_Madden!$A$12:$V$5087,14)/35.32</f>
        <v>23.105352936484611</v>
      </c>
      <c r="S112" s="26">
        <f>[1]Balance_Gatún!X111/35.32</f>
        <v>92.588247137268183</v>
      </c>
      <c r="T112" s="25">
        <v>67.585516310929094</v>
      </c>
      <c r="U112" s="25">
        <v>25.081329634056036</v>
      </c>
      <c r="V112" s="29">
        <f>LOOKUP(D112,[1]Parámetros!$A$7:$A$24,[1]Parámetros!$B$7:$B$24)</f>
        <v>48.5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48.5</v>
      </c>
      <c r="AC112" s="32">
        <f>IFERROR($A113-LOOKUP($A113,$Z$14:$Z112),"")</f>
        <v>16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242.43199999999999</v>
      </c>
      <c r="D113" s="25">
        <f>+VLOOKUP(B113,[1]Balance_Gatún!$A$13:$E$5087,2)</f>
        <v>83.673770396661553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2.7027027027027026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5.2172356403566127</v>
      </c>
      <c r="P113" s="24">
        <f>+VLOOKUP(B113,[1]Balance_Madden!$A$12:$V$5087,12)/35.32</f>
        <v>2.6801527602215693</v>
      </c>
      <c r="Q113" s="25">
        <f>+VLOOKUP(B113,[1]Balance_Gatún!$A$13:$AD$5087,15)/35.32</f>
        <v>23.38770725115517</v>
      </c>
      <c r="R113" s="24">
        <f>+VLOOKUP(B113,[1]Balance_Madden!$A$12:$V$5087,14)/35.32</f>
        <v>23.427604628851242</v>
      </c>
      <c r="S113" s="26">
        <f>[1]Balance_Gatún!X112/35.32</f>
        <v>95.39917968076297</v>
      </c>
      <c r="T113" s="25">
        <v>204.69380258397032</v>
      </c>
      <c r="U113" s="25">
        <v>35.857551461759215</v>
      </c>
      <c r="V113" s="29">
        <f>LOOKUP(D113,[1]Parámetros!$A$7:$A$24,[1]Parámetros!$B$7:$B$24)</f>
        <v>48.5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48.5</v>
      </c>
      <c r="AC113" s="32">
        <f>IFERROR($A114-LOOKUP($A114,$Z$14:$Z113),"")</f>
        <v>17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242.5</v>
      </c>
      <c r="D114" s="25">
        <f>+VLOOKUP(B114,[1]Balance_Gatún!$A$13:$E$5087,2)</f>
        <v>83.63317642179544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2.7027027027027026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5.2108969420253501</v>
      </c>
      <c r="P114" s="24">
        <f>+VLOOKUP(B114,[1]Balance_Madden!$A$12:$V$5087,12)/35.32</f>
        <v>1.4055881144243296</v>
      </c>
      <c r="Q114" s="25">
        <f>+VLOOKUP(B114,[1]Balance_Gatún!$A$13:$AD$5087,15)/35.32</f>
        <v>12.248469773844702</v>
      </c>
      <c r="R114" s="24">
        <f>+VLOOKUP(B114,[1]Balance_Madden!$A$12:$V$5087,14)/35.32</f>
        <v>22.153039983054001</v>
      </c>
      <c r="S114" s="26">
        <f>[1]Balance_Gatún!X113/35.32</f>
        <v>84.186594921233166</v>
      </c>
      <c r="T114" s="25">
        <v>47.734117403704545</v>
      </c>
      <c r="U114" s="25">
        <v>28.785252665853712</v>
      </c>
      <c r="V114" s="29">
        <f>LOOKUP(D114,[1]Parámetros!$A$7:$A$24,[1]Parámetros!$B$7:$B$24)</f>
        <v>48.5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48.5</v>
      </c>
      <c r="AC114" s="32">
        <f>IFERROR($A115-LOOKUP($A115,$Z$14:$Z114),"")</f>
        <v>18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242.518</v>
      </c>
      <c r="D115" s="25">
        <f>+VLOOKUP(B115,[1]Balance_Gatún!$A$13:$E$5087,2)</f>
        <v>83.595221885409899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2.7027027027027026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5.2049703887069256</v>
      </c>
      <c r="P115" s="24">
        <f>+VLOOKUP(B115,[1]Balance_Madden!$A$12:$V$5087,12)/35.32</f>
        <v>0.92505041017161904</v>
      </c>
      <c r="Q115" s="25">
        <f>+VLOOKUP(B115,[1]Balance_Gatún!$A$13:$AD$5087,15)/35.32</f>
        <v>8.0552088620640987</v>
      </c>
      <c r="R115" s="24">
        <f>+VLOOKUP(B115,[1]Balance_Madden!$A$12:$V$5087,14)/35.32</f>
        <v>21.672502278801289</v>
      </c>
      <c r="S115" s="26">
        <f>[1]Balance_Gatún!X114/35.32</f>
        <v>79.924755800470692</v>
      </c>
      <c r="T115" s="25">
        <v>37.875891094260012</v>
      </c>
      <c r="U115" s="25">
        <v>20.27148025772458</v>
      </c>
      <c r="V115" s="29">
        <f>LOOKUP(D115,[1]Parámetros!$A$7:$A$24,[1]Parámetros!$B$7:$B$24)</f>
        <v>48.5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48.5</v>
      </c>
      <c r="AC115" s="32">
        <f>IFERROR($A116-LOOKUP($A116,$Z$14:$Z115),"")</f>
        <v>19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242.55799999999999</v>
      </c>
      <c r="D116" s="25">
        <f>+VLOOKUP(B116,[1]Balance_Gatún!$A$13:$E$5087,2)</f>
        <v>83.573823325091226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2.7027027027027026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5.2016290303149297</v>
      </c>
      <c r="P116" s="24">
        <f>+VLOOKUP(B116,[1]Balance_Madden!$A$12:$V$5087,12)/35.32</f>
        <v>1.0632505183509207</v>
      </c>
      <c r="Q116" s="25">
        <f>+VLOOKUP(B116,[1]Balance_Gatún!$A$13:$AD$5087,15)/35.32</f>
        <v>9.2513562471556252</v>
      </c>
      <c r="R116" s="24">
        <f>+VLOOKUP(B116,[1]Balance_Madden!$A$12:$V$5087,14)/35.32</f>
        <v>21.810702386980591</v>
      </c>
      <c r="S116" s="26">
        <f>[1]Balance_Gatún!X115/35.32</f>
        <v>81.082239165890385</v>
      </c>
      <c r="T116" s="25">
        <v>46.651994581617785</v>
      </c>
      <c r="U116" s="25">
        <v>29.953333522022159</v>
      </c>
      <c r="V116" s="29">
        <f>LOOKUP(D116,[1]Parámetros!$A$7:$A$24,[1]Parámetros!$B$7:$B$24)</f>
        <v>48.5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48.5</v>
      </c>
      <c r="AC116" s="32">
        <f>IFERROR($A117-LOOKUP($A117,$Z$14:$Z116),"")</f>
        <v>20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242.57300000000001</v>
      </c>
      <c r="D117" s="25">
        <f>+VLOOKUP(B117,[1]Balance_Gatún!$A$13:$E$5087,2)</f>
        <v>83.540810789168063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2.7027027027027026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5.1964741641788352</v>
      </c>
      <c r="P117" s="24">
        <f>+VLOOKUP(B117,[1]Balance_Madden!$A$12:$V$5087,12)/35.32</f>
        <v>0.77246735565838209</v>
      </c>
      <c r="Q117" s="25">
        <f>+VLOOKUP(B117,[1]Balance_Gatún!$A$13:$AD$5087,15)/35.32</f>
        <v>6.7170996525804458</v>
      </c>
      <c r="R117" s="24">
        <f>+VLOOKUP(B117,[1]Balance_Madden!$A$12:$V$5087,14)/35.32</f>
        <v>21.519919224288049</v>
      </c>
      <c r="S117" s="26">
        <f>[1]Balance_Gatún!X116/35.32</f>
        <v>78.488333823019005</v>
      </c>
      <c r="T117" s="25">
        <v>58.55144899206865</v>
      </c>
      <c r="U117" s="25">
        <v>34.15898559240533</v>
      </c>
      <c r="V117" s="29">
        <f>LOOKUP(D117,[1]Parámetros!$A$7:$A$24,[1]Parámetros!$B$7:$B$24)</f>
        <v>48.5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48.5</v>
      </c>
      <c r="AC117" s="32">
        <f>IFERROR($A118-LOOKUP($A118,$Z$14:$Z117),"")</f>
        <v>21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242.64699999999999</v>
      </c>
      <c r="D118" s="25">
        <f>+VLOOKUP(B118,[1]Balance_Gatún!$A$13:$E$5087,2)</f>
        <v>83.549202417890626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2.7027027027027026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5.1977845064933215</v>
      </c>
      <c r="P118" s="24">
        <f>+VLOOKUP(B118,[1]Balance_Madden!$A$12:$V$5087,12)/35.32</f>
        <v>1.4434515654593176</v>
      </c>
      <c r="Q118" s="25">
        <f>+VLOOKUP(B118,[1]Balance_Gatún!$A$13:$AD$5087,15)/35.32</f>
        <v>12.541253414910827</v>
      </c>
      <c r="R118" s="24">
        <f>+VLOOKUP(B118,[1]Balance_Madden!$A$12:$V$5087,14)/35.32</f>
        <v>22.190903434088987</v>
      </c>
      <c r="S118" s="26">
        <f>[1]Balance_Gatún!X117/35.32</f>
        <v>84.327650011847993</v>
      </c>
      <c r="T118" s="25">
        <v>71.876754401139422</v>
      </c>
      <c r="U118" s="25">
        <v>126.47774129636791</v>
      </c>
      <c r="V118" s="29">
        <f>LOOKUP(D118,[1]Parámetros!$A$7:$A$24,[1]Parámetros!$B$7:$B$24)</f>
        <v>48.5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48.5</v>
      </c>
      <c r="AC118" s="32">
        <f>IFERROR($A119-LOOKUP($A119,$Z$14:$Z118),"")</f>
        <v>22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242.95699999999999</v>
      </c>
      <c r="D119" s="25">
        <f>+VLOOKUP(B119,[1]Balance_Gatún!$A$13:$E$5087,2)</f>
        <v>83.554907465973784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2.7027027027027026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5.1986753426059158</v>
      </c>
      <c r="P119" s="24">
        <f>+VLOOKUP(B119,[1]Balance_Madden!$A$12:$V$5087,12)/35.32</f>
        <v>2.623263263923763</v>
      </c>
      <c r="Q119" s="25">
        <f>+VLOOKUP(B119,[1]Balance_Gatún!$A$13:$AD$5087,15)/35.32</f>
        <v>22.703746035005203</v>
      </c>
      <c r="R119" s="24">
        <f>+VLOOKUP(B119,[1]Balance_Madden!$A$12:$V$5087,14)/35.32</f>
        <v>23.370715132553432</v>
      </c>
      <c r="S119" s="26">
        <f>[1]Balance_Gatún!X118/35.32</f>
        <v>94.500450806325645</v>
      </c>
      <c r="T119" s="25">
        <v>59.137939329785709</v>
      </c>
      <c r="U119" s="25">
        <v>51.371757915392124</v>
      </c>
      <c r="V119" s="29">
        <f>LOOKUP(D119,[1]Parámetros!$A$7:$A$24,[1]Parámetros!$B$7:$B$24)</f>
        <v>48.5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48.5</v>
      </c>
      <c r="AC119" s="32">
        <f>IFERROR($A120-LOOKUP($A120,$Z$14:$Z119),"")</f>
        <v>23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242.99100000000001</v>
      </c>
      <c r="D120" s="25">
        <f>+VLOOKUP(B120,[1]Balance_Gatún!$A$13:$E$5087,2)</f>
        <v>83.518572462774657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2.7027027027027026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5.1930016773660794</v>
      </c>
      <c r="P120" s="24">
        <f>+VLOOKUP(B120,[1]Balance_Madden!$A$12:$V$5087,12)/35.32</f>
        <v>0.79201149205066212</v>
      </c>
      <c r="Q120" s="25">
        <f>+VLOOKUP(B120,[1]Balance_Gatún!$A$13:$AD$5087,15)/35.32</f>
        <v>6.8485016059680026</v>
      </c>
      <c r="R120" s="24">
        <f>+VLOOKUP(B120,[1]Balance_Madden!$A$12:$V$5087,14)/35.32</f>
        <v>21.53946336068033</v>
      </c>
      <c r="S120" s="26">
        <f>[1]Balance_Gatún!X119/35.32</f>
        <v>78.579554424187606</v>
      </c>
      <c r="T120" s="25">
        <v>56.833445306837056</v>
      </c>
      <c r="U120" s="25">
        <v>31.990266633606449</v>
      </c>
      <c r="V120" s="29">
        <f>LOOKUP(D120,[1]Parámetros!$A$7:$A$24,[1]Parámetros!$B$7:$B$24)</f>
        <v>48.5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48.5</v>
      </c>
      <c r="AC120" s="32">
        <f>IFERROR($A121-LOOKUP($A121,$Z$14:$Z120),"")</f>
        <v>24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243.005</v>
      </c>
      <c r="D121" s="25">
        <f>+VLOOKUP(B121,[1]Balance_Gatún!$A$13:$E$5087,2)</f>
        <v>83.486682700392564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2.7027027027027026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5.1880221309121435</v>
      </c>
      <c r="P121" s="24">
        <f>+VLOOKUP(B121,[1]Balance_Madden!$A$12:$V$5087,12)/35.32</f>
        <v>1.1267536349630447</v>
      </c>
      <c r="Q121" s="25">
        <f>+VLOOKUP(B121,[1]Balance_Gatún!$A$13:$AD$5087,15)/35.32</f>
        <v>9.7372618624198015</v>
      </c>
      <c r="R121" s="24">
        <f>+VLOOKUP(B121,[1]Balance_Madden!$A$12:$V$5087,14)/35.32</f>
        <v>21.874205503592712</v>
      </c>
      <c r="S121" s="26">
        <f>[1]Balance_Gatún!X120/35.32</f>
        <v>81.410694617340326</v>
      </c>
      <c r="T121" s="25">
        <v>99.547395493714404</v>
      </c>
      <c r="U121" s="25">
        <v>73.72867094699798</v>
      </c>
      <c r="V121" s="29">
        <f>LOOKUP(D121,[1]Parámetros!$A$7:$A$24,[1]Parámetros!$B$7:$B$24)</f>
        <v>48</v>
      </c>
      <c r="W121" s="30" t="str">
        <f t="shared" si="7"/>
        <v>Cambio Calado</v>
      </c>
      <c r="X121" s="31">
        <f t="shared" si="8"/>
        <v>46311</v>
      </c>
      <c r="Y121" s="30">
        <f>IF($W121="Cambio Calado",COUNTIF($W$14:W121,"Cambio Calado"),"")</f>
        <v>6</v>
      </c>
      <c r="Z121" s="31">
        <f t="shared" si="9"/>
        <v>46311</v>
      </c>
      <c r="AA121" s="30">
        <f t="shared" si="10"/>
        <v>48</v>
      </c>
      <c r="AB121" s="29">
        <f>IFERROR(LOOKUP($A121,$Z$14:$Z121,$AA$14:$AA121),$U121)</f>
        <v>48</v>
      </c>
      <c r="AC121" s="32">
        <f>IFERROR($A122-LOOKUP($A122,$Z$14:$Z121),"")</f>
        <v>1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243.00200000000001</v>
      </c>
      <c r="D122" s="25">
        <f>+VLOOKUP(B122,[1]Balance_Gatún!$A$13:$E$5087,2)</f>
        <v>83.453322612713976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2.7027027027027026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5.1828129950047472</v>
      </c>
      <c r="P122" s="24">
        <f>+VLOOKUP(B122,[1]Balance_Madden!$A$12:$V$5087,12)/35.32</f>
        <v>2.4223474510866794</v>
      </c>
      <c r="Q122" s="25">
        <f>+VLOOKUP(B122,[1]Balance_Gatún!$A$13:$AD$5087,15)/35.32</f>
        <v>20.925397434433616</v>
      </c>
      <c r="R122" s="24">
        <f>+VLOOKUP(B122,[1]Balance_Madden!$A$12:$V$5087,14)/35.32</f>
        <v>23.169799319716351</v>
      </c>
      <c r="S122" s="26">
        <f>[1]Balance_Gatún!X121/35.32</f>
        <v>92.538553466665775</v>
      </c>
      <c r="T122" s="25">
        <v>75.515808974979151</v>
      </c>
      <c r="U122" s="25">
        <v>77.051664943345386</v>
      </c>
      <c r="V122" s="29">
        <f>LOOKUP(D122,[1]Parámetros!$A$7:$A$24,[1]Parámetros!$B$7:$B$24)</f>
        <v>48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48</v>
      </c>
      <c r="AC122" s="32">
        <f>IFERROR($A123-LOOKUP($A123,$Z$14:$Z122),"")</f>
        <v>2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243.113</v>
      </c>
      <c r="D123" s="25">
        <f>+VLOOKUP(B123,[1]Balance_Gatún!$A$13:$E$5087,2)</f>
        <v>83.421192828125456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2.7027027027027026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5.1777959693839071</v>
      </c>
      <c r="P123" s="24">
        <f>+VLOOKUP(B123,[1]Balance_Madden!$A$12:$V$5087,12)/35.32</f>
        <v>1.0309529454052919</v>
      </c>
      <c r="Q123" s="25">
        <f>+VLOOKUP(B123,[1]Balance_Gatún!$A$13:$AD$5087,15)/35.32</f>
        <v>8.8896117629543205</v>
      </c>
      <c r="R123" s="24">
        <f>+VLOOKUP(B123,[1]Balance_Madden!$A$12:$V$5087,14)/35.32</f>
        <v>21.778404814034964</v>
      </c>
      <c r="S123" s="26">
        <f>[1]Balance_Gatún!X122/35.32</f>
        <v>80.444714047416468</v>
      </c>
      <c r="T123" s="25">
        <v>60.474222055556616</v>
      </c>
      <c r="U123" s="25">
        <v>54.672552926518669</v>
      </c>
      <c r="V123" s="29">
        <f>LOOKUP(D123,[1]Parámetros!$A$7:$A$24,[1]Parámetros!$B$7:$B$24)</f>
        <v>48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48</v>
      </c>
      <c r="AC123" s="32">
        <f>IFERROR($A124-LOOKUP($A124,$Z$14:$Z123),"")</f>
        <v>3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243.173</v>
      </c>
      <c r="D124" s="25">
        <f>+VLOOKUP(B124,[1]Balance_Gatún!$A$13:$E$5087,2)</f>
        <v>83.395848163862127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2.7027027027027026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5.1738384318034605</v>
      </c>
      <c r="P124" s="24">
        <f>+VLOOKUP(B124,[1]Balance_Madden!$A$12:$V$5087,12)/35.32</f>
        <v>0.91947727990285288</v>
      </c>
      <c r="Q124" s="25">
        <f>+VLOOKUP(B124,[1]Balance_Gatún!$A$13:$AD$5087,15)/35.32</f>
        <v>7.9197504927335887</v>
      </c>
      <c r="R124" s="24">
        <f>+VLOOKUP(B124,[1]Balance_Madden!$A$12:$V$5087,14)/35.32</f>
        <v>21.666929148532525</v>
      </c>
      <c r="S124" s="26">
        <f>[1]Balance_Gatún!X123/35.32</f>
        <v>79.429058733902167</v>
      </c>
      <c r="T124" s="25">
        <v>45.903176419873461</v>
      </c>
      <c r="U124" s="25">
        <v>44.427563304352809</v>
      </c>
      <c r="V124" s="29">
        <f>LOOKUP(D124,[1]Parámetros!$A$7:$A$24,[1]Parámetros!$B$7:$B$24)</f>
        <v>48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48</v>
      </c>
      <c r="AC124" s="32">
        <f>IFERROR($A125-LOOKUP($A125,$Z$14:$Z124),"")</f>
        <v>4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243.208</v>
      </c>
      <c r="D125" s="25">
        <f>+VLOOKUP(B125,[1]Balance_Gatún!$A$13:$E$5087,2)</f>
        <v>83.365636049434983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2.7027027027027026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5.1691208479764326</v>
      </c>
      <c r="P125" s="24">
        <f>+VLOOKUP(B125,[1]Balance_Madden!$A$12:$V$5087,12)/35.32</f>
        <v>2.3032015139415796</v>
      </c>
      <c r="Q125" s="25">
        <f>+VLOOKUP(B125,[1]Balance_Gatún!$A$13:$AD$5087,15)/35.32</f>
        <v>19.821641975990843</v>
      </c>
      <c r="R125" s="24">
        <f>+VLOOKUP(B125,[1]Balance_Madden!$A$12:$V$5087,14)/35.32</f>
        <v>23.050653382571252</v>
      </c>
      <c r="S125" s="26">
        <f>[1]Balance_Gatún!X124/35.32</f>
        <v>91.276361414495028</v>
      </c>
      <c r="T125" s="25">
        <v>100.09624266776075</v>
      </c>
      <c r="U125" s="25">
        <v>69.10508592452905</v>
      </c>
      <c r="V125" s="29">
        <f>LOOKUP(D125,[1]Parámetros!$A$7:$A$24,[1]Parámetros!$B$7:$B$24)</f>
        <v>48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48</v>
      </c>
      <c r="AC125" s="32">
        <f>IFERROR($A126-LOOKUP($A126,$Z$14:$Z125),"")</f>
        <v>5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243.233</v>
      </c>
      <c r="D126" s="25">
        <f>+VLOOKUP(B126,[1]Balance_Gatún!$A$13:$E$5087,2)</f>
        <v>83.372074548420372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2.7027027027027026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5.1701262115287605</v>
      </c>
      <c r="P126" s="24">
        <f>+VLOOKUP(B126,[1]Balance_Madden!$A$12:$V$5087,12)/35.32</f>
        <v>1.0235115703560222</v>
      </c>
      <c r="Q126" s="25">
        <f>+VLOOKUP(B126,[1]Balance_Gatún!$A$13:$AD$5087,15)/35.32</f>
        <v>8.8064063675444562</v>
      </c>
      <c r="R126" s="24">
        <f>+VLOOKUP(B126,[1]Balance_Madden!$A$12:$V$5087,14)/35.32</f>
        <v>21.770963438985692</v>
      </c>
      <c r="S126" s="26">
        <f>[1]Balance_Gatún!X125/35.32</f>
        <v>80.272759217255782</v>
      </c>
      <c r="T126" s="25">
        <v>113.75105955066908</v>
      </c>
      <c r="U126" s="25">
        <v>97.620255058317312</v>
      </c>
      <c r="V126" s="29">
        <f>LOOKUP(D126,[1]Parámetros!$A$7:$A$24,[1]Parámetros!$B$7:$B$24)</f>
        <v>48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48</v>
      </c>
      <c r="AC126" s="32">
        <f>IFERROR($A127-LOOKUP($A127,$Z$14:$Z126),"")</f>
        <v>6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243.63499999999999</v>
      </c>
      <c r="D127" s="25">
        <f>+VLOOKUP(B127,[1]Balance_Gatún!$A$13:$E$5087,2)</f>
        <v>83.363659282166893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2.7027027027027026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5.1688121782434271</v>
      </c>
      <c r="P127" s="24">
        <f>+VLOOKUP(B127,[1]Balance_Madden!$A$12:$V$5087,12)/35.32</f>
        <v>1.3902070065579</v>
      </c>
      <c r="Q127" s="25">
        <f>+VLOOKUP(B127,[1]Balance_Gatún!$A$13:$AD$5087,15)/35.32</f>
        <v>11.899375031733729</v>
      </c>
      <c r="R127" s="24">
        <f>+VLOOKUP(B127,[1]Balance_Madden!$A$12:$V$5087,14)/35.32</f>
        <v>22.137658875187569</v>
      </c>
      <c r="S127" s="26">
        <f>[1]Balance_Gatún!X126/35.32</f>
        <v>83.350522745439534</v>
      </c>
      <c r="T127" s="25">
        <v>57.053931840383413</v>
      </c>
      <c r="U127" s="25">
        <v>58.894078501749277</v>
      </c>
      <c r="V127" s="29">
        <f>LOOKUP(D127,[1]Parámetros!$A$7:$A$24,[1]Parámetros!$B$7:$B$24)</f>
        <v>48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48</v>
      </c>
      <c r="AC127" s="32">
        <f>IFERROR($A128-LOOKUP($A128,$Z$14:$Z127),"")</f>
        <v>7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243.73</v>
      </c>
      <c r="D128" s="25">
        <f>+VLOOKUP(B128,[1]Balance_Gatún!$A$13:$E$5087,2)</f>
        <v>83.348399858154181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2.7027027027027026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5.1664294382963183</v>
      </c>
      <c r="P128" s="24">
        <f>+VLOOKUP(B128,[1]Balance_Madden!$A$12:$V$5087,12)/35.32</f>
        <v>1.323606005819713</v>
      </c>
      <c r="Q128" s="25">
        <f>+VLOOKUP(B128,[1]Balance_Gatún!$A$13:$AD$5087,15)/35.32</f>
        <v>11.313458314893067</v>
      </c>
      <c r="R128" s="24">
        <f>+VLOOKUP(B128,[1]Balance_Madden!$A$12:$V$5087,14)/35.32</f>
        <v>22.071057874449384</v>
      </c>
      <c r="S128" s="26">
        <f>[1]Balance_Gatún!X127/35.32</f>
        <v>82.737034516243725</v>
      </c>
      <c r="T128" s="25">
        <v>60.969628923458295</v>
      </c>
      <c r="U128" s="25">
        <v>43.867333741881502</v>
      </c>
      <c r="V128" s="29">
        <f>LOOKUP(D128,[1]Parámetros!$A$7:$A$24,[1]Parámetros!$B$7:$B$24)</f>
        <v>48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48</v>
      </c>
      <c r="AC128" s="32">
        <f>IFERROR($A129-LOOKUP($A129,$Z$14:$Z128),"")</f>
        <v>8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243.785</v>
      </c>
      <c r="D129" s="25">
        <f>+VLOOKUP(B129,[1]Balance_Gatún!$A$13:$E$5087,2)</f>
        <v>83.328082424111116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2.7027027027027026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5.1632568964181456</v>
      </c>
      <c r="P129" s="24">
        <f>+VLOOKUP(B129,[1]Balance_Madden!$A$12:$V$5087,12)/35.32</f>
        <v>2.0286677978165431</v>
      </c>
      <c r="Q129" s="25">
        <f>+VLOOKUP(B129,[1]Balance_Gatún!$A$13:$AD$5087,15)/35.32</f>
        <v>17.323322192620168</v>
      </c>
      <c r="R129" s="24">
        <f>+VLOOKUP(B129,[1]Balance_Madden!$A$12:$V$5087,14)/35.32</f>
        <v>22.776119666446213</v>
      </c>
      <c r="S129" s="26">
        <f>[1]Balance_Gatún!X128/35.32</f>
        <v>88.710187808874309</v>
      </c>
      <c r="T129" s="25">
        <v>51.39400126353123</v>
      </c>
      <c r="U129" s="25">
        <v>74.251272557746603</v>
      </c>
      <c r="V129" s="29">
        <f>LOOKUP(D129,[1]Parámetros!$A$7:$A$24,[1]Parámetros!$B$7:$B$24)</f>
        <v>48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48</v>
      </c>
      <c r="AC129" s="32">
        <f>IFERROR($A130-LOOKUP($A130,$Z$14:$Z129),"")</f>
        <v>9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244.16200000000001</v>
      </c>
      <c r="D130" s="25">
        <f>+VLOOKUP(B130,[1]Balance_Gatún!$A$13:$E$5087,2)</f>
        <v>83.353261234793067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2.7027027027027026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5.16718853616959</v>
      </c>
      <c r="P130" s="24">
        <f>+VLOOKUP(B130,[1]Balance_Madden!$A$12:$V$5087,12)/35.32</f>
        <v>0.71681494907530041</v>
      </c>
      <c r="Q130" s="25">
        <f>+VLOOKUP(B130,[1]Balance_Gatún!$A$13:$AD$5087,15)/35.32</f>
        <v>6.0939720153195296</v>
      </c>
      <c r="R130" s="24">
        <f>+VLOOKUP(B130,[1]Balance_Madden!$A$12:$V$5087,14)/35.32</f>
        <v>21.464266817704971</v>
      </c>
      <c r="S130" s="26">
        <f>[1]Balance_Gatún!X129/35.32</f>
        <v>77.52633200208372</v>
      </c>
      <c r="T130" s="25">
        <v>85.433425096942514</v>
      </c>
      <c r="U130" s="25">
        <v>72.800633080122722</v>
      </c>
      <c r="V130" s="29">
        <f>LOOKUP(D130,[1]Parámetros!$A$7:$A$24,[1]Parámetros!$B$7:$B$24)</f>
        <v>48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48</v>
      </c>
      <c r="AC130" s="32">
        <f>IFERROR($A131-LOOKUP($A131,$Z$14:$Z130),"")</f>
        <v>10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244.459</v>
      </c>
      <c r="D131" s="25">
        <f>+VLOOKUP(B131,[1]Balance_Gatún!$A$13:$E$5087,2)</f>
        <v>83.36017517945632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2.7027027027027026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5.1682681399690207</v>
      </c>
      <c r="P131" s="24">
        <f>+VLOOKUP(B131,[1]Balance_Madden!$A$12:$V$5087,12)/35.32</f>
        <v>0.66996850207871106</v>
      </c>
      <c r="Q131" s="25">
        <f>+VLOOKUP(B131,[1]Balance_Gatún!$A$13:$AD$5087,15)/35.32</f>
        <v>5.6749375010199063</v>
      </c>
      <c r="R131" s="24">
        <f>+VLOOKUP(B131,[1]Balance_Madden!$A$12:$V$5087,14)/35.32</f>
        <v>21.417420370708381</v>
      </c>
      <c r="S131" s="26">
        <f>[1]Balance_Gatún!X130/35.32</f>
        <v>77.119789958702199</v>
      </c>
      <c r="T131" s="25">
        <v>71.62648060046638</v>
      </c>
      <c r="U131" s="25">
        <v>46.148220617700396</v>
      </c>
      <c r="V131" s="29">
        <f>LOOKUP(D131,[1]Parámetros!$A$7:$A$24,[1]Parámetros!$B$7:$B$24)</f>
        <v>48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48</v>
      </c>
      <c r="AC131" s="32">
        <f>IFERROR($A132-LOOKUP($A132,$Z$14:$Z131),"")</f>
        <v>11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244.69499999999999</v>
      </c>
      <c r="D132" s="25">
        <f>+VLOOKUP(B132,[1]Balance_Gatún!$A$13:$E$5087,2)</f>
        <v>83.349343260136322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2.7027027027027026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5.166576749334217</v>
      </c>
      <c r="P132" s="24">
        <f>+VLOOKUP(B132,[1]Balance_Madden!$A$12:$V$5087,12)/35.32</f>
        <v>0.61357942815266608</v>
      </c>
      <c r="Q132" s="25">
        <f>+VLOOKUP(B132,[1]Balance_Gatún!$A$13:$AD$5087,15)/35.32</f>
        <v>5.1811643822363598</v>
      </c>
      <c r="R132" s="24">
        <f>+VLOOKUP(B132,[1]Balance_Madden!$A$12:$V$5087,14)/35.32</f>
        <v>21.361031296782336</v>
      </c>
      <c r="S132" s="26">
        <f>[1]Balance_Gatún!X131/35.32</f>
        <v>76.606445170823392</v>
      </c>
      <c r="T132" s="25">
        <v>43.717313470291721</v>
      </c>
      <c r="U132" s="25">
        <v>40.497187379686039</v>
      </c>
      <c r="V132" s="29">
        <f>LOOKUP(D132,[1]Parámetros!$A$7:$A$24,[1]Parámetros!$B$7:$B$24)</f>
        <v>48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48</v>
      </c>
      <c r="AC132" s="32">
        <f>IFERROR($A133-LOOKUP($A133,$Z$14:$Z132),"")</f>
        <v>12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244.893</v>
      </c>
      <c r="D133" s="25">
        <f>+VLOOKUP(B133,[1]Balance_Gatún!$A$13:$E$5087,2)</f>
        <v>83.33795963653354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2.7027027027027026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5.1647992107666667</v>
      </c>
      <c r="P133" s="24">
        <f>+VLOOKUP(B133,[1]Balance_Madden!$A$12:$V$5087,12)/35.32</f>
        <v>1.266405672771483</v>
      </c>
      <c r="Q133" s="25">
        <f>+VLOOKUP(B133,[1]Balance_Gatún!$A$13:$AD$5087,15)/35.32</f>
        <v>10.665603899320141</v>
      </c>
      <c r="R133" s="24">
        <f>+VLOOKUP(B133,[1]Balance_Madden!$A$12:$V$5087,14)/35.32</f>
        <v>22.013857541401151</v>
      </c>
      <c r="S133" s="26">
        <f>[1]Balance_Gatún!X132/35.32</f>
        <v>82.070316171130344</v>
      </c>
      <c r="T133" s="25">
        <v>94.845521073450229</v>
      </c>
      <c r="U133" s="25">
        <v>44.838127189272456</v>
      </c>
      <c r="V133" s="29">
        <f>LOOKUP(D133,[1]Parámetros!$A$7:$A$24,[1]Parámetros!$B$7:$B$24)</f>
        <v>48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48</v>
      </c>
      <c r="AC133" s="32">
        <f>IFERROR($A134-LOOKUP($A134,$Z$14:$Z133),"")</f>
        <v>13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245.065</v>
      </c>
      <c r="D134" s="25">
        <f>+VLOOKUP(B134,[1]Balance_Gatún!$A$13:$E$5087,2)</f>
        <v>83.318102400602072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2.7027027027027026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5.1616985282472196</v>
      </c>
      <c r="P134" s="24">
        <f>+VLOOKUP(B134,[1]Balance_Madden!$A$12:$V$5087,12)/35.32</f>
        <v>1.162905672901243</v>
      </c>
      <c r="Q134" s="25">
        <f>+VLOOKUP(B134,[1]Balance_Gatún!$A$13:$AD$5087,15)/35.32</f>
        <v>9.7703138165778487</v>
      </c>
      <c r="R134" s="24">
        <f>+VLOOKUP(B134,[1]Balance_Madden!$A$12:$V$5087,14)/35.32</f>
        <v>21.910357541530914</v>
      </c>
      <c r="S134" s="26">
        <f>[1]Balance_Gatún!X133/35.32</f>
        <v>81.139147012915288</v>
      </c>
      <c r="T134" s="25">
        <v>85.908200429490464</v>
      </c>
      <c r="U134" s="25">
        <v>40.291184593691185</v>
      </c>
      <c r="V134" s="29">
        <f>LOOKUP(D134,[1]Parámetros!$A$7:$A$24,[1]Parámetros!$B$7:$B$24)</f>
        <v>48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48</v>
      </c>
      <c r="AC134" s="32">
        <f>IFERROR($A135-LOOKUP($A135,$Z$14:$Z134),"")</f>
        <v>14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245.214</v>
      </c>
      <c r="D135" s="25">
        <f>+VLOOKUP(B135,[1]Balance_Gatún!$A$13:$E$5087,2)</f>
        <v>83.298178558938687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2.7027027027027026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5.1585874453261571</v>
      </c>
      <c r="P135" s="24">
        <f>+VLOOKUP(B135,[1]Balance_Madden!$A$12:$V$5087,12)/35.32</f>
        <v>0.92750008149513086</v>
      </c>
      <c r="Q135" s="25">
        <f>+VLOOKUP(B135,[1]Balance_Gatún!$A$13:$AD$5087,15)/35.32</f>
        <v>7.7759812775902768</v>
      </c>
      <c r="R135" s="24">
        <f>+VLOOKUP(B135,[1]Balance_Madden!$A$12:$V$5087,14)/35.32</f>
        <v>21.6749519501248</v>
      </c>
      <c r="S135" s="26">
        <f>[1]Balance_Gatún!X134/35.32</f>
        <v>79.108815051791879</v>
      </c>
      <c r="T135" s="25">
        <v>40.034455211041333</v>
      </c>
      <c r="U135" s="25">
        <v>39.557654685497894</v>
      </c>
      <c r="V135" s="29">
        <f>LOOKUP(D135,[1]Parámetros!$A$7:$A$24,[1]Parámetros!$B$7:$B$24)</f>
        <v>48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48</v>
      </c>
      <c r="AC135" s="32">
        <f>IFERROR($A136-LOOKUP($A136,$Z$14:$Z135),"")</f>
        <v>15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245.35</v>
      </c>
      <c r="D136" s="25">
        <f>+VLOOKUP(B136,[1]Balance_Gatún!$A$13:$E$5087,2)</f>
        <v>83.277046212046869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2.7027027027027026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5.1552876558273306</v>
      </c>
      <c r="P136" s="24">
        <f>+VLOOKUP(B136,[1]Balance_Madden!$A$12:$V$5087,12)/35.32</f>
        <v>1.5043527908656003</v>
      </c>
      <c r="Q136" s="25">
        <f>+VLOOKUP(B136,[1]Balance_Gatún!$A$13:$AD$5087,15)/35.32</f>
        <v>12.587306963890606</v>
      </c>
      <c r="R136" s="24">
        <f>+VLOOKUP(B136,[1]Balance_Madden!$A$12:$V$5087,14)/35.32</f>
        <v>22.251804659495271</v>
      </c>
      <c r="S136" s="26">
        <f>[1]Balance_Gatún!X135/35.32</f>
        <v>83.881957726535845</v>
      </c>
      <c r="T136" s="25">
        <v>154.68412596180875</v>
      </c>
      <c r="U136" s="25">
        <v>56.949022130690039</v>
      </c>
      <c r="V136" s="29">
        <f>LOOKUP(D136,[1]Parámetros!$A$7:$A$24,[1]Parámetros!$B$7:$B$24)</f>
        <v>48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48</v>
      </c>
      <c r="AC136" s="32">
        <f>IFERROR($A137-LOOKUP($A137,$Z$14:$Z136),"")</f>
        <v>16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245.441</v>
      </c>
      <c r="D137" s="25">
        <f>+VLOOKUP(B137,[1]Balance_Gatún!$A$13:$E$5087,2)</f>
        <v>83.257156142953235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2.7027027027027026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5.1521818464507341</v>
      </c>
      <c r="P137" s="24">
        <f>+VLOOKUP(B137,[1]Balance_Madden!$A$12:$V$5087,12)/35.32</f>
        <v>1.4795768916825764</v>
      </c>
      <c r="Q137" s="25">
        <f>+VLOOKUP(B137,[1]Balance_Gatún!$A$13:$AD$5087,15)/35.32</f>
        <v>12.362733529705112</v>
      </c>
      <c r="R137" s="24">
        <f>+VLOOKUP(B137,[1]Balance_Madden!$A$12:$V$5087,14)/35.32</f>
        <v>22.227028760312248</v>
      </c>
      <c r="S137" s="26">
        <f>[1]Balance_Gatún!X136/35.32</f>
        <v>83.621445892231023</v>
      </c>
      <c r="T137" s="25">
        <v>134.47879779015221</v>
      </c>
      <c r="U137" s="25">
        <v>45.026535618167458</v>
      </c>
      <c r="V137" s="29">
        <f>LOOKUP(D137,[1]Parámetros!$A$7:$A$24,[1]Parámetros!$B$7:$B$24)</f>
        <v>48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48</v>
      </c>
      <c r="AC137" s="32">
        <f>IFERROR($A138-LOOKUP($A138,$Z$14:$Z137),"")</f>
        <v>17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245.70400000000001</v>
      </c>
      <c r="D138" s="25">
        <f>+VLOOKUP(B138,[1]Balance_Gatún!$A$13:$E$5087,2)</f>
        <v>83.243755173273144</v>
      </c>
      <c r="E138" s="24">
        <f>+VLOOKUP(B138,[1]Balance_Madden!$A$12:$E$5087,5)/35.32</f>
        <v>112.39493204983013</v>
      </c>
      <c r="F138" s="26">
        <f>+VLOOKUP(B138,[1]Balance_Gatún!$A$13:$E$5087,5)/35.32</f>
        <v>84.937712344280854</v>
      </c>
      <c r="G138" s="24">
        <f>+VLOOKUP(B138,[1]Balance_Madden!$A$12:$K$5087,9)/111</f>
        <v>2.7027027027027026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5.1500893018199454</v>
      </c>
      <c r="P138" s="24">
        <f>+VLOOKUP(B138,[1]Balance_Madden!$A$12:$V$5087,12)/35.32</f>
        <v>1.2885750243888165</v>
      </c>
      <c r="Q138" s="25">
        <f>+VLOOKUP(B138,[1]Balance_Gatún!$A$13:$AD$5087,15)/35.32</f>
        <v>10.729625489768853</v>
      </c>
      <c r="R138" s="24">
        <f>+VLOOKUP(B138,[1]Balance_Madden!$A$12:$V$5087,14)/35.32</f>
        <v>22.036026893018487</v>
      </c>
      <c r="S138" s="26">
        <f>[1]Balance_Gatún!X137/35.32</f>
        <v>81.964124290839393</v>
      </c>
      <c r="T138" s="25">
        <v>147.32603309026803</v>
      </c>
      <c r="U138" s="25">
        <v>108.19965762334256</v>
      </c>
      <c r="V138" s="29">
        <f>LOOKUP(D138,[1]Parámetros!$A$7:$A$24,[1]Parámetros!$B$7:$B$24)</f>
        <v>48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48</v>
      </c>
      <c r="AC138" s="32">
        <f>IFERROR($A139-LOOKUP($A139,$Z$14:$Z138),"")</f>
        <v>18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246.26900000000001</v>
      </c>
      <c r="D139" s="25">
        <f>+VLOOKUP(B139,[1]Balance_Gatún!$A$13:$E$5087,2)</f>
        <v>83.251609238205688</v>
      </c>
      <c r="E139" s="24">
        <f>+VLOOKUP(B139,[1]Balance_Madden!$A$12:$E$5087,5)/35.32</f>
        <v>57.508805209513021</v>
      </c>
      <c r="F139" s="26">
        <f>+VLOOKUP(B139,[1]Balance_Gatún!$A$13:$E$5087,5)/35.32</f>
        <v>56.625141562853905</v>
      </c>
      <c r="G139" s="24">
        <f>+VLOOKUP(B139,[1]Balance_Madden!$A$12:$K$5087,9)/111</f>
        <v>2.7027027027027026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5.1513157042219202</v>
      </c>
      <c r="P139" s="24">
        <f>+VLOOKUP(B139,[1]Balance_Madden!$A$12:$V$5087,12)/35.32</f>
        <v>1.7857320425285788</v>
      </c>
      <c r="Q139" s="25">
        <f>+VLOOKUP(B139,[1]Balance_Gatún!$A$13:$AD$5087,15)/35.32</f>
        <v>14.766556202301622</v>
      </c>
      <c r="R139" s="24">
        <f>+VLOOKUP(B139,[1]Balance_Madden!$A$12:$V$5087,14)/35.32</f>
        <v>22.533183911158247</v>
      </c>
      <c r="S139" s="26">
        <f>[1]Balance_Gatún!X138/35.32</f>
        <v>86.015246131959003</v>
      </c>
      <c r="T139" s="25">
        <v>153.71348700386881</v>
      </c>
      <c r="U139" s="25">
        <v>72.267083988264702</v>
      </c>
      <c r="V139" s="29">
        <f>LOOKUP(D139,[1]Parámetros!$A$7:$A$24,[1]Parámetros!$B$7:$B$24)</f>
        <v>48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48</v>
      </c>
      <c r="AC139" s="32">
        <f>IFERROR($A140-LOOKUP($A140,$Z$14:$Z139),"")</f>
        <v>19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246.48699999999999</v>
      </c>
      <c r="D140" s="25">
        <f>+VLOOKUP(B140,[1]Balance_Gatún!$A$13:$E$5087,2)</f>
        <v>83.237296622451524</v>
      </c>
      <c r="E140" s="24">
        <f>+VLOOKUP(B140,[1]Balance_Madden!$A$12:$E$5087,5)/35.32</f>
        <v>46.483125707814274</v>
      </c>
      <c r="F140" s="26">
        <f>+VLOOKUP(B140,[1]Balance_Gatún!$A$13:$E$5087,5)/35.32</f>
        <v>113.25028312570781</v>
      </c>
      <c r="G140" s="24">
        <f>+VLOOKUP(B140,[1]Balance_Madden!$A$12:$K$5087,9)/111</f>
        <v>2.7027027027027026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5.1490808071985033</v>
      </c>
      <c r="P140" s="24">
        <f>+VLOOKUP(B140,[1]Balance_Madden!$A$12:$V$5087,12)/35.32</f>
        <v>2.1789351799916976</v>
      </c>
      <c r="Q140" s="25">
        <f>+VLOOKUP(B140,[1]Balance_Gatún!$A$13:$AD$5087,15)/35.32</f>
        <v>17.965973174020867</v>
      </c>
      <c r="R140" s="24">
        <f>+VLOOKUP(B140,[1]Balance_Madden!$A$12:$V$5087,14)/35.32</f>
        <v>22.926387048621368</v>
      </c>
      <c r="S140" s="26">
        <f>[1]Balance_Gatún!X139/35.32</f>
        <v>89.188802333194943</v>
      </c>
      <c r="T140" s="25">
        <v>92.294960472008114</v>
      </c>
      <c r="U140" s="25">
        <v>47.76335913785843</v>
      </c>
      <c r="V140" s="29">
        <f>LOOKUP(D140,[1]Parámetros!$A$7:$A$24,[1]Parámetros!$B$7:$B$24)</f>
        <v>48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48</v>
      </c>
      <c r="AC140" s="32">
        <f>IFERROR($A141-LOOKUP($A141,$Z$14:$Z140),"")</f>
        <v>20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246.63399999999999</v>
      </c>
      <c r="D141" s="25">
        <f>+VLOOKUP(B141,[1]Balance_Gatún!$A$13:$E$5087,2)</f>
        <v>83.259593698271686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2.7027027027027026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5.1525624676606645</v>
      </c>
      <c r="P141" s="24">
        <f>+VLOOKUP(B141,[1]Balance_Madden!$A$12:$V$5087,12)/35.32</f>
        <v>1.0502120822351586</v>
      </c>
      <c r="Q141" s="25">
        <f>+VLOOKUP(B141,[1]Balance_Gatún!$A$13:$AD$5087,15)/35.32</f>
        <v>8.6460343414156178</v>
      </c>
      <c r="R141" s="24">
        <f>+VLOOKUP(B141,[1]Balance_Madden!$A$12:$V$5087,14)/35.32</f>
        <v>21.797663950864827</v>
      </c>
      <c r="S141" s="26">
        <f>[1]Balance_Gatún!X140/35.32</f>
        <v>79.909151004295381</v>
      </c>
      <c r="T141" s="25">
        <v>72.899853934388091</v>
      </c>
      <c r="U141" s="25">
        <v>38.617409553917199</v>
      </c>
      <c r="V141" s="29">
        <f>LOOKUP(D141,[1]Parámetros!$A$7:$A$24,[1]Parámetros!$B$7:$B$24)</f>
        <v>48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48</v>
      </c>
      <c r="AC141" s="32">
        <f>IFERROR($A142-LOOKUP($A142,$Z$14:$Z141),"")</f>
        <v>21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246.851</v>
      </c>
      <c r="D142" s="25">
        <f>+VLOOKUP(B142,[1]Balance_Gatún!$A$13:$E$5087,2)</f>
        <v>83.242980052819831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2.7027027027027026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5.1499682677320013</v>
      </c>
      <c r="P142" s="24">
        <f>+VLOOKUP(B142,[1]Balance_Madden!$A$12:$V$5087,12)/35.32</f>
        <v>1.8492107991720186</v>
      </c>
      <c r="Q142" s="25">
        <f>+VLOOKUP(B142,[1]Balance_Gatún!$A$13:$AD$5087,15)/35.32</f>
        <v>15.179773485689285</v>
      </c>
      <c r="R142" s="24">
        <f>+VLOOKUP(B142,[1]Balance_Madden!$A$12:$V$5087,14)/35.32</f>
        <v>22.596662667801688</v>
      </c>
      <c r="S142" s="26">
        <f>[1]Balance_Gatún!X141/35.32</f>
        <v>86.412871759247295</v>
      </c>
      <c r="T142" s="25">
        <v>55.520688700808741</v>
      </c>
      <c r="U142" s="25">
        <v>34.356003309927182</v>
      </c>
      <c r="V142" s="29">
        <f>LOOKUP(D142,[1]Parámetros!$A$7:$A$24,[1]Parámetros!$B$7:$B$24)</f>
        <v>48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48</v>
      </c>
      <c r="AC142" s="32">
        <f>IFERROR($A143-LOOKUP($A143,$Z$14:$Z142),"")</f>
        <v>22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246.97</v>
      </c>
      <c r="D143" s="25">
        <f>+VLOOKUP(B143,[1]Balance_Gatún!$A$13:$E$5087,2)</f>
        <v>83.210951240714067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2.7027027027027026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5.1449670088378756</v>
      </c>
      <c r="P143" s="24">
        <f>+VLOOKUP(B143,[1]Balance_Madden!$A$12:$V$5087,12)/35.32</f>
        <v>1.7852129845300218</v>
      </c>
      <c r="Q143" s="25">
        <f>+VLOOKUP(B143,[1]Balance_Gatún!$A$13:$AD$5087,15)/35.32</f>
        <v>14.626792011895132</v>
      </c>
      <c r="R143" s="24">
        <f>+VLOOKUP(B143,[1]Balance_Madden!$A$12:$V$5087,14)/35.32</f>
        <v>22.532664853159691</v>
      </c>
      <c r="S143" s="26">
        <f>[1]Balance_Gatún!X142/35.32</f>
        <v>85.802018979959669</v>
      </c>
      <c r="T143" s="25">
        <v>84.332708855904201</v>
      </c>
      <c r="U143" s="25">
        <v>34.304646299100277</v>
      </c>
      <c r="V143" s="29">
        <f>LOOKUP(D143,[1]Parámetros!$A$7:$A$24,[1]Parámetros!$B$7:$B$24)</f>
        <v>48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48</v>
      </c>
      <c r="AC143" s="32">
        <f>IFERROR($A144-LOOKUP($A144,$Z$14:$Z143),"")</f>
        <v>23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247.13499999999999</v>
      </c>
      <c r="D144" s="25">
        <f>+VLOOKUP(B144,[1]Balance_Gatún!$A$13:$E$5087,2)</f>
        <v>83.195432810138612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2.7027027027027026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5.1425438253404021</v>
      </c>
      <c r="P144" s="24">
        <f>+VLOOKUP(B144,[1]Balance_Madden!$A$12:$V$5087,12)/35.32</f>
        <v>1.1675456332776915</v>
      </c>
      <c r="Q144" s="25">
        <f>+VLOOKUP(B144,[1]Balance_Gatún!$A$13:$AD$5087,15)/35.32</f>
        <v>9.5446420403216141</v>
      </c>
      <c r="R144" s="24">
        <f>+VLOOKUP(B144,[1]Balance_Madden!$A$12:$V$5087,14)/35.32</f>
        <v>21.914997501907362</v>
      </c>
      <c r="S144" s="26">
        <f>[1]Balance_Gatún!X143/35.32</f>
        <v>80.691829509648414</v>
      </c>
      <c r="T144" s="25">
        <v>78.910895454299464</v>
      </c>
      <c r="U144" s="25">
        <v>35.218633636930932</v>
      </c>
      <c r="V144" s="29">
        <f>LOOKUP(D144,[1]Parámetros!$A$7:$A$24,[1]Parámetros!$B$7:$B$24)</f>
        <v>48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48</v>
      </c>
      <c r="AC144" s="32">
        <f>IFERROR($A145-LOOKUP($A145,$Z$14:$Z144),"")</f>
        <v>24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247.26300000000001</v>
      </c>
      <c r="D145" s="25">
        <f>+VLOOKUP(B145,[1]Balance_Gatún!$A$13:$E$5087,2)</f>
        <v>83.167148485795764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2.7027027027027026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5.138127263520472</v>
      </c>
      <c r="P145" s="24">
        <f>+VLOOKUP(B145,[1]Balance_Madden!$A$12:$V$5087,12)/35.32</f>
        <v>0.76361073906871491</v>
      </c>
      <c r="Q145" s="25">
        <f>+VLOOKUP(B145,[1]Balance_Gatún!$A$13:$AD$5087,15)/35.32</f>
        <v>6.2303432521305266</v>
      </c>
      <c r="R145" s="24">
        <f>+VLOOKUP(B145,[1]Balance_Madden!$A$12:$V$5087,14)/35.32</f>
        <v>21.511062607698385</v>
      </c>
      <c r="S145" s="26">
        <f>[1]Balance_Gatún!X144/35.32</f>
        <v>77.326425149095897</v>
      </c>
      <c r="T145" s="25">
        <v>153.39546408649119</v>
      </c>
      <c r="U145" s="25">
        <v>82.483574882405946</v>
      </c>
      <c r="V145" s="29">
        <f>LOOKUP(D145,[1]Parámetros!$A$7:$A$24,[1]Parámetros!$B$7:$B$24)</f>
        <v>48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48</v>
      </c>
      <c r="AC145" s="32">
        <f>IFERROR($A146-LOOKUP($A146,$Z$14:$Z145),"")</f>
        <v>25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247.49</v>
      </c>
      <c r="D146" s="25">
        <f>+VLOOKUP(B146,[1]Balance_Gatún!$A$13:$E$5087,2)</f>
        <v>83.200763167611427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2.7027027027027026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5.1433761539834917</v>
      </c>
      <c r="P146" s="24">
        <f>+VLOOKUP(B146,[1]Balance_Madden!$A$12:$V$5087,12)/35.32</f>
        <v>1.3499110390360398</v>
      </c>
      <c r="Q146" s="25">
        <f>+VLOOKUP(B146,[1]Balance_Gatún!$A$13:$AD$5087,15)/35.32</f>
        <v>10.987992451726024</v>
      </c>
      <c r="R146" s="24">
        <f>+VLOOKUP(B146,[1]Balance_Madden!$A$12:$V$5087,14)/35.32</f>
        <v>22.097362907665708</v>
      </c>
      <c r="S146" s="26">
        <f>[1]Balance_Gatún!X145/35.32</f>
        <v>82.144811085164676</v>
      </c>
      <c r="T146" s="25">
        <v>152.94291907956011</v>
      </c>
      <c r="U146" s="25">
        <v>111.94700860128678</v>
      </c>
      <c r="V146" s="29">
        <f>LOOKUP(D146,[1]Parámetros!$A$7:$A$24,[1]Parámetros!$B$7:$B$24)</f>
        <v>48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48</v>
      </c>
      <c r="AC146" s="32">
        <f>IFERROR($A147-LOOKUP($A147,$Z$14:$Z146),"")</f>
        <v>26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248.119</v>
      </c>
      <c r="D147" s="25">
        <f>+VLOOKUP(B147,[1]Balance_Gatún!$A$13:$E$5087,2)</f>
        <v>83.233013159490014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2.7027027027027026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5.1484119498221164</v>
      </c>
      <c r="P147" s="24">
        <f>+VLOOKUP(B147,[1]Balance_Madden!$A$12:$V$5087,12)/35.32</f>
        <v>0.62570975661484951</v>
      </c>
      <c r="Q147" s="25">
        <f>+VLOOKUP(B147,[1]Balance_Gatún!$A$13:$AD$5087,15)/35.32</f>
        <v>5.0560111952056239</v>
      </c>
      <c r="R147" s="24">
        <f>+VLOOKUP(B147,[1]Balance_Madden!$A$12:$V$5087,14)/35.32</f>
        <v>21.373161625244521</v>
      </c>
      <c r="S147" s="26">
        <f>[1]Balance_Gatún!X146/35.32</f>
        <v>76.271100773130286</v>
      </c>
      <c r="T147" s="25">
        <v>140.08128447965612</v>
      </c>
      <c r="U147" s="25">
        <v>58.677014706942437</v>
      </c>
      <c r="V147" s="29">
        <f>LOOKUP(D147,[1]Parámetros!$A$7:$A$24,[1]Parámetros!$B$7:$B$24)</f>
        <v>48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48</v>
      </c>
      <c r="AC147" s="32">
        <f>IFERROR($A148-LOOKUP($A148,$Z$14:$Z147),"")</f>
        <v>27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248.3</v>
      </c>
      <c r="D148" s="25">
        <f>+VLOOKUP(B148,[1]Balance_Gatún!$A$13:$E$5087,2)</f>
        <v>83.216551137520597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2.7027027027027026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5.1458414257103273</v>
      </c>
      <c r="P148" s="24">
        <f>+VLOOKUP(B148,[1]Balance_Madden!$A$12:$V$5087,12)/35.32</f>
        <v>1.334963498652139</v>
      </c>
      <c r="Q148" s="25">
        <f>+VLOOKUP(B148,[1]Balance_Gatún!$A$13:$AD$5087,15)/35.32</f>
        <v>10.760879224432772</v>
      </c>
      <c r="R148" s="24">
        <f>+VLOOKUP(B148,[1]Balance_Madden!$A$12:$V$5087,14)/35.32</f>
        <v>22.082415367281808</v>
      </c>
      <c r="S148" s="26">
        <f>[1]Balance_Gatún!X147/35.32</f>
        <v>81.946224374144293</v>
      </c>
      <c r="T148" s="25">
        <v>124.55919011001114</v>
      </c>
      <c r="U148" s="25">
        <v>53.627908606119263</v>
      </c>
      <c r="V148" s="29">
        <f>LOOKUP(D148,[1]Parámetros!$A$7:$A$24,[1]Parámetros!$B$7:$B$24)</f>
        <v>48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48</v>
      </c>
      <c r="AC148" s="32">
        <f>IFERROR($A149-LOOKUP($A149,$Z$14:$Z148),"")</f>
        <v>28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248.42099999999999</v>
      </c>
      <c r="D149" s="25">
        <f>+VLOOKUP(B149,[1]Balance_Gatún!$A$13:$E$5087,2)</f>
        <v>83.186568932111669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2.7027027027027026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5.1411597418885302</v>
      </c>
      <c r="P149" s="24">
        <f>+VLOOKUP(B149,[1]Balance_Madden!$A$12:$V$5087,12)/35.32</f>
        <v>0.9510554151199192</v>
      </c>
      <c r="Q149" s="25">
        <f>+VLOOKUP(B149,[1]Balance_Gatún!$A$13:$AD$5087,15)/35.32</f>
        <v>7.6519399706147953</v>
      </c>
      <c r="R149" s="24">
        <f>+VLOOKUP(B149,[1]Balance_Madden!$A$12:$V$5087,14)/35.32</f>
        <v>21.698507283749588</v>
      </c>
      <c r="S149" s="26">
        <f>[1]Balance_Gatún!X148/35.32</f>
        <v>78.783111729104093</v>
      </c>
      <c r="T149" s="25">
        <v>167.78704151538648</v>
      </c>
      <c r="U149" s="25">
        <v>64.978511709950041</v>
      </c>
      <c r="V149" s="29">
        <f>LOOKUP(D149,[1]Parámetros!$A$7:$A$24,[1]Parámetros!$B$7:$B$24)</f>
        <v>48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48</v>
      </c>
      <c r="AC149" s="32">
        <f>IFERROR($A150-LOOKUP($A150,$Z$14:$Z149),"")</f>
        <v>29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248.52099999999999</v>
      </c>
      <c r="D150" s="25">
        <f>+VLOOKUP(B150,[1]Balance_Gatún!$A$13:$E$5087,2)</f>
        <v>83.159460017611067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2.7027027027027026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5.1369267188432621</v>
      </c>
      <c r="P150" s="24">
        <f>+VLOOKUP(B150,[1]Balance_Madden!$A$12:$V$5087,12)/35.32</f>
        <v>1.9797469027615562</v>
      </c>
      <c r="Q150" s="25">
        <f>+VLOOKUP(B150,[1]Balance_Gatún!$A$13:$AD$5087,15)/35.32</f>
        <v>15.903438422694499</v>
      </c>
      <c r="R150" s="24">
        <f>+VLOOKUP(B150,[1]Balance_Madden!$A$12:$V$5087,14)/35.32</f>
        <v>22.727198771391226</v>
      </c>
      <c r="S150" s="26">
        <f>[1]Balance_Gatún!X149/35.32</f>
        <v>86.985628399796454</v>
      </c>
      <c r="T150" s="25">
        <v>154.85647474870919</v>
      </c>
      <c r="U150" s="25">
        <v>97.549360827433318</v>
      </c>
      <c r="V150" s="29">
        <f>LOOKUP(D150,[1]Parámetros!$A$7:$A$24,[1]Parámetros!$B$7:$B$24)</f>
        <v>48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48</v>
      </c>
      <c r="AC150" s="32">
        <f>IFERROR($A151-LOOKUP($A151,$Z$14:$Z150),"")</f>
        <v>30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248.67699999999999</v>
      </c>
      <c r="D151" s="25">
        <f>+VLOOKUP(B151,[1]Balance_Gatún!$A$13:$E$5087,2)</f>
        <v>83.14364903393286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2.7027027027027026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5.1344578535452179</v>
      </c>
      <c r="P151" s="24">
        <f>+VLOOKUP(B151,[1]Balance_Madden!$A$12:$V$5087,12)/35.32</f>
        <v>1.0341094099268506</v>
      </c>
      <c r="Q151" s="25">
        <f>+VLOOKUP(B151,[1]Balance_Gatún!$A$13:$AD$5087,15)/35.32</f>
        <v>8.2895331130555761</v>
      </c>
      <c r="R151" s="24">
        <f>+VLOOKUP(B151,[1]Balance_Madden!$A$12:$V$5087,14)/35.32</f>
        <v>21.78156127855652</v>
      </c>
      <c r="S151" s="26">
        <f>[1]Balance_Gatún!X150/35.32</f>
        <v>79.343154991422807</v>
      </c>
      <c r="T151" s="25">
        <v>117.41187734968231</v>
      </c>
      <c r="U151" s="25">
        <v>78.865884490565705</v>
      </c>
      <c r="V151" s="29">
        <f>LOOKUP(D151,[1]Parámetros!$A$7:$A$24,[1]Parámetros!$B$7:$B$24)</f>
        <v>48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48</v>
      </c>
      <c r="AC151" s="32">
        <f>IFERROR($A152-LOOKUP($A152,$Z$14:$Z151),"")</f>
        <v>31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248.77099999999999</v>
      </c>
      <c r="D152" s="25">
        <f>+VLOOKUP(B152,[1]Balance_Gatún!$A$13:$E$5087,2)</f>
        <v>83.130573735145617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2.7027027027027026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5.132416162016443</v>
      </c>
      <c r="P152" s="24">
        <f>+VLOOKUP(B152,[1]Balance_Madden!$A$12:$V$5087,12)/35.32</f>
        <v>0.97887440984338148</v>
      </c>
      <c r="Q152" s="25">
        <f>+VLOOKUP(B152,[1]Balance_Gatún!$A$13:$AD$5087,15)/35.32</f>
        <v>7.8364245779917114</v>
      </c>
      <c r="R152" s="24">
        <f>+VLOOKUP(B152,[1]Balance_Madden!$A$12:$V$5087,14)/35.32</f>
        <v>21.726326278473049</v>
      </c>
      <c r="S152" s="26">
        <f>[1]Balance_Gatún!X151/35.32</f>
        <v>78.866421333827503</v>
      </c>
      <c r="T152" s="25">
        <v>97.898686443334014</v>
      </c>
      <c r="U152" s="25">
        <v>48.963583846072609</v>
      </c>
      <c r="V152" s="29">
        <f>LOOKUP(D152,[1]Parámetros!$A$7:$A$24,[1]Parámetros!$B$7:$B$24)</f>
        <v>48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48</v>
      </c>
      <c r="AC152" s="32">
        <f>IFERROR($A153-LOOKUP($A153,$Z$14:$Z152),"")</f>
        <v>32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248.83699999999999</v>
      </c>
      <c r="D153" s="25">
        <f>+VLOOKUP(B153,[1]Balance_Gatún!$A$13:$E$5087,2)</f>
        <v>83.108363990939438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2.7027027027027026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5.1289481382764226</v>
      </c>
      <c r="P153" s="24">
        <f>+VLOOKUP(B153,[1]Balance_Madden!$A$12:$V$5087,12)/35.32</f>
        <v>1.445509111618908</v>
      </c>
      <c r="Q153" s="25">
        <f>+VLOOKUP(B153,[1]Balance_Gatún!$A$13:$AD$5087,15)/35.32</f>
        <v>11.559432748382184</v>
      </c>
      <c r="R153" s="24">
        <f>+VLOOKUP(B153,[1]Balance_Madden!$A$12:$V$5087,14)/35.32</f>
        <v>22.192960980248579</v>
      </c>
      <c r="S153" s="26">
        <f>[1]Balance_Gatún!X152/35.32</f>
        <v>82.549299795765364</v>
      </c>
      <c r="T153" s="25">
        <v>69.643414614785726</v>
      </c>
      <c r="U153" s="25">
        <v>64.557155153535959</v>
      </c>
      <c r="V153" s="29">
        <f>LOOKUP(D153,[1]Parámetros!$A$7:$A$24,[1]Parámetros!$B$7:$B$24)</f>
        <v>48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48</v>
      </c>
      <c r="AC153" s="32">
        <f>IFERROR($A154-LOOKUP($A154,$Z$14:$Z153),"")</f>
        <v>33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248.898</v>
      </c>
      <c r="D154" s="25">
        <f>+VLOOKUP(B154,[1]Balance_Gatún!$A$13:$E$5087,2)</f>
        <v>83.159842906359543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2.7027027027027026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5.1369865064417679</v>
      </c>
      <c r="P154" s="24">
        <f>+VLOOKUP(B154,[1]Balance_Madden!$A$12:$V$5087,12)/35.32</f>
        <v>1.7971594523895162</v>
      </c>
      <c r="Q154" s="25">
        <f>+VLOOKUP(B154,[1]Balance_Gatún!$A$13:$AD$5087,15)/35.32</f>
        <v>14.370403023649356</v>
      </c>
      <c r="R154" s="24">
        <f>+VLOOKUP(B154,[1]Balance_Madden!$A$12:$V$5087,14)/35.32</f>
        <v>22.544611321019186</v>
      </c>
      <c r="S154" s="26">
        <f>[1]Balance_Gatún!X153/35.32</f>
        <v>85.453284823840477</v>
      </c>
      <c r="T154" s="25">
        <v>75.40987567522059</v>
      </c>
      <c r="U154" s="25">
        <v>58.963263944642044</v>
      </c>
      <c r="V154" s="29">
        <f>LOOKUP(D154,[1]Parámetros!$A$7:$A$24,[1]Parámetros!$B$7:$B$24)</f>
        <v>48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48</v>
      </c>
      <c r="AC154" s="32">
        <f>IFERROR($A155-LOOKUP($A155,$Z$14:$Z154),"")</f>
        <v>34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249.375</v>
      </c>
      <c r="D155" s="25">
        <f>+VLOOKUP(B155,[1]Balance_Gatún!$A$13:$E$5087,2)</f>
        <v>83.171220117989748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2.7027027027027026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5.1387630437878293</v>
      </c>
      <c r="P155" s="24">
        <f>+VLOOKUP(B155,[1]Balance_Madden!$A$12:$V$5087,12)/35.32</f>
        <v>1.7601673918633671</v>
      </c>
      <c r="Q155" s="25">
        <f>+VLOOKUP(B155,[1]Balance_Gatún!$A$13:$AD$5087,15)/35.32</f>
        <v>13.995092336517997</v>
      </c>
      <c r="R155" s="24">
        <f>+VLOOKUP(B155,[1]Balance_Madden!$A$12:$V$5087,14)/35.32</f>
        <v>22.507619260493037</v>
      </c>
      <c r="S155" s="26">
        <f>[1]Balance_Gatún!X154/35.32</f>
        <v>85.098531068004007</v>
      </c>
      <c r="T155" s="25">
        <v>119.68132099261564</v>
      </c>
      <c r="U155" s="25">
        <v>57.910364776468988</v>
      </c>
      <c r="V155" s="29">
        <f>LOOKUP(D155,[1]Parámetros!$A$7:$A$24,[1]Parámetros!$B$7:$B$24)</f>
        <v>48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48</v>
      </c>
      <c r="AC155" s="32">
        <f>IFERROR($A156-LOOKUP($A156,$Z$14:$Z155),"")</f>
        <v>35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249.50800000000001</v>
      </c>
      <c r="D156" s="25">
        <f>+VLOOKUP(B156,[1]Balance_Gatún!$A$13:$E$5087,2)</f>
        <v>83.17477737005963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2.7027027027027026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5.1393185042430725</v>
      </c>
      <c r="P156" s="24">
        <f>+VLOOKUP(B156,[1]Balance_Madden!$A$12:$V$5087,12)/35.32</f>
        <v>2.3066986585120368</v>
      </c>
      <c r="Q156" s="25">
        <f>+VLOOKUP(B156,[1]Balance_Gatún!$A$13:$AD$5087,15)/35.32</f>
        <v>18.311765784699606</v>
      </c>
      <c r="R156" s="24">
        <f>+VLOOKUP(B156,[1]Balance_Madden!$A$12:$V$5087,14)/35.32</f>
        <v>23.054150527141708</v>
      </c>
      <c r="S156" s="26">
        <f>[1]Balance_Gatún!X155/35.32</f>
        <v>89.421631942234825</v>
      </c>
      <c r="T156" s="25">
        <v>75.906980209524647</v>
      </c>
      <c r="U156" s="25">
        <v>66.255928951091633</v>
      </c>
      <c r="V156" s="29">
        <f>LOOKUP(D156,[1]Parámetros!$A$7:$A$24,[1]Parámetros!$B$7:$B$24)</f>
        <v>48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48</v>
      </c>
      <c r="AC156" s="32">
        <f>IFERROR($A157-LOOKUP($A157,$Z$14:$Z156),"")</f>
        <v>36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249.59100000000001</v>
      </c>
      <c r="D157" s="25">
        <f>+VLOOKUP(B157,[1]Balance_Gatún!$A$13:$E$5087,2)</f>
        <v>83.166057509972916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2.7027027027027026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5.1379569090121846</v>
      </c>
      <c r="P157" s="24">
        <f>+VLOOKUP(B157,[1]Balance_Madden!$A$12:$V$5087,12)/35.32</f>
        <v>2.297166425550583</v>
      </c>
      <c r="Q157" s="25">
        <f>+VLOOKUP(B157,[1]Balance_Gatún!$A$13:$AD$5087,15)/35.32</f>
        <v>18.215648784623674</v>
      </c>
      <c r="R157" s="24">
        <f>+VLOOKUP(B157,[1]Balance_Madden!$A$12:$V$5087,14)/35.32</f>
        <v>23.044618294180253</v>
      </c>
      <c r="S157" s="26">
        <f>[1]Balance_Gatún!X156/35.32</f>
        <v>89.309759450345069</v>
      </c>
      <c r="T157" s="25">
        <v>100.84245474729944</v>
      </c>
      <c r="U157" s="25">
        <v>70.309723096960909</v>
      </c>
      <c r="V157" s="29">
        <f>LOOKUP(D157,[1]Parámetros!$A$7:$A$24,[1]Parámetros!$B$7:$B$24)</f>
        <v>48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48</v>
      </c>
      <c r="AC157" s="32">
        <f>IFERROR($A158-LOOKUP($A158,$Z$14:$Z157),"")</f>
        <v>37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249.91900000000001</v>
      </c>
      <c r="D158" s="25">
        <f>+VLOOKUP(B158,[1]Balance_Gatún!$A$13:$E$5087,2)</f>
        <v>83.190014523463418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2.7027027027027026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5.1416977666624906</v>
      </c>
      <c r="P158" s="24">
        <f>+VLOOKUP(B158,[1]Balance_Madden!$A$12:$V$5087,12)/35.32</f>
        <v>2.6419529814559035</v>
      </c>
      <c r="Q158" s="25">
        <f>+VLOOKUP(B158,[1]Balance_Gatún!$A$13:$AD$5087,15)/35.32</f>
        <v>20.87293248926591</v>
      </c>
      <c r="R158" s="24">
        <f>+VLOOKUP(B158,[1]Balance_Madden!$A$12:$V$5087,14)/35.32</f>
        <v>23.389404850085576</v>
      </c>
      <c r="S158" s="26">
        <f>[1]Balance_Gatún!X157/35.32</f>
        <v>92.010329919474287</v>
      </c>
      <c r="T158" s="25">
        <v>43.829946513136989</v>
      </c>
      <c r="U158" s="25">
        <v>46.637933803490782</v>
      </c>
      <c r="V158" s="29">
        <f>LOOKUP(D158,[1]Parámetros!$A$7:$A$24,[1]Parámetros!$B$7:$B$24)</f>
        <v>48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48</v>
      </c>
      <c r="AC158" s="32">
        <f>IFERROR($A159-LOOKUP($A159,$Z$14:$Z158),"")</f>
        <v>38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250.15600000000001</v>
      </c>
      <c r="D159" s="25">
        <f>+VLOOKUP(B159,[1]Balance_Gatún!$A$13:$E$5087,2)</f>
        <v>83.186459980922322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2.7027027027027026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5.1411427292967753</v>
      </c>
      <c r="P159" s="24">
        <f>+VLOOKUP(B159,[1]Balance_Madden!$A$12:$V$5087,12)/35.32</f>
        <v>1.324954977736126</v>
      </c>
      <c r="Q159" s="25">
        <f>+VLOOKUP(B159,[1]Balance_Gatún!$A$13:$AD$5087,15)/35.32</f>
        <v>10.437410557724272</v>
      </c>
      <c r="R159" s="24">
        <f>+VLOOKUP(B159,[1]Balance_Madden!$A$12:$V$5087,14)/35.32</f>
        <v>22.072406846365798</v>
      </c>
      <c r="S159" s="26">
        <f>[1]Balance_Gatún!X158/35.32</f>
        <v>81.568385457599476</v>
      </c>
      <c r="T159" s="25">
        <v>88.700389971103363</v>
      </c>
      <c r="U159" s="25">
        <v>44.187748261378182</v>
      </c>
      <c r="V159" s="29">
        <f>LOOKUP(D159,[1]Parámetros!$A$7:$A$24,[1]Parámetros!$B$7:$B$24)</f>
        <v>48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48</v>
      </c>
      <c r="AC159" s="32">
        <f>IFERROR($A160-LOOKUP($A160,$Z$14:$Z159),"")</f>
        <v>39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250.34399999999999</v>
      </c>
      <c r="D160" s="25">
        <f>+VLOOKUP(B160,[1]Balance_Gatún!$A$13:$E$5087,2)</f>
        <v>83.172212347720063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2.7027027027027026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5.1389179792174469</v>
      </c>
      <c r="P160" s="24">
        <f>+VLOOKUP(B160,[1]Balance_Madden!$A$12:$V$5087,12)/35.32</f>
        <v>2.2265667999135257</v>
      </c>
      <c r="Q160" s="25">
        <f>+VLOOKUP(B160,[1]Balance_Gatún!$A$13:$AD$5087,15)/35.32</f>
        <v>17.496838864896038</v>
      </c>
      <c r="R160" s="24">
        <f>+VLOOKUP(B160,[1]Balance_Madden!$A$12:$V$5087,14)/35.32</f>
        <v>22.974018668543195</v>
      </c>
      <c r="S160" s="26">
        <f>[1]Balance_Gatún!X159/35.32</f>
        <v>88.60207040810586</v>
      </c>
      <c r="T160" s="25">
        <v>61.086094323542028</v>
      </c>
      <c r="U160" s="25">
        <v>47.418998607128785</v>
      </c>
      <c r="V160" s="29">
        <f>LOOKUP(D160,[1]Parámetros!$A$7:$A$24,[1]Parámetros!$B$7:$B$24)</f>
        <v>48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48</v>
      </c>
      <c r="AC160" s="32">
        <f>IFERROR($A161-LOOKUP($A161,$Z$14:$Z160),"")</f>
        <v>40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250.495</v>
      </c>
      <c r="D161" s="25">
        <f>+VLOOKUP(B161,[1]Balance_Gatún!$A$13:$E$5087,2)</f>
        <v>83.152246220504324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2.7027027027027026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5.1358002934603491</v>
      </c>
      <c r="P161" s="24">
        <f>+VLOOKUP(B161,[1]Balance_Madden!$A$12:$V$5087,12)/35.32</f>
        <v>0.84241112405868257</v>
      </c>
      <c r="Q161" s="25">
        <f>+VLOOKUP(B161,[1]Balance_Gatún!$A$13:$AD$5087,15)/35.32</f>
        <v>6.6060705296721292</v>
      </c>
      <c r="R161" s="24">
        <f>+VLOOKUP(B161,[1]Balance_Madden!$A$12:$V$5087,14)/35.32</f>
        <v>21.589862992688353</v>
      </c>
      <c r="S161" s="26">
        <f>[1]Balance_Gatún!X160/35.32</f>
        <v>77.675226247034658</v>
      </c>
      <c r="T161" s="25">
        <v>99.637261307353199</v>
      </c>
      <c r="U161" s="25">
        <v>31.978673975788425</v>
      </c>
      <c r="V161" s="29">
        <f>LOOKUP(D161,[1]Parámetros!$A$7:$A$24,[1]Parámetros!$B$7:$B$24)</f>
        <v>48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48</v>
      </c>
      <c r="AC161" s="32">
        <f>IFERROR($A162-LOOKUP($A162,$Z$14:$Z161),"")</f>
        <v>41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250.63900000000001</v>
      </c>
      <c r="D162" s="25">
        <f>+VLOOKUP(B162,[1]Balance_Gatún!$A$13:$E$5087,2)</f>
        <v>83.1350812287439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2.7027027027027026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5.1331200014961649</v>
      </c>
      <c r="P162" s="24">
        <f>+VLOOKUP(B162,[1]Balance_Madden!$A$12:$V$5087,12)/35.32</f>
        <v>1.0565485569184825</v>
      </c>
      <c r="Q162" s="25">
        <f>+VLOOKUP(B162,[1]Balance_Gatún!$A$13:$AD$5087,15)/35.32</f>
        <v>8.2690774422845532</v>
      </c>
      <c r="R162" s="24">
        <f>+VLOOKUP(B162,[1]Balance_Madden!$A$12:$V$5087,14)/35.32</f>
        <v>21.804000425548153</v>
      </c>
      <c r="S162" s="26">
        <f>[1]Balance_Gatún!X161/35.32</f>
        <v>79.307218569449972</v>
      </c>
      <c r="T162" s="25">
        <v>76.709577469296008</v>
      </c>
      <c r="U162" s="25">
        <v>66.197048216194773</v>
      </c>
      <c r="V162" s="29">
        <f>LOOKUP(D162,[1]Parámetros!$A$7:$A$24,[1]Parámetros!$B$7:$B$24)</f>
        <v>48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48</v>
      </c>
      <c r="AC162" s="32">
        <f>IFERROR($A163-LOOKUP($A163,$Z$14:$Z162),"")</f>
        <v>42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250.767</v>
      </c>
      <c r="D163" s="25">
        <f>+VLOOKUP(B163,[1]Balance_Gatún!$A$13:$E$5087,2)</f>
        <v>83.116100591706285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2.7027027027027026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5.1301561987960476</v>
      </c>
      <c r="P163" s="24">
        <f>+VLOOKUP(B163,[1]Balance_Madden!$A$12:$V$5087,12)/35.32</f>
        <v>1.9224894151974814</v>
      </c>
      <c r="Q163" s="25">
        <f>+VLOOKUP(B163,[1]Balance_Gatún!$A$13:$AD$5087,15)/35.32</f>
        <v>15.019458172345782</v>
      </c>
      <c r="R163" s="24">
        <f>+VLOOKUP(B163,[1]Balance_Madden!$A$12:$V$5087,14)/35.32</f>
        <v>22.669941283827153</v>
      </c>
      <c r="S163" s="26">
        <f>[1]Balance_Gatún!X162/35.32</f>
        <v>86.023304108018053</v>
      </c>
      <c r="T163" s="25">
        <v>102.94956953876898</v>
      </c>
      <c r="U163" s="25">
        <v>47.2056647183935</v>
      </c>
      <c r="V163" s="29">
        <f>LOOKUP(D163,[1]Parámetros!$A$7:$A$24,[1]Parámetros!$B$7:$B$24)</f>
        <v>48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48</v>
      </c>
      <c r="AC163" s="32">
        <f>IFERROR($A164-LOOKUP($A164,$Z$14:$Z163),"")</f>
        <v>43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250.87700000000001</v>
      </c>
      <c r="D164" s="25">
        <f>+VLOOKUP(B164,[1]Balance_Gatún!$A$13:$E$5087,2)</f>
        <v>83.089937579908963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2.7027027027027026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5.1260708772731531</v>
      </c>
      <c r="P164" s="24">
        <f>+VLOOKUP(B164,[1]Balance_Madden!$A$12:$V$5087,12)/35.32</f>
        <v>0.97691389527101058</v>
      </c>
      <c r="Q164" s="25">
        <f>+VLOOKUP(B164,[1]Balance_Gatún!$A$13:$AD$5087,15)/35.32</f>
        <v>7.6194479728612921</v>
      </c>
      <c r="R164" s="24">
        <f>+VLOOKUP(B164,[1]Balance_Madden!$A$12:$V$5087,14)/35.32</f>
        <v>21.724365763900678</v>
      </c>
      <c r="S164" s="26">
        <f>[1]Balance_Gatún!X163/35.32</f>
        <v>78.576021232814213</v>
      </c>
      <c r="T164" s="25">
        <v>74.470080762582953</v>
      </c>
      <c r="U164" s="25">
        <v>77.822506698678211</v>
      </c>
      <c r="V164" s="29">
        <f>LOOKUP(D164,[1]Parámetros!$A$7:$A$24,[1]Parámetros!$B$7:$B$24)</f>
        <v>48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48</v>
      </c>
      <c r="AC164" s="32">
        <f>IFERROR($A165-LOOKUP($A165,$Z$14:$Z164),"")</f>
        <v>44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250.952</v>
      </c>
      <c r="D165" s="25">
        <f>+VLOOKUP(B165,[1]Balance_Gatún!$A$13:$E$5087,2)</f>
        <v>83.061683211717281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2.7027027027027026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5.1216589930687082</v>
      </c>
      <c r="P165" s="24">
        <f>+VLOOKUP(B165,[1]Balance_Madden!$A$12:$V$5087,12)/35.32</f>
        <v>1.0513598903045678</v>
      </c>
      <c r="Q165" s="25">
        <f>+VLOOKUP(B165,[1]Balance_Gatún!$A$13:$AD$5087,15)/35.32</f>
        <v>8.1896827607924223</v>
      </c>
      <c r="R165" s="24">
        <f>+VLOOKUP(B165,[1]Balance_Madden!$A$12:$V$5087,14)/35.32</f>
        <v>21.798811758934239</v>
      </c>
      <c r="S165" s="26">
        <f>[1]Balance_Gatún!X164/35.32</f>
        <v>79.095204574699025</v>
      </c>
      <c r="T165" s="25">
        <v>75.149167624969493</v>
      </c>
      <c r="U165" s="25">
        <v>66.251685528588695</v>
      </c>
      <c r="V165" s="29">
        <f>LOOKUP(D165,[1]Parámetros!$A$7:$A$24,[1]Parámetros!$B$7:$B$24)</f>
        <v>48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48</v>
      </c>
      <c r="AC165" s="32">
        <f>IFERROR($A166-LOOKUP($A166,$Z$14:$Z165),"")</f>
        <v>45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251.178</v>
      </c>
      <c r="D166" s="25">
        <f>+VLOOKUP(B166,[1]Balance_Gatún!$A$13:$E$5087,2)</f>
        <v>83.03630559005633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2.7027027027027026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5.117696309231901</v>
      </c>
      <c r="P166" s="24">
        <f>+VLOOKUP(B166,[1]Balance_Madden!$A$12:$V$5087,12)/35.32</f>
        <v>1.6156291714610871</v>
      </c>
      <c r="Q166" s="25">
        <f>+VLOOKUP(B166,[1]Balance_Gatún!$A$13:$AD$5087,15)/35.32</f>
        <v>12.54681633664018</v>
      </c>
      <c r="R166" s="24">
        <f>+VLOOKUP(B166,[1]Balance_Madden!$A$12:$V$5087,14)/35.32</f>
        <v>22.363081040090755</v>
      </c>
      <c r="S166" s="26">
        <f>[1]Balance_Gatún!X165/35.32</f>
        <v>83.406484558131623</v>
      </c>
      <c r="T166" s="25">
        <v>69.655165901869523</v>
      </c>
      <c r="U166" s="25">
        <v>28.463621498684756</v>
      </c>
      <c r="V166" s="29">
        <f>LOOKUP(D166,[1]Parámetros!$A$7:$A$24,[1]Parámetros!$B$7:$B$24)</f>
        <v>48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48</v>
      </c>
      <c r="AC166" s="32">
        <f>IFERROR($A167-LOOKUP($A167,$Z$14:$Z166),"")</f>
        <v>46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251.666</v>
      </c>
      <c r="D167" s="25">
        <f>+VLOOKUP(B167,[1]Balance_Gatún!$A$13:$E$5087,2)</f>
        <v>83.028614009297868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2.7027027027027026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0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5.1164952785301985</v>
      </c>
      <c r="P167" s="24">
        <f>+VLOOKUP(B167,[1]Balance_Madden!$A$12:$V$5087,12)/35.32</f>
        <v>2.6082819863180147</v>
      </c>
      <c r="Q167" s="25">
        <f>+VLOOKUP(B167,[1]Balance_Gatún!$A$13:$AD$5087,15)/35.32</f>
        <v>20.135374573632845</v>
      </c>
      <c r="R167" s="24">
        <f>+VLOOKUP(B167,[1]Balance_Madden!$A$12:$V$5087,14)/35.32</f>
        <v>23.355733854947687</v>
      </c>
      <c r="S167" s="26">
        <f>[1]Balance_Gatún!X166/35.32</f>
        <v>90.981145251302493</v>
      </c>
      <c r="T167" s="25">
        <v>89.701377069196127</v>
      </c>
      <c r="U167" s="25">
        <v>61.134482530271825</v>
      </c>
      <c r="V167" s="29">
        <f>LOOKUP(D167,[1]Parámetros!$A$7:$A$24,[1]Parámetros!$B$7:$B$24)</f>
        <v>48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48</v>
      </c>
      <c r="AC167" s="32">
        <f>IFERROR($A168-LOOKUP($A168,$Z$14:$Z167),"")</f>
        <v>47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251.845</v>
      </c>
      <c r="D168" s="25">
        <f>+VLOOKUP(B168,[1]Balance_Gatún!$A$13:$E$5087,2)</f>
        <v>83.009599315517647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2.7027027027027026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0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5.1135261579123812</v>
      </c>
      <c r="P168" s="24">
        <f>+VLOOKUP(B168,[1]Balance_Madden!$A$12:$V$5087,12)/35.32</f>
        <v>1.4966629746024087</v>
      </c>
      <c r="Q168" s="25">
        <f>+VLOOKUP(B168,[1]Balance_Gatún!$A$13:$AD$5087,15)/35.32</f>
        <v>11.526330481291255</v>
      </c>
      <c r="R168" s="24">
        <f>+VLOOKUP(B168,[1]Balance_Madden!$A$12:$V$5087,14)/35.32</f>
        <v>22.244114843232079</v>
      </c>
      <c r="S168" s="26">
        <f>[1]Balance_Gatún!X167/35.32</f>
        <v>82.33774443199313</v>
      </c>
      <c r="T168" s="25">
        <v>58.186499934852009</v>
      </c>
      <c r="U168" s="25">
        <v>50.675011154889091</v>
      </c>
      <c r="V168" s="29">
        <f>LOOKUP(D168,[1]Parámetros!$A$7:$A$24,[1]Parámetros!$B$7:$B$24)</f>
        <v>48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48</v>
      </c>
      <c r="AC168" s="32">
        <f>IFERROR($A169-LOOKUP($A169,$Z$14:$Z168),"")</f>
        <v>48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251.97</v>
      </c>
      <c r="D169" s="25">
        <f>+VLOOKUP(B169,[1]Balance_Gatún!$A$13:$E$5087,2)</f>
        <v>83.026540795174952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2.7027027027027026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1.9659475857672426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5.1161715487416108</v>
      </c>
      <c r="P169" s="24">
        <f>+VLOOKUP(B169,[1]Balance_Madden!$A$12:$V$5087,12)/35.32</f>
        <v>1.0268134085989591</v>
      </c>
      <c r="Q169" s="25">
        <f>+VLOOKUP(B169,[1]Balance_Gatún!$A$13:$AD$5087,15)/35.32</f>
        <v>7.8977767270020438</v>
      </c>
      <c r="R169" s="24">
        <f>+VLOOKUP(B169,[1]Balance_Madden!$A$12:$V$5087,14)/35.32</f>
        <v>23.740212862995872</v>
      </c>
      <c r="S169" s="26">
        <f>[1]Balance_Gatún!X168/35.32</f>
        <v>78.739801414734103</v>
      </c>
      <c r="T169" s="25">
        <v>77.521001027846751</v>
      </c>
      <c r="U169" s="25">
        <v>40.530931485463967</v>
      </c>
      <c r="V169" s="29">
        <f>LOOKUP(D169,[1]Parámetros!$A$7:$A$24,[1]Parámetros!$B$7:$B$24)</f>
        <v>48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48</v>
      </c>
      <c r="AC169" s="32">
        <f>IFERROR($A170-LOOKUP($A170,$Z$14:$Z169),"")</f>
        <v>49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252.142</v>
      </c>
      <c r="D170" s="25">
        <f>+VLOOKUP(B170,[1]Balance_Gatún!$A$13:$E$5087,2)</f>
        <v>82.999789318822081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2.7027027027027026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7.4528862317526832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5.1119943392154203</v>
      </c>
      <c r="P170" s="24">
        <f>+VLOOKUP(B170,[1]Balance_Madden!$A$12:$V$5087,12)/35.32</f>
        <v>1.4971154074296196</v>
      </c>
      <c r="Q170" s="25">
        <f>+VLOOKUP(B170,[1]Balance_Gatún!$A$13:$AD$5087,15)/35.32</f>
        <v>11.487486056983553</v>
      </c>
      <c r="R170" s="24">
        <f>+VLOOKUP(B170,[1]Balance_Madden!$A$12:$V$5087,14)/35.32</f>
        <v>29.697453507811971</v>
      </c>
      <c r="S170" s="26">
        <f>[1]Balance_Gatún!X169/35.32</f>
        <v>82.281174800962674</v>
      </c>
      <c r="T170" s="25">
        <v>215.0580491505099</v>
      </c>
      <c r="U170" s="25">
        <v>77.942628034928887</v>
      </c>
      <c r="V170" s="29">
        <f>LOOKUP(D170,[1]Parámetros!$A$7:$A$24,[1]Parámetros!$B$7:$B$24)</f>
        <v>47.5</v>
      </c>
      <c r="W170" s="30" t="str">
        <f t="shared" si="12"/>
        <v>Cambio Calado</v>
      </c>
      <c r="X170" s="31">
        <f t="shared" si="13"/>
        <v>46360</v>
      </c>
      <c r="Y170" s="30">
        <f>IF($W170="Cambio Calado",COUNTIF($W$14:W170,"Cambio Calado"),"")</f>
        <v>7</v>
      </c>
      <c r="Z170" s="31">
        <f t="shared" si="14"/>
        <v>46360</v>
      </c>
      <c r="AA170" s="30">
        <f t="shared" si="15"/>
        <v>47.5</v>
      </c>
      <c r="AB170" s="29">
        <f>IFERROR(LOOKUP($A170,$Z$14:$Z170,$AA$14:$AA170),$U170)</f>
        <v>47.5</v>
      </c>
      <c r="AC170" s="32">
        <f>IFERROR($A171-LOOKUP($A171,$Z$14:$Z170),"")</f>
        <v>1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252.196</v>
      </c>
      <c r="D171" s="25">
        <f>+VLOOKUP(B171,[1]Balance_Gatún!$A$13:$E$5087,2)</f>
        <v>82.968736522123919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2.7027027027027026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9.6093165213479192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5.107145483904727</v>
      </c>
      <c r="P171" s="24">
        <f>+VLOOKUP(B171,[1]Balance_Madden!$A$12:$V$5087,12)/35.32</f>
        <v>1.2761529225962853</v>
      </c>
      <c r="Q171" s="25">
        <f>+VLOOKUP(B171,[1]Balance_Gatún!$A$13:$AD$5087,15)/35.32</f>
        <v>9.7817616642645433</v>
      </c>
      <c r="R171" s="24">
        <f>+VLOOKUP(B171,[1]Balance_Madden!$A$12:$V$5087,14)/35.32</f>
        <v>31.632921312573874</v>
      </c>
      <c r="S171" s="26">
        <f>[1]Balance_Gatún!X170/35.32</f>
        <v>80.519342617601509</v>
      </c>
      <c r="T171" s="25">
        <v>95.22858664002348</v>
      </c>
      <c r="U171" s="25">
        <v>55.735693890947303</v>
      </c>
      <c r="V171" s="29">
        <f>LOOKUP(D171,[1]Parámetros!$A$7:$A$24,[1]Parámetros!$B$7:$B$24)</f>
        <v>47.5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47.5</v>
      </c>
      <c r="AC171" s="32">
        <f>IFERROR($A172-LOOKUP($A172,$Z$14:$Z171),"")</f>
        <v>2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252.17500000000001</v>
      </c>
      <c r="D172" s="25">
        <f>+VLOOKUP(B172,[1]Balance_Gatún!$A$13:$E$5087,2)</f>
        <v>82.946048977861906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2.7027027027027026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8.7492370760578559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5.1036028522844363</v>
      </c>
      <c r="P172" s="24">
        <f>+VLOOKUP(B172,[1]Balance_Madden!$A$12:$V$5087,12)/35.32</f>
        <v>2.3894326693500862</v>
      </c>
      <c r="Q172" s="25">
        <f>+VLOOKUP(B172,[1]Balance_Gatún!$A$13:$AD$5087,15)/35.32</f>
        <v>18.314282087663575</v>
      </c>
      <c r="R172" s="24">
        <f>+VLOOKUP(B172,[1]Balance_Madden!$A$12:$V$5087,14)/35.32</f>
        <v>31.886121614037613</v>
      </c>
      <c r="S172" s="26">
        <f>[1]Balance_Gatún!X171/35.32</f>
        <v>89.010870018825784</v>
      </c>
      <c r="T172" s="25">
        <v>107.19362673507062</v>
      </c>
      <c r="U172" s="25">
        <v>59.235608534950714</v>
      </c>
      <c r="V172" s="29">
        <f>LOOKUP(D172,[1]Parámetros!$A$7:$A$24,[1]Parámetros!$B$7:$B$24)</f>
        <v>47.5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47.5</v>
      </c>
      <c r="AC172" s="32">
        <f>IFERROR($A173-LOOKUP($A173,$Z$14:$Z172),"")</f>
        <v>3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252.131</v>
      </c>
      <c r="D173" s="25">
        <f>+VLOOKUP(B173,[1]Balance_Gatún!$A$13:$E$5087,2)</f>
        <v>82.909960360223891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2.7027027027027026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7.0363064938108586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5.0979676598413679</v>
      </c>
      <c r="P173" s="24">
        <f>+VLOOKUP(B173,[1]Balance_Madden!$A$12:$V$5087,12)/35.32</f>
        <v>1.3049137771969026</v>
      </c>
      <c r="Q173" s="25">
        <f>+VLOOKUP(B173,[1]Balance_Gatún!$A$13:$AD$5087,15)/35.32</f>
        <v>10.00233050422802</v>
      </c>
      <c r="R173" s="24">
        <f>+VLOOKUP(B173,[1]Balance_Madden!$A$12:$V$5087,14)/35.32</f>
        <v>29.088672139637428</v>
      </c>
      <c r="S173" s="26">
        <f>[1]Balance_Gatún!X172/35.32</f>
        <v>80.633711664396969</v>
      </c>
      <c r="T173" s="25">
        <v>99.386010502713319</v>
      </c>
      <c r="U173" s="25">
        <v>52.020754394864007</v>
      </c>
      <c r="V173" s="29">
        <f>LOOKUP(D173,[1]Parámetros!$A$7:$A$24,[1]Parámetros!$B$7:$B$24)</f>
        <v>47.5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47.5</v>
      </c>
      <c r="AC173" s="32">
        <f>IFERROR($A174-LOOKUP($A174,$Z$14:$Z173),"")</f>
        <v>4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252.155</v>
      </c>
      <c r="D174" s="25">
        <f>+VLOOKUP(B174,[1]Balance_Gatún!$A$13:$E$5087,2)</f>
        <v>82.903959717509608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2.7027027027027026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7.9553367038057718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5.0970306669973562</v>
      </c>
      <c r="P174" s="24">
        <f>+VLOOKUP(B174,[1]Balance_Madden!$A$12:$V$5087,12)/35.32</f>
        <v>1.830209490101095</v>
      </c>
      <c r="Q174" s="25">
        <f>+VLOOKUP(B174,[1]Balance_Gatún!$A$13:$AD$5087,15)/35.32</f>
        <v>14.023673547199271</v>
      </c>
      <c r="R174" s="24">
        <f>+VLOOKUP(B174,[1]Balance_Madden!$A$12:$V$5087,14)/35.32</f>
        <v>30.532998062536535</v>
      </c>
      <c r="S174" s="26">
        <f>[1]Balance_Gatún!X173/35.32</f>
        <v>84.644212437398025</v>
      </c>
      <c r="T174" s="25">
        <v>157.7468088160598</v>
      </c>
      <c r="U174" s="25">
        <v>46.832167799046353</v>
      </c>
      <c r="V174" s="29">
        <f>LOOKUP(D174,[1]Parámetros!$A$7:$A$24,[1]Parámetros!$B$7:$B$24)</f>
        <v>47.5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47.5</v>
      </c>
      <c r="AC174" s="32">
        <f>IFERROR($A175-LOOKUP($A175,$Z$14:$Z174),"")</f>
        <v>5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252.387</v>
      </c>
      <c r="D175" s="25">
        <f>+VLOOKUP(B175,[1]Balance_Gatún!$A$13:$E$5087,2)</f>
        <v>82.896667458122266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2.7027027027027026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18.553883620390284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5.0958919898276012</v>
      </c>
      <c r="P175" s="24">
        <f>+VLOOKUP(B175,[1]Balance_Madden!$A$12:$V$5087,12)/35.32</f>
        <v>1.5264555831576387</v>
      </c>
      <c r="Q175" s="25">
        <f>+VLOOKUP(B175,[1]Balance_Gatún!$A$13:$AD$5087,15)/35.32</f>
        <v>11.66276895984654</v>
      </c>
      <c r="R175" s="24">
        <f>+VLOOKUP(B175,[1]Balance_Madden!$A$12:$V$5087,14)/35.32</f>
        <v>40.82779107217759</v>
      </c>
      <c r="S175" s="26">
        <f>[1]Balance_Gatún!X174/35.32</f>
        <v>82.27013182062062</v>
      </c>
      <c r="T175" s="25">
        <v>199.29396402084583</v>
      </c>
      <c r="U175" s="25">
        <v>42.84353067966758</v>
      </c>
      <c r="V175" s="29">
        <f>LOOKUP(D175,[1]Parámetros!$A$7:$A$24,[1]Parámetros!$B$7:$B$24)</f>
        <v>47.5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47.5</v>
      </c>
      <c r="AC175" s="32">
        <f>IFERROR($A176-LOOKUP($A176,$Z$14:$Z175),"")</f>
        <v>6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252.31700000000001</v>
      </c>
      <c r="D176" s="25">
        <f>+VLOOKUP(B176,[1]Balance_Gatún!$A$13:$E$5087,2)</f>
        <v>82.875705132653238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2.7027027027027026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15.05462346512979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5.0926187489609918</v>
      </c>
      <c r="P176" s="24">
        <f>+VLOOKUP(B176,[1]Balance_Madden!$A$12:$V$5087,12)/35.32</f>
        <v>0.73285338078954643</v>
      </c>
      <c r="Q176" s="25">
        <f>+VLOOKUP(B176,[1]Balance_Gatún!$A$13:$AD$5087,15)/35.32</f>
        <v>5.6024584723551349</v>
      </c>
      <c r="R176" s="24">
        <f>+VLOOKUP(B176,[1]Balance_Madden!$A$12:$V$5087,14)/35.32</f>
        <v>36.534928714549011</v>
      </c>
      <c r="S176" s="26">
        <f>[1]Balance_Gatún!X175/35.32</f>
        <v>76.171945525026629</v>
      </c>
      <c r="T176" s="25">
        <v>167.9789142060726</v>
      </c>
      <c r="U176" s="25">
        <v>53.335654951234417</v>
      </c>
      <c r="V176" s="29">
        <f>LOOKUP(D176,[1]Parámetros!$A$7:$A$24,[1]Parámetros!$B$7:$B$24)</f>
        <v>47.5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47.5</v>
      </c>
      <c r="AC176" s="32">
        <f>IFERROR($A177-LOOKUP($A177,$Z$14:$Z176),"")</f>
        <v>7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252.24299999999999</v>
      </c>
      <c r="D177" s="25">
        <f>+VLOOKUP(B177,[1]Balance_Gatún!$A$13:$E$5087,2)</f>
        <v>82.85240110653379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2.7027027027027026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11.628344473254471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5.0889798544708071</v>
      </c>
      <c r="P177" s="24">
        <f>+VLOOKUP(B177,[1]Balance_Madden!$A$12:$V$5087,12)/35.32</f>
        <v>1.0401330476589543</v>
      </c>
      <c r="Q177" s="25">
        <f>+VLOOKUP(B177,[1]Balance_Gatún!$A$13:$AD$5087,15)/35.32</f>
        <v>7.9561345653363817</v>
      </c>
      <c r="R177" s="24">
        <f>+VLOOKUP(B177,[1]Balance_Madden!$A$12:$V$5087,14)/35.32</f>
        <v>33.415929389543095</v>
      </c>
      <c r="S177" s="26">
        <f>[1]Balance_Gatún!X176/35.32</f>
        <v>78.483514704697058</v>
      </c>
      <c r="T177" s="25">
        <v>86.521655377046656</v>
      </c>
      <c r="U177" s="25">
        <v>48.077621951440619</v>
      </c>
      <c r="V177" s="29">
        <f>LOOKUP(D177,[1]Parámetros!$A$7:$A$24,[1]Parámetros!$B$7:$B$24)</f>
        <v>47.5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47.5</v>
      </c>
      <c r="AC177" s="32">
        <f>IFERROR($A178-LOOKUP($A178,$Z$14:$Z177),"")</f>
        <v>8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252.17500000000001</v>
      </c>
      <c r="D178" s="25">
        <f>+VLOOKUP(B178,[1]Balance_Gatún!$A$13:$E$5087,2)</f>
        <v>82.825445780412394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2.7027027027027026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8.7492370760578559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5.084770814058583</v>
      </c>
      <c r="P178" s="24">
        <f>+VLOOKUP(B178,[1]Balance_Madden!$A$12:$V$5087,12)/35.32</f>
        <v>1.4731294933308512</v>
      </c>
      <c r="Q178" s="25">
        <f>+VLOOKUP(B178,[1]Balance_Gatún!$A$13:$AD$5087,15)/35.32</f>
        <v>11.273381403649816</v>
      </c>
      <c r="R178" s="24">
        <f>+VLOOKUP(B178,[1]Balance_Madden!$A$12:$V$5087,14)/35.32</f>
        <v>30.969818438018375</v>
      </c>
      <c r="S178" s="26">
        <f>[1]Balance_Gatún!X177/35.32</f>
        <v>81.752057273008319</v>
      </c>
      <c r="T178" s="25">
        <v>157.28097947654513</v>
      </c>
      <c r="U178" s="25">
        <v>61.14033559967708</v>
      </c>
      <c r="V178" s="29">
        <f>LOOKUP(D178,[1]Parámetros!$A$7:$A$24,[1]Parámetros!$B$7:$B$24)</f>
        <v>47.5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47.5</v>
      </c>
      <c r="AC178" s="32">
        <f>IFERROR($A179-LOOKUP($A179,$Z$14:$Z178),"")</f>
        <v>9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252.19399999999999</v>
      </c>
      <c r="D179" s="25">
        <f>+VLOOKUP(B179,[1]Balance_Gatún!$A$13:$E$5087,2)</f>
        <v>82.800427173957075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2.7027027027027026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9.5262587453358822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5.0808641899964684</v>
      </c>
      <c r="P179" s="24">
        <f>+VLOOKUP(B179,[1]Balance_Madden!$A$12:$V$5087,12)/35.32</f>
        <v>0.78549765857695497</v>
      </c>
      <c r="Q179" s="25">
        <f>+VLOOKUP(B179,[1]Balance_Gatún!$A$13:$AD$5087,15)/35.32</f>
        <v>6.0078361001651288</v>
      </c>
      <c r="R179" s="24">
        <f>+VLOOKUP(B179,[1]Balance_Madden!$A$12:$V$5087,14)/35.32</f>
        <v>31.059208272542506</v>
      </c>
      <c r="S179" s="26">
        <f>[1]Balance_Gatún!X178/35.32</f>
        <v>76.441307064252243</v>
      </c>
      <c r="T179" s="25">
        <v>86.396046221147387</v>
      </c>
      <c r="U179" s="25">
        <v>60.390551803122754</v>
      </c>
      <c r="V179" s="29">
        <f>LOOKUP(D179,[1]Parámetros!$A$7:$A$24,[1]Parámetros!$B$7:$B$24)</f>
        <v>47.5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47.5</v>
      </c>
      <c r="AC179" s="32">
        <f>IFERROR($A180-LOOKUP($A180,$Z$14:$Z179),"")</f>
        <v>10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252.167</v>
      </c>
      <c r="D180" s="25">
        <f>+VLOOKUP(B180,[1]Balance_Gatún!$A$13:$E$5087,2)</f>
        <v>82.778609931253328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2.7027027027027026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8.4286786405793563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5.0774574548744447</v>
      </c>
      <c r="P180" s="24">
        <f>+VLOOKUP(B180,[1]Balance_Madden!$A$12:$V$5087,12)/35.32</f>
        <v>2.3842261523856774</v>
      </c>
      <c r="Q180" s="25">
        <f>+VLOOKUP(B180,[1]Balance_Gatún!$A$13:$AD$5087,15)/35.32</f>
        <v>18.236317077981951</v>
      </c>
      <c r="R180" s="24">
        <f>+VLOOKUP(B180,[1]Balance_Madden!$A$12:$V$5087,14)/35.32</f>
        <v>31.560356661594703</v>
      </c>
      <c r="S180" s="26">
        <f>[1]Balance_Gatún!X179/35.32</f>
        <v>88.630367525524008</v>
      </c>
      <c r="T180" s="25">
        <v>60.454300049610268</v>
      </c>
      <c r="U180" s="25">
        <v>44.413309906159647</v>
      </c>
      <c r="V180" s="29">
        <f>LOOKUP(D180,[1]Parámetros!$A$7:$A$24,[1]Parámetros!$B$7:$B$24)</f>
        <v>47.5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47.5</v>
      </c>
      <c r="AC180" s="32">
        <f>IFERROR($A181-LOOKUP($A181,$Z$14:$Z180),"")</f>
        <v>11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252.11799999999999</v>
      </c>
      <c r="D181" s="25">
        <f>+VLOOKUP(B181,[1]Balance_Gatún!$A$13:$E$5087,2)</f>
        <v>82.74390500955721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2.7027027027027026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6.5543391047964628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5.0720383248196192</v>
      </c>
      <c r="P181" s="24">
        <f>+VLOOKUP(B181,[1]Balance_Madden!$A$12:$V$5087,12)/35.32</f>
        <v>1.9596603055487398</v>
      </c>
      <c r="Q181" s="25">
        <f>+VLOOKUP(B181,[1]Balance_Gatún!$A$13:$AD$5087,15)/35.32</f>
        <v>14.990913790487237</v>
      </c>
      <c r="R181" s="24">
        <f>+VLOOKUP(B181,[1]Balance_Madden!$A$12:$V$5087,14)/35.32</f>
        <v>29.261451278974871</v>
      </c>
      <c r="S181" s="26">
        <f>[1]Balance_Gatún!X180/35.32</f>
        <v>85.322257600050619</v>
      </c>
      <c r="T181" s="25">
        <v>98.243342325601049</v>
      </c>
      <c r="U181" s="25">
        <v>63.368923336280176</v>
      </c>
      <c r="V181" s="29">
        <f>LOOKUP(D181,[1]Parámetros!$A$7:$A$24,[1]Parámetros!$B$7:$B$24)</f>
        <v>47.5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47.5</v>
      </c>
      <c r="AC181" s="32">
        <f>IFERROR($A182-LOOKUP($A182,$Z$14:$Z181),"")</f>
        <v>12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252.08099999999999</v>
      </c>
      <c r="D182" s="25">
        <f>+VLOOKUP(B182,[1]Balance_Gatún!$A$13:$E$5087,2)</f>
        <v>82.740190028774208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2.7027027027027026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5.2464165153022932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5.0714582352233801</v>
      </c>
      <c r="P182" s="24">
        <f>+VLOOKUP(B182,[1]Balance_Madden!$A$12:$V$5087,12)/35.32</f>
        <v>1.3360898789779039</v>
      </c>
      <c r="Q182" s="25">
        <f>+VLOOKUP(B182,[1]Balance_Gatún!$A$13:$AD$5087,15)/35.32</f>
        <v>10.224778381996286</v>
      </c>
      <c r="R182" s="24">
        <f>+VLOOKUP(B182,[1]Balance_Madden!$A$12:$V$5087,14)/35.32</f>
        <v>27.329958262909866</v>
      </c>
      <c r="S182" s="26">
        <f>[1]Balance_Gatún!X181/35.32</f>
        <v>80.549409773156981</v>
      </c>
      <c r="T182" s="25">
        <v>73.857926159513028</v>
      </c>
      <c r="U182" s="25">
        <v>54.541123684154925</v>
      </c>
      <c r="V182" s="29">
        <f>LOOKUP(D182,[1]Parámetros!$A$7:$A$24,[1]Parámetros!$B$7:$B$24)</f>
        <v>47.5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47.5</v>
      </c>
      <c r="AC182" s="32">
        <f>IFERROR($A183-LOOKUP($A183,$Z$14:$Z182),"")</f>
        <v>13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252.33500000000001</v>
      </c>
      <c r="D183" s="25">
        <f>+VLOOKUP(B183,[1]Balance_Gatún!$A$13:$E$5087,2)</f>
        <v>82.723856413964015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2.7027027027027026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15.931264633194022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5.0689077617286724</v>
      </c>
      <c r="P183" s="24">
        <f>+VLOOKUP(B183,[1]Balance_Madden!$A$12:$V$5087,12)/35.32</f>
        <v>1.0191996220061761</v>
      </c>
      <c r="Q183" s="25">
        <f>+VLOOKUP(B183,[1]Balance_Gatún!$A$13:$AD$5087,15)/35.32</f>
        <v>7.7744222624568691</v>
      </c>
      <c r="R183" s="24">
        <f>+VLOOKUP(B183,[1]Balance_Madden!$A$12:$V$5087,14)/35.32</f>
        <v>37.69791612382987</v>
      </c>
      <c r="S183" s="26">
        <f>[1]Balance_Gatún!X182/35.32</f>
        <v>78.069541238065824</v>
      </c>
      <c r="T183" s="25">
        <v>76.193383965248685</v>
      </c>
      <c r="U183" s="25">
        <v>40.577926109948933</v>
      </c>
      <c r="V183" s="29">
        <f>LOOKUP(D183,[1]Parámetros!$A$7:$A$24,[1]Parámetros!$B$7:$B$24)</f>
        <v>47.5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47.5</v>
      </c>
      <c r="AC183" s="32">
        <f>IFERROR($A184-LOOKUP($A184,$Z$14:$Z183),"")</f>
        <v>14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252.298</v>
      </c>
      <c r="D184" s="25">
        <f>+VLOOKUP(B184,[1]Balance_Gatún!$A$13:$E$5087,2)</f>
        <v>82.713420534067907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2.7027027027027026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14.147240552740866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5.0672782121538669</v>
      </c>
      <c r="P184" s="24">
        <f>+VLOOKUP(B184,[1]Balance_Madden!$A$12:$V$5087,12)/35.32</f>
        <v>1.8793776416700121</v>
      </c>
      <c r="Q184" s="25">
        <f>+VLOOKUP(B184,[1]Balance_Gatún!$A$13:$AD$5087,15)/35.32</f>
        <v>14.340209077003383</v>
      </c>
      <c r="R184" s="24">
        <f>+VLOOKUP(B184,[1]Balance_Madden!$A$12:$V$5087,14)/35.32</f>
        <v>36.774070063040547</v>
      </c>
      <c r="S184" s="26">
        <f>[1]Balance_Gatún!X183/35.32</f>
        <v>84.616471967923133</v>
      </c>
      <c r="T184" s="25">
        <v>74.993245766349048</v>
      </c>
      <c r="U184" s="25">
        <v>35.423037741783645</v>
      </c>
      <c r="V184" s="29">
        <f>LOOKUP(D184,[1]Parámetros!$A$7:$A$24,[1]Parámetros!$B$7:$B$24)</f>
        <v>47.5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47.5</v>
      </c>
      <c r="AC184" s="32">
        <f>IFERROR($A185-LOOKUP($A185,$Z$14:$Z184),"")</f>
        <v>15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252.23500000000001</v>
      </c>
      <c r="D185" s="25">
        <f>+VLOOKUP(B185,[1]Balance_Gatún!$A$13:$E$5087,2)</f>
        <v>82.693565962786323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2.7027027027027026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11.275752857530167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5.0641779457161604</v>
      </c>
      <c r="P185" s="24">
        <f>+VLOOKUP(B185,[1]Balance_Madden!$A$12:$V$5087,12)/35.32</f>
        <v>1.0228606219528624</v>
      </c>
      <c r="Q185" s="25">
        <f>+VLOOKUP(B185,[1]Balance_Gatún!$A$13:$AD$5087,15)/35.32</f>
        <v>7.8085763547004738</v>
      </c>
      <c r="R185" s="24">
        <f>+VLOOKUP(B185,[1]Balance_Madden!$A$12:$V$5087,14)/35.32</f>
        <v>33.046065348112698</v>
      </c>
      <c r="S185" s="26">
        <f>[1]Balance_Gatún!X184/35.32</f>
        <v>78.048964984773946</v>
      </c>
      <c r="T185" s="25">
        <v>132.56648057926034</v>
      </c>
      <c r="U185" s="25">
        <v>80.226628638938266</v>
      </c>
      <c r="V185" s="29">
        <f>LOOKUP(D185,[1]Parámetros!$A$7:$A$24,[1]Parámetros!$B$7:$B$24)</f>
        <v>47.5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47.5</v>
      </c>
      <c r="AC185" s="32">
        <f>IFERROR($A186-LOOKUP($A186,$Z$14:$Z185),"")</f>
        <v>16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252.30099999999999</v>
      </c>
      <c r="D186" s="25">
        <f>+VLOOKUP(B186,[1]Balance_Gatún!$A$13:$E$5087,2)</f>
        <v>82.692769832734612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2.7027027027027026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14.289269627071876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5.0640536310057422</v>
      </c>
      <c r="P186" s="24">
        <f>+VLOOKUP(B186,[1]Balance_Madden!$A$12:$V$5087,12)/35.32</f>
        <v>1.1542630114178438</v>
      </c>
      <c r="Q186" s="25">
        <f>+VLOOKUP(B186,[1]Balance_Gatún!$A$13:$AD$5087,15)/35.32</f>
        <v>8.8046812133378918</v>
      </c>
      <c r="R186" s="24">
        <f>+VLOOKUP(B186,[1]Balance_Madden!$A$12:$V$5087,14)/35.32</f>
        <v>36.190984507119389</v>
      </c>
      <c r="S186" s="26">
        <f>[1]Balance_Gatún!X185/35.32</f>
        <v>79.043631354675568</v>
      </c>
      <c r="T186" s="25">
        <v>110.97800424872834</v>
      </c>
      <c r="U186" s="25">
        <v>43.615864736151835</v>
      </c>
      <c r="V186" s="29">
        <f>LOOKUP(D186,[1]Parámetros!$A$7:$A$24,[1]Parámetros!$B$7:$B$24)</f>
        <v>47.5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47.5</v>
      </c>
      <c r="AC186" s="32">
        <f>IFERROR($A187-LOOKUP($A187,$Z$14:$Z186),"")</f>
        <v>17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252.30500000000001</v>
      </c>
      <c r="D187" s="25">
        <f>+VLOOKUP(B187,[1]Balance_Gatún!$A$13:$E$5087,2)</f>
        <v>82.681945886425538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2.7027027027027026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14.479369461868989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5.0623634853466086</v>
      </c>
      <c r="P187" s="24">
        <f>+VLOOKUP(B187,[1]Balance_Madden!$A$12:$V$5087,12)/35.32</f>
        <v>0.84309833881142626</v>
      </c>
      <c r="Q187" s="25">
        <f>+VLOOKUP(B187,[1]Balance_Gatún!$A$13:$AD$5087,15)/35.32</f>
        <v>6.429911796215058</v>
      </c>
      <c r="R187" s="24">
        <f>+VLOOKUP(B187,[1]Balance_Madden!$A$12:$V$5087,14)/35.32</f>
        <v>36.069919669310089</v>
      </c>
      <c r="S187" s="26">
        <f>[1]Balance_Gatún!X186/35.32</f>
        <v>76.649304674503824</v>
      </c>
      <c r="T187" s="25">
        <v>85.74637928136687</v>
      </c>
      <c r="U187" s="25">
        <v>51.134790360737938</v>
      </c>
      <c r="V187" s="29">
        <f>LOOKUP(D187,[1]Parámetros!$A$7:$A$24,[1]Parámetros!$B$7:$B$24)</f>
        <v>47.5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47.5</v>
      </c>
      <c r="AC187" s="32">
        <f>IFERROR($A188-LOOKUP($A188,$Z$14:$Z187),"")</f>
        <v>18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252.28</v>
      </c>
      <c r="D188" s="25">
        <f>+VLOOKUP(B188,[1]Balance_Gatún!$A$13:$E$5087,2)</f>
        <v>82.664957081304777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2.7027027027027026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13.304985859655446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5.059710704705533</v>
      </c>
      <c r="P188" s="24">
        <f>+VLOOKUP(B188,[1]Balance_Madden!$A$12:$V$5087,12)/35.32</f>
        <v>1.7381029395626437</v>
      </c>
      <c r="Q188" s="25">
        <f>+VLOOKUP(B188,[1]Balance_Gatún!$A$13:$AD$5087,15)/35.32</f>
        <v>13.256702209362945</v>
      </c>
      <c r="R188" s="24">
        <f>+VLOOKUP(B188,[1]Balance_Madden!$A$12:$V$5087,14)/35.32</f>
        <v>35.790540667847765</v>
      </c>
      <c r="S188" s="26">
        <f>[1]Balance_Gatún!X187/35.32</f>
        <v>83.445398840539369</v>
      </c>
      <c r="T188" s="25">
        <v>82.942781649967188</v>
      </c>
      <c r="U188" s="25">
        <v>40.170383842724107</v>
      </c>
      <c r="V188" s="29">
        <f>LOOKUP(D188,[1]Parámetros!$A$7:$A$24,[1]Parámetros!$B$7:$B$24)</f>
        <v>47.5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47.5</v>
      </c>
      <c r="AC188" s="32">
        <f>IFERROR($A189-LOOKUP($A189,$Z$14:$Z188),"")</f>
        <v>19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252.23699999999999</v>
      </c>
      <c r="D189" s="25">
        <f>+VLOOKUP(B189,[1]Balance_Gatún!$A$13:$E$5087,2)</f>
        <v>82.642065878111566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2.7027027027027026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11.363563762117895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5.0561362719982181</v>
      </c>
      <c r="P189" s="24">
        <f>+VLOOKUP(B189,[1]Balance_Madden!$A$12:$V$5087,12)/35.32</f>
        <v>1.9946499411572933</v>
      </c>
      <c r="Q189" s="25">
        <f>+VLOOKUP(B189,[1]Balance_Gatún!$A$13:$AD$5087,15)/35.32</f>
        <v>15.21667416924015</v>
      </c>
      <c r="R189" s="24">
        <f>+VLOOKUP(B189,[1]Balance_Madden!$A$12:$V$5087,14)/35.32</f>
        <v>34.105665571904858</v>
      </c>
      <c r="S189" s="26">
        <f>[1]Balance_Gatún!X188/35.32</f>
        <v>85.364009796807309</v>
      </c>
      <c r="T189" s="25">
        <v>50.756731238073016</v>
      </c>
      <c r="U189" s="25">
        <v>36.314321336479772</v>
      </c>
      <c r="V189" s="29">
        <f>LOOKUP(D189,[1]Parámetros!$A$7:$A$24,[1]Parámetros!$B$7:$B$24)</f>
        <v>47.5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47.5</v>
      </c>
      <c r="AC189" s="32">
        <f>IFERROR($A190-LOOKUP($A190,$Z$14:$Z189),"")</f>
        <v>20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252.196</v>
      </c>
      <c r="D190" s="25">
        <f>+VLOOKUP(B190,[1]Balance_Gatún!$A$13:$E$5087,2)</f>
        <v>82.614415432479205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2.7027027027027026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9.6093165213479192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5.0518186895449961</v>
      </c>
      <c r="P190" s="24">
        <f>+VLOOKUP(B190,[1]Balance_Madden!$A$12:$V$5087,12)/35.32</f>
        <v>1.9287017757112848</v>
      </c>
      <c r="Q190" s="25">
        <f>+VLOOKUP(B190,[1]Balance_Gatún!$A$13:$AD$5087,15)/35.32</f>
        <v>14.715459704699438</v>
      </c>
      <c r="R190" s="24">
        <f>+VLOOKUP(B190,[1]Balance_Madden!$A$12:$V$5087,14)/35.32</f>
        <v>32.285470165688871</v>
      </c>
      <c r="S190" s="26">
        <f>[1]Balance_Gatún!X189/35.32</f>
        <v>84.812835084570324</v>
      </c>
      <c r="T190" s="25">
        <v>193.9515237575263</v>
      </c>
      <c r="U190" s="25">
        <v>67.152119282282015</v>
      </c>
      <c r="V190" s="29">
        <f>LOOKUP(D190,[1]Parámetros!$A$7:$A$24,[1]Parámetros!$B$7:$B$24)</f>
        <v>47.5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47.5</v>
      </c>
      <c r="AC190" s="32">
        <f>IFERROR($A191-LOOKUP($A191,$Z$14:$Z190),"")</f>
        <v>21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252.15700000000001</v>
      </c>
      <c r="D191" s="25">
        <f>+VLOOKUP(B191,[1]Balance_Gatún!$A$13:$E$5087,2)</f>
        <v>82.585615915184434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2.7027027027027026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8.0335962475274076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5.0473216809909038</v>
      </c>
      <c r="P191" s="24">
        <f>+VLOOKUP(B191,[1]Balance_Madden!$A$12:$V$5087,12)/35.32</f>
        <v>2.3800160091087208</v>
      </c>
      <c r="Q191" s="25">
        <f>+VLOOKUP(B191,[1]Balance_Gatún!$A$13:$AD$5087,15)/35.32</f>
        <v>18.160484879905077</v>
      </c>
      <c r="R191" s="24">
        <f>+VLOOKUP(B191,[1]Balance_Madden!$A$12:$V$5087,14)/35.32</f>
        <v>31.161064125265796</v>
      </c>
      <c r="S191" s="26">
        <f>[1]Balance_Gatún!X190/35.32</f>
        <v>88.20582381028396</v>
      </c>
      <c r="T191" s="25">
        <v>94.977756283396815</v>
      </c>
      <c r="U191" s="25">
        <v>58.838532451589103</v>
      </c>
      <c r="V191" s="29">
        <f>LOOKUP(D191,[1]Parámetros!$A$7:$A$24,[1]Parámetros!$B$7:$B$24)</f>
        <v>47.5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47.5</v>
      </c>
      <c r="AC191" s="32">
        <f>IFERROR($A192-LOOKUP($A192,$Z$14:$Z191),"")</f>
        <v>22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252.11699999999999</v>
      </c>
      <c r="D192" s="25">
        <f>+VLOOKUP(B192,[1]Balance_Gatún!$A$13:$E$5087,2)</f>
        <v>82.552228350120203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2.7027027027027026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6.5177364741175294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5.0421082545241562</v>
      </c>
      <c r="P192" s="24">
        <f>+VLOOKUP(B192,[1]Balance_Madden!$A$12:$V$5087,12)/35.32</f>
        <v>0.69177977149341896</v>
      </c>
      <c r="Q192" s="25">
        <f>+VLOOKUP(B192,[1]Balance_Gatún!$A$13:$AD$5087,15)/35.32</f>
        <v>5.2787774881093128</v>
      </c>
      <c r="R192" s="24">
        <f>+VLOOKUP(B192,[1]Balance_Madden!$A$12:$V$5087,14)/35.32</f>
        <v>27.956968114240617</v>
      </c>
      <c r="S192" s="26">
        <f>[1]Balance_Gatún!X191/35.32</f>
        <v>75.263790048245852</v>
      </c>
      <c r="T192" s="25">
        <v>96.544403138638629</v>
      </c>
      <c r="U192" s="25">
        <v>74.942286223092026</v>
      </c>
      <c r="V192" s="29">
        <f>LOOKUP(D192,[1]Parámetros!$A$7:$A$24,[1]Parámetros!$B$7:$B$24)</f>
        <v>47.5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47.5</v>
      </c>
      <c r="AC192" s="32">
        <f>IFERROR($A193-LOOKUP($A193,$Z$14:$Z192),"")</f>
        <v>23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252.05099999999999</v>
      </c>
      <c r="D193" s="25">
        <f>+VLOOKUP(B193,[1]Balance_Gatún!$A$13:$E$5087,2)</f>
        <v>82.523865045534691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2.7027027027027026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4.2592658637521428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5.0376793600382568</v>
      </c>
      <c r="P193" s="24">
        <f>+VLOOKUP(B193,[1]Balance_Madden!$A$12:$V$5087,12)/35.32</f>
        <v>1.4927136352041208</v>
      </c>
      <c r="Q193" s="25">
        <f>+VLOOKUP(B193,[1]Balance_Gatún!$A$13:$AD$5087,15)/35.32</f>
        <v>11.395237166629212</v>
      </c>
      <c r="R193" s="24">
        <f>+VLOOKUP(B193,[1]Balance_Madden!$A$12:$V$5087,14)/35.32</f>
        <v>26.499431367585935</v>
      </c>
      <c r="S193" s="26">
        <f>[1]Balance_Gatún!X192/35.32</f>
        <v>81.329001448838611</v>
      </c>
      <c r="T193" s="25">
        <v>83.535512912937406</v>
      </c>
      <c r="U193" s="25">
        <v>159.37491214473945</v>
      </c>
      <c r="V193" s="29">
        <f>LOOKUP(D193,[1]Parámetros!$A$7:$A$24,[1]Parámetros!$B$7:$B$24)</f>
        <v>47.5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47.5</v>
      </c>
      <c r="AC193" s="32">
        <f>IFERROR($A194-LOOKUP($A194,$Z$14:$Z193),"")</f>
        <v>24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252.06399999999999</v>
      </c>
      <c r="D194" s="25">
        <f>+VLOOKUP(B194,[1]Balance_Gatún!$A$13:$E$5087,2)</f>
        <v>82.491268543135419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2.7027027027027026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4.6786414854038672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5.0325894570158329</v>
      </c>
      <c r="P194" s="24">
        <f>+VLOOKUP(B194,[1]Balance_Madden!$A$12:$V$5087,12)/35.32</f>
        <v>0.84285411408031674</v>
      </c>
      <c r="Q194" s="25">
        <f>+VLOOKUP(B194,[1]Balance_Gatún!$A$13:$AD$5087,15)/35.32</f>
        <v>6.4305278028944111</v>
      </c>
      <c r="R194" s="24">
        <f>+VLOOKUP(B194,[1]Balance_Madden!$A$12:$V$5087,14)/35.32</f>
        <v>26.268947468113858</v>
      </c>
      <c r="S194" s="26">
        <f>[1]Balance_Gatún!X193/35.32</f>
        <v>76.305395047582138</v>
      </c>
      <c r="T194" s="25">
        <v>83.741234987008227</v>
      </c>
      <c r="U194" s="25">
        <v>75.295784723503459</v>
      </c>
      <c r="V194" s="29">
        <f>LOOKUP(D194,[1]Parámetros!$A$7:$A$24,[1]Parámetros!$B$7:$B$24)</f>
        <v>47.5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47.5</v>
      </c>
      <c r="AC194" s="32">
        <f>IFERROR($A195-LOOKUP($A195,$Z$14:$Z194),"")</f>
        <v>25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252.202</v>
      </c>
      <c r="D195" s="25">
        <f>+VLOOKUP(B195,[1]Balance_Gatún!$A$13:$E$5087,2)</f>
        <v>82.47219036238657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2.7027027027027026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9.8599173031502261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5.0296104229873837</v>
      </c>
      <c r="P195" s="24">
        <f>+VLOOKUP(B195,[1]Balance_Madden!$A$12:$V$5087,12)/35.32</f>
        <v>1.2625092293424958</v>
      </c>
      <c r="Q195" s="25">
        <f>+VLOOKUP(B195,[1]Balance_Gatún!$A$13:$AD$5087,15)/35.32</f>
        <v>9.6140093899269434</v>
      </c>
      <c r="R195" s="24">
        <f>+VLOOKUP(B195,[1]Balance_Madden!$A$12:$V$5087,14)/35.32</f>
        <v>31.869878401122392</v>
      </c>
      <c r="S195" s="26">
        <f>[1]Balance_Gatún!X194/35.32</f>
        <v>79.454405196125805</v>
      </c>
      <c r="T195" s="25">
        <v>83.312340491788078</v>
      </c>
      <c r="U195" s="25">
        <v>55.307151562534223</v>
      </c>
      <c r="V195" s="29">
        <f>LOOKUP(D195,[1]Parámetros!$A$7:$A$24,[1]Parámetros!$B$7:$B$24)</f>
        <v>47</v>
      </c>
      <c r="W195" s="30" t="str">
        <f t="shared" si="12"/>
        <v>Cambio Calado</v>
      </c>
      <c r="X195" s="31">
        <f t="shared" si="13"/>
        <v>46385</v>
      </c>
      <c r="Y195" s="30">
        <f>IF($W195="Cambio Calado",COUNTIF($W$14:W195,"Cambio Calado"),"")</f>
        <v>8</v>
      </c>
      <c r="Z195" s="31">
        <f t="shared" si="14"/>
        <v>46385</v>
      </c>
      <c r="AA195" s="30">
        <f t="shared" si="15"/>
        <v>47</v>
      </c>
      <c r="AB195" s="29">
        <f>IFERROR(LOOKUP($A195,$Z$14:$Z195,$AA$14:$AA195),$U195)</f>
        <v>47</v>
      </c>
      <c r="AC195" s="32">
        <f>IFERROR($A196-LOOKUP($A196,$Z$14:$Z195),"")</f>
        <v>1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252.166</v>
      </c>
      <c r="D196" s="25">
        <f>+VLOOKUP(B196,[1]Balance_Gatún!$A$13:$E$5087,2)</f>
        <v>82.451620095869984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2.7027027027027026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8.3888882560724092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5.0263984016351415</v>
      </c>
      <c r="P196" s="24">
        <f>+VLOOKUP(B196,[1]Balance_Madden!$A$12:$V$5087,12)/35.32</f>
        <v>0.98057609177866767</v>
      </c>
      <c r="Q196" s="25">
        <f>+VLOOKUP(B196,[1]Balance_Gatún!$A$13:$AD$5087,15)/35.32</f>
        <v>7.4682871739413415</v>
      </c>
      <c r="R196" s="24">
        <f>+VLOOKUP(B196,[1]Balance_Madden!$A$12:$V$5087,14)/35.32</f>
        <v>30.11691621648075</v>
      </c>
      <c r="S196" s="26">
        <f>[1]Balance_Gatún!X195/35.32</f>
        <v>77.271515564323053</v>
      </c>
      <c r="T196" s="25">
        <v>66.694991251287803</v>
      </c>
      <c r="U196" s="25">
        <v>79.273982441728961</v>
      </c>
      <c r="V196" s="29">
        <f>LOOKUP(D196,[1]Parámetros!$A$7:$A$24,[1]Parámetros!$B$7:$B$24)</f>
        <v>47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47</v>
      </c>
      <c r="AC196" s="32">
        <f>IFERROR($A197-LOOKUP($A197,$Z$14:$Z196),"")</f>
        <v>2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252.11199999999999</v>
      </c>
      <c r="D197" s="25">
        <f>+VLOOKUP(B197,[1]Balance_Gatún!$A$13:$E$5087,2)</f>
        <v>82.445735515050885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6.3357464576769758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5.0254795317106948</v>
      </c>
      <c r="P197" s="24">
        <f>+VLOOKUP(B197,[1]Balance_Madden!$A$12:$V$5087,12)/35.32</f>
        <v>1.5801068243017877</v>
      </c>
      <c r="Q197" s="25">
        <f>+VLOOKUP(B197,[1]Balance_Gatún!$A$13:$AD$5087,15)/35.32</f>
        <v>12.041283568879942</v>
      </c>
      <c r="R197" s="24">
        <f>+VLOOKUP(B197,[1]Balance_Madden!$A$12:$V$5087,14)/35.32</f>
        <v>20.169533916180352</v>
      </c>
      <c r="S197" s="26">
        <f>[1]Balance_Gatún!X196/35.32</f>
        <v>81.833879395894684</v>
      </c>
      <c r="T197" s="25">
        <v>20.997374833938132</v>
      </c>
      <c r="U197" s="25">
        <v>87.882793237950651</v>
      </c>
      <c r="V197" s="29">
        <f>LOOKUP(D197,[1]Parámetros!$A$7:$A$24,[1]Parámetros!$B$7:$B$24)</f>
        <v>47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47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2026-09-14T13:32:14Z</dcterms:modified>
</cp:coreProperties>
</file>