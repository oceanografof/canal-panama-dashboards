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16" documentId="8_{29E71870-274C-47BF-AFC6-36C7708B9818}" xr6:coauthVersionLast="47" xr6:coauthVersionMax="47" xr10:uidLastSave="{888AFD75-78D7-4949-B449-15D4FE54035D}"/>
  <bookViews>
    <workbookView xWindow="-28920" yWindow="-120" windowWidth="29040" windowHeight="17520" xr2:uid="{E6F809A6-540B-408C-B3E0-0EE9CB858D76}"/>
  </bookViews>
  <sheets>
    <sheet name="Resumen 1  " sheetId="4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4" l="1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A161" i="4"/>
  <c r="B160" i="4"/>
  <c r="A160" i="4"/>
  <c r="B159" i="4"/>
  <c r="B158" i="4"/>
  <c r="B157" i="4"/>
  <c r="B156" i="4"/>
  <c r="A156" i="4"/>
  <c r="B155" i="4"/>
  <c r="B154" i="4"/>
  <c r="B153" i="4"/>
  <c r="B152" i="4"/>
  <c r="B151" i="4"/>
  <c r="B150" i="4"/>
  <c r="B149" i="4"/>
  <c r="B148" i="4"/>
  <c r="A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A133" i="4"/>
  <c r="B132" i="4"/>
  <c r="F132" i="4" s="1"/>
  <c r="B131" i="4"/>
  <c r="A131" i="4"/>
  <c r="B130" i="4"/>
  <c r="A130" i="4"/>
  <c r="B129" i="4"/>
  <c r="B128" i="4"/>
  <c r="B127" i="4"/>
  <c r="B126" i="4"/>
  <c r="A126" i="4"/>
  <c r="B125" i="4"/>
  <c r="B124" i="4"/>
  <c r="B123" i="4"/>
  <c r="B122" i="4"/>
  <c r="B121" i="4"/>
  <c r="B120" i="4"/>
  <c r="B119" i="4"/>
  <c r="B118" i="4"/>
  <c r="B117" i="4"/>
  <c r="B116" i="4"/>
  <c r="B115" i="4"/>
  <c r="A115" i="4" s="1"/>
  <c r="B114" i="4"/>
  <c r="B113" i="4"/>
  <c r="A113" i="4" s="1"/>
  <c r="B112" i="4"/>
  <c r="B111" i="4"/>
  <c r="B110" i="4"/>
  <c r="B109" i="4"/>
  <c r="B108" i="4"/>
  <c r="B107" i="4"/>
  <c r="B106" i="4"/>
  <c r="B105" i="4"/>
  <c r="B104" i="4"/>
  <c r="B103" i="4"/>
  <c r="A103" i="4"/>
  <c r="B102" i="4"/>
  <c r="A102" i="4" s="1"/>
  <c r="B101" i="4"/>
  <c r="B100" i="4"/>
  <c r="B99" i="4"/>
  <c r="A99" i="4"/>
  <c r="B98" i="4"/>
  <c r="B97" i="4"/>
  <c r="B96" i="4"/>
  <c r="B95" i="4"/>
  <c r="B94" i="4"/>
  <c r="B93" i="4"/>
  <c r="B92" i="4"/>
  <c r="AD91" i="4" a="1"/>
  <c r="B91" i="4"/>
  <c r="A91" i="4"/>
  <c r="B90" i="4"/>
  <c r="A90" i="4"/>
  <c r="B89" i="4"/>
  <c r="A89" i="4" s="1"/>
  <c r="B88" i="4"/>
  <c r="A88" i="4" s="1"/>
  <c r="B87" i="4"/>
  <c r="A87" i="4" s="1"/>
  <c r="B86" i="4"/>
  <c r="A86" i="4" s="1"/>
  <c r="B85" i="4"/>
  <c r="A85" i="4"/>
  <c r="B84" i="4"/>
  <c r="A84" i="4" s="1"/>
  <c r="B83" i="4"/>
  <c r="A83" i="4" s="1"/>
  <c r="B82" i="4"/>
  <c r="A82" i="4"/>
  <c r="B81" i="4"/>
  <c r="A81" i="4" s="1"/>
  <c r="B80" i="4"/>
  <c r="A80" i="4" s="1"/>
  <c r="B79" i="4"/>
  <c r="A79" i="4"/>
  <c r="B78" i="4"/>
  <c r="A78" i="4"/>
  <c r="B77" i="4"/>
  <c r="A77" i="4"/>
  <c r="B76" i="4"/>
  <c r="A76" i="4" s="1"/>
  <c r="B75" i="4"/>
  <c r="A75" i="4"/>
  <c r="B74" i="4"/>
  <c r="A74" i="4" s="1"/>
  <c r="B73" i="4"/>
  <c r="A73" i="4" s="1"/>
  <c r="B72" i="4"/>
  <c r="A72" i="4" s="1"/>
  <c r="B71" i="4"/>
  <c r="A71" i="4" s="1"/>
  <c r="B70" i="4"/>
  <c r="A70" i="4"/>
  <c r="B69" i="4"/>
  <c r="A69" i="4" s="1"/>
  <c r="B68" i="4"/>
  <c r="A68" i="4"/>
  <c r="B67" i="4"/>
  <c r="A67" i="4" s="1"/>
  <c r="B66" i="4"/>
  <c r="A66" i="4" s="1"/>
  <c r="B65" i="4"/>
  <c r="A65" i="4"/>
  <c r="B64" i="4"/>
  <c r="A64" i="4"/>
  <c r="B63" i="4"/>
  <c r="A63" i="4" s="1"/>
  <c r="B62" i="4"/>
  <c r="A62" i="4"/>
  <c r="B61" i="4"/>
  <c r="A61" i="4" s="1"/>
  <c r="B60" i="4"/>
  <c r="A60" i="4"/>
  <c r="B59" i="4"/>
  <c r="A59" i="4" s="1"/>
  <c r="B58" i="4"/>
  <c r="A58" i="4"/>
  <c r="B57" i="4"/>
  <c r="A57" i="4" s="1"/>
  <c r="B56" i="4"/>
  <c r="A56" i="4"/>
  <c r="B55" i="4"/>
  <c r="A55" i="4"/>
  <c r="B54" i="4"/>
  <c r="A54" i="4" s="1"/>
  <c r="B53" i="4"/>
  <c r="A53" i="4" s="1"/>
  <c r="B52" i="4"/>
  <c r="A52" i="4" s="1"/>
  <c r="B51" i="4"/>
  <c r="A51" i="4"/>
  <c r="B50" i="4"/>
  <c r="A50" i="4" s="1"/>
  <c r="B49" i="4"/>
  <c r="A49" i="4" s="1"/>
  <c r="B48" i="4"/>
  <c r="A48" i="4" s="1"/>
  <c r="B47" i="4"/>
  <c r="A47" i="4" s="1"/>
  <c r="S46" i="4"/>
  <c r="B46" i="4"/>
  <c r="A46" i="4" s="1"/>
  <c r="S45" i="4"/>
  <c r="B45" i="4"/>
  <c r="A45" i="4" s="1"/>
  <c r="S44" i="4"/>
  <c r="B44" i="4"/>
  <c r="A44" i="4" s="1"/>
  <c r="S43" i="4"/>
  <c r="B43" i="4"/>
  <c r="A43" i="4" s="1"/>
  <c r="S42" i="4"/>
  <c r="B42" i="4"/>
  <c r="A42" i="4" s="1"/>
  <c r="S41" i="4"/>
  <c r="B41" i="4"/>
  <c r="A41" i="4"/>
  <c r="S40" i="4"/>
  <c r="B40" i="4"/>
  <c r="A40" i="4"/>
  <c r="S39" i="4"/>
  <c r="B39" i="4"/>
  <c r="A39" i="4" s="1"/>
  <c r="S38" i="4"/>
  <c r="B38" i="4"/>
  <c r="A38" i="4" s="1"/>
  <c r="S37" i="4"/>
  <c r="B37" i="4"/>
  <c r="A37" i="4"/>
  <c r="S36" i="4"/>
  <c r="B36" i="4"/>
  <c r="A36" i="4" s="1"/>
  <c r="S35" i="4"/>
  <c r="B35" i="4"/>
  <c r="A35" i="4" s="1"/>
  <c r="S34" i="4"/>
  <c r="B34" i="4"/>
  <c r="A34" i="4" s="1"/>
  <c r="S33" i="4"/>
  <c r="B33" i="4"/>
  <c r="A33" i="4"/>
  <c r="S32" i="4"/>
  <c r="B32" i="4"/>
  <c r="A32" i="4"/>
  <c r="S31" i="4"/>
  <c r="B31" i="4"/>
  <c r="A31" i="4" s="1"/>
  <c r="S30" i="4"/>
  <c r="B30" i="4"/>
  <c r="A30" i="4"/>
  <c r="S29" i="4"/>
  <c r="B29" i="4"/>
  <c r="A29" i="4"/>
  <c r="S28" i="4"/>
  <c r="B28" i="4"/>
  <c r="A28" i="4" s="1"/>
  <c r="S27" i="4"/>
  <c r="B27" i="4"/>
  <c r="A27" i="4"/>
  <c r="S26" i="4"/>
  <c r="B26" i="4"/>
  <c r="A26" i="4"/>
  <c r="S25" i="4"/>
  <c r="B25" i="4"/>
  <c r="A25" i="4" s="1"/>
  <c r="S24" i="4"/>
  <c r="B24" i="4"/>
  <c r="A24" i="4" s="1"/>
  <c r="S23" i="4"/>
  <c r="B23" i="4"/>
  <c r="A23" i="4" s="1"/>
  <c r="S22" i="4"/>
  <c r="B22" i="4"/>
  <c r="A22" i="4"/>
  <c r="S21" i="4"/>
  <c r="B21" i="4"/>
  <c r="A21" i="4"/>
  <c r="S20" i="4"/>
  <c r="B20" i="4"/>
  <c r="A20" i="4" s="1"/>
  <c r="S19" i="4"/>
  <c r="B19" i="4"/>
  <c r="A19" i="4" s="1"/>
  <c r="S18" i="4"/>
  <c r="B18" i="4"/>
  <c r="A18" i="4"/>
  <c r="S17" i="4"/>
  <c r="B17" i="4"/>
  <c r="A17" i="4" s="1"/>
  <c r="S16" i="4"/>
  <c r="B16" i="4"/>
  <c r="A16" i="4" s="1"/>
  <c r="S15" i="4"/>
  <c r="B15" i="4"/>
  <c r="A15" i="4"/>
  <c r="S14" i="4"/>
  <c r="B14" i="4"/>
  <c r="A14" i="4" s="1"/>
  <c r="S11" i="4"/>
  <c r="C8" i="4"/>
  <c r="C7" i="4"/>
  <c r="H168" i="4" l="1"/>
  <c r="E168" i="4"/>
  <c r="H162" i="4"/>
  <c r="G162" i="4"/>
  <c r="A92" i="4"/>
  <c r="M197" i="4"/>
  <c r="H197" i="4"/>
  <c r="E197" i="4"/>
  <c r="N197" i="4"/>
  <c r="F197" i="4"/>
  <c r="A197" i="4"/>
  <c r="L197" i="4"/>
  <c r="G197" i="4"/>
  <c r="K197" i="4"/>
  <c r="AD197" i="4" a="1"/>
  <c r="AD196" i="4" a="1"/>
  <c r="H196" i="4"/>
  <c r="N196" i="4"/>
  <c r="A196" i="4"/>
  <c r="F196" i="4"/>
  <c r="M196" i="4"/>
  <c r="G196" i="4"/>
  <c r="L196" i="4"/>
  <c r="K196" i="4"/>
  <c r="E196" i="4"/>
  <c r="G195" i="4"/>
  <c r="A195" i="4"/>
  <c r="L195" i="4"/>
  <c r="K195" i="4"/>
  <c r="AD195" i="4" a="1"/>
  <c r="F195" i="4"/>
  <c r="M195" i="4"/>
  <c r="N195" i="4"/>
  <c r="H195" i="4"/>
  <c r="E195" i="4"/>
  <c r="M194" i="4"/>
  <c r="E194" i="4"/>
  <c r="A194" i="4"/>
  <c r="L194" i="4"/>
  <c r="AD194" i="4" a="1"/>
  <c r="F194" i="4"/>
  <c r="H194" i="4"/>
  <c r="N194" i="4"/>
  <c r="K194" i="4"/>
  <c r="G194" i="4"/>
  <c r="G193" i="4"/>
  <c r="K193" i="4"/>
  <c r="M193" i="4"/>
  <c r="F193" i="4"/>
  <c r="A193" i="4"/>
  <c r="E193" i="4"/>
  <c r="N193" i="4"/>
  <c r="AD193" i="4" a="1"/>
  <c r="L193" i="4"/>
  <c r="H193" i="4"/>
  <c r="G192" i="4"/>
  <c r="A192" i="4"/>
  <c r="AD192" i="4" a="1"/>
  <c r="K192" i="4"/>
  <c r="N192" i="4"/>
  <c r="M192" i="4"/>
  <c r="H192" i="4"/>
  <c r="L192" i="4"/>
  <c r="E192" i="4"/>
  <c r="F192" i="4"/>
  <c r="A191" i="4"/>
  <c r="K191" i="4"/>
  <c r="N191" i="4"/>
  <c r="L191" i="4"/>
  <c r="F191" i="4"/>
  <c r="AD191" i="4" a="1"/>
  <c r="E191" i="4"/>
  <c r="H191" i="4"/>
  <c r="M191" i="4"/>
  <c r="G191" i="4"/>
  <c r="N190" i="4"/>
  <c r="K190" i="4"/>
  <c r="AD190" i="4" a="1"/>
  <c r="H190" i="4"/>
  <c r="G190" i="4"/>
  <c r="A190" i="4"/>
  <c r="F190" i="4"/>
  <c r="E190" i="4"/>
  <c r="L190" i="4"/>
  <c r="M190" i="4"/>
  <c r="AD189" i="4" a="1"/>
  <c r="A189" i="4"/>
  <c r="H189" i="4"/>
  <c r="E189" i="4"/>
  <c r="M189" i="4"/>
  <c r="L189" i="4"/>
  <c r="F189" i="4"/>
  <c r="K189" i="4"/>
  <c r="N189" i="4"/>
  <c r="G189" i="4"/>
  <c r="L188" i="4"/>
  <c r="A188" i="4"/>
  <c r="E188" i="4"/>
  <c r="N188" i="4"/>
  <c r="H188" i="4"/>
  <c r="M188" i="4"/>
  <c r="AD188" i="4" a="1"/>
  <c r="G188" i="4"/>
  <c r="F188" i="4"/>
  <c r="K188" i="4"/>
  <c r="L187" i="4"/>
  <c r="F187" i="4"/>
  <c r="AD187" i="4" a="1"/>
  <c r="E187" i="4"/>
  <c r="N187" i="4"/>
  <c r="H187" i="4"/>
  <c r="K187" i="4"/>
  <c r="G187" i="4"/>
  <c r="A187" i="4"/>
  <c r="M187" i="4"/>
  <c r="M186" i="4"/>
  <c r="E186" i="4"/>
  <c r="H186" i="4"/>
  <c r="L186" i="4"/>
  <c r="AD186" i="4" a="1"/>
  <c r="K186" i="4"/>
  <c r="A186" i="4"/>
  <c r="G186" i="4"/>
  <c r="F186" i="4"/>
  <c r="N186" i="4"/>
  <c r="M185" i="4"/>
  <c r="G185" i="4"/>
  <c r="K185" i="4"/>
  <c r="F185" i="4"/>
  <c r="L185" i="4"/>
  <c r="A185" i="4"/>
  <c r="AD185" i="4" a="1"/>
  <c r="N185" i="4"/>
  <c r="E185" i="4"/>
  <c r="H185" i="4"/>
  <c r="A184" i="4"/>
  <c r="N184" i="4"/>
  <c r="F184" i="4"/>
  <c r="M184" i="4"/>
  <c r="AD184" i="4" a="1"/>
  <c r="E184" i="4"/>
  <c r="G184" i="4"/>
  <c r="L184" i="4"/>
  <c r="K184" i="4"/>
  <c r="H184" i="4"/>
  <c r="L183" i="4"/>
  <c r="H183" i="4"/>
  <c r="N183" i="4"/>
  <c r="E183" i="4"/>
  <c r="M183" i="4"/>
  <c r="A183" i="4"/>
  <c r="K183" i="4"/>
  <c r="G183" i="4"/>
  <c r="F183" i="4"/>
  <c r="AD183" i="4" a="1"/>
  <c r="N182" i="4"/>
  <c r="AD182" i="4" a="1"/>
  <c r="G182" i="4"/>
  <c r="F182" i="4"/>
  <c r="E182" i="4"/>
  <c r="H182" i="4"/>
  <c r="M182" i="4"/>
  <c r="A182" i="4"/>
  <c r="L182" i="4"/>
  <c r="K182" i="4"/>
  <c r="A181" i="4"/>
  <c r="F181" i="4"/>
  <c r="AD181" i="4" a="1"/>
  <c r="G181" i="4"/>
  <c r="M181" i="4"/>
  <c r="N181" i="4"/>
  <c r="E181" i="4"/>
  <c r="H181" i="4"/>
  <c r="L181" i="4"/>
  <c r="K181" i="4"/>
  <c r="L180" i="4"/>
  <c r="H180" i="4"/>
  <c r="AD180" i="4" a="1"/>
  <c r="E180" i="4"/>
  <c r="N180" i="4"/>
  <c r="G180" i="4"/>
  <c r="A180" i="4"/>
  <c r="F180" i="4"/>
  <c r="K180" i="4"/>
  <c r="M180" i="4"/>
  <c r="H179" i="4"/>
  <c r="A179" i="4"/>
  <c r="K179" i="4"/>
  <c r="N179" i="4"/>
  <c r="L179" i="4"/>
  <c r="F179" i="4"/>
  <c r="M179" i="4"/>
  <c r="E179" i="4"/>
  <c r="G179" i="4"/>
  <c r="AD179" i="4" a="1"/>
  <c r="H178" i="4"/>
  <c r="M178" i="4"/>
  <c r="F178" i="4"/>
  <c r="A178" i="4"/>
  <c r="G178" i="4"/>
  <c r="K178" i="4"/>
  <c r="N178" i="4"/>
  <c r="E178" i="4"/>
  <c r="AD178" i="4" a="1"/>
  <c r="L178" i="4"/>
  <c r="N177" i="4"/>
  <c r="A177" i="4"/>
  <c r="F177" i="4"/>
  <c r="L177" i="4"/>
  <c r="AD177" i="4" a="1"/>
  <c r="K177" i="4"/>
  <c r="M177" i="4"/>
  <c r="H177" i="4"/>
  <c r="E177" i="4"/>
  <c r="G177" i="4"/>
  <c r="F176" i="4"/>
  <c r="H176" i="4"/>
  <c r="L176" i="4"/>
  <c r="A176" i="4"/>
  <c r="AD176" i="4" a="1"/>
  <c r="E176" i="4"/>
  <c r="G176" i="4"/>
  <c r="M176" i="4"/>
  <c r="N176" i="4"/>
  <c r="K176" i="4"/>
  <c r="K175" i="4"/>
  <c r="AD175" i="4" a="1"/>
  <c r="M175" i="4"/>
  <c r="G175" i="4"/>
  <c r="F175" i="4"/>
  <c r="N175" i="4"/>
  <c r="E175" i="4"/>
  <c r="A175" i="4"/>
  <c r="L175" i="4"/>
  <c r="H175" i="4"/>
  <c r="N174" i="4"/>
  <c r="F174" i="4"/>
  <c r="G174" i="4"/>
  <c r="H174" i="4"/>
  <c r="A174" i="4"/>
  <c r="L174" i="4"/>
  <c r="K174" i="4"/>
  <c r="AD174" i="4" a="1"/>
  <c r="M174" i="4"/>
  <c r="E174" i="4"/>
  <c r="N173" i="4"/>
  <c r="M173" i="4"/>
  <c r="H173" i="4"/>
  <c r="K173" i="4"/>
  <c r="A173" i="4"/>
  <c r="E173" i="4"/>
  <c r="G173" i="4"/>
  <c r="L173" i="4"/>
  <c r="AD173" i="4" a="1"/>
  <c r="F173" i="4"/>
  <c r="H172" i="4"/>
  <c r="F172" i="4"/>
  <c r="N172" i="4"/>
  <c r="E172" i="4"/>
  <c r="M172" i="4"/>
  <c r="AD172" i="4" a="1"/>
  <c r="A172" i="4"/>
  <c r="L172" i="4"/>
  <c r="G172" i="4"/>
  <c r="K172" i="4"/>
  <c r="E171" i="4"/>
  <c r="K171" i="4"/>
  <c r="N171" i="4"/>
  <c r="F171" i="4"/>
  <c r="L171" i="4"/>
  <c r="G171" i="4"/>
  <c r="AD171" i="4" a="1"/>
  <c r="H171" i="4"/>
  <c r="M171" i="4"/>
  <c r="A171" i="4"/>
  <c r="AD170" i="4" a="1"/>
  <c r="M170" i="4"/>
  <c r="G170" i="4"/>
  <c r="F170" i="4"/>
  <c r="E170" i="4"/>
  <c r="H170" i="4"/>
  <c r="L170" i="4"/>
  <c r="N170" i="4"/>
  <c r="A170" i="4"/>
  <c r="K170" i="4"/>
  <c r="F169" i="4"/>
  <c r="E169" i="4"/>
  <c r="K169" i="4"/>
  <c r="M169" i="4"/>
  <c r="G169" i="4"/>
  <c r="H169" i="4"/>
  <c r="L169" i="4"/>
  <c r="N169" i="4"/>
  <c r="A169" i="4"/>
  <c r="AD169" i="4" a="1"/>
  <c r="A168" i="4"/>
  <c r="F168" i="4"/>
  <c r="G168" i="4"/>
  <c r="L168" i="4"/>
  <c r="M168" i="4"/>
  <c r="K168" i="4"/>
  <c r="N168" i="4"/>
  <c r="AD168" i="4" a="1"/>
  <c r="A167" i="4"/>
  <c r="K167" i="4"/>
  <c r="N167" i="4"/>
  <c r="H167" i="4"/>
  <c r="L167" i="4"/>
  <c r="AD167" i="4" a="1"/>
  <c r="F167" i="4"/>
  <c r="G167" i="4"/>
  <c r="M167" i="4"/>
  <c r="E167" i="4"/>
  <c r="E166" i="4"/>
  <c r="H166" i="4"/>
  <c r="N166" i="4"/>
  <c r="K166" i="4"/>
  <c r="G166" i="4"/>
  <c r="L166" i="4"/>
  <c r="AD166" i="4" a="1"/>
  <c r="M166" i="4"/>
  <c r="A166" i="4"/>
  <c r="F166" i="4"/>
  <c r="AD165" i="4" a="1"/>
  <c r="L165" i="4"/>
  <c r="E165" i="4"/>
  <c r="K165" i="4"/>
  <c r="F165" i="4"/>
  <c r="M165" i="4"/>
  <c r="N165" i="4"/>
  <c r="H165" i="4"/>
  <c r="A165" i="4"/>
  <c r="G165" i="4"/>
  <c r="M164" i="4"/>
  <c r="H164" i="4"/>
  <c r="A164" i="4"/>
  <c r="G164" i="4"/>
  <c r="E164" i="4"/>
  <c r="N164" i="4"/>
  <c r="F164" i="4"/>
  <c r="K164" i="4"/>
  <c r="AD164" i="4" a="1"/>
  <c r="L164" i="4"/>
  <c r="E163" i="4"/>
  <c r="AD163" i="4" a="1"/>
  <c r="F163" i="4"/>
  <c r="M163" i="4"/>
  <c r="N163" i="4"/>
  <c r="A163" i="4"/>
  <c r="G163" i="4"/>
  <c r="K163" i="4"/>
  <c r="H163" i="4"/>
  <c r="L163" i="4"/>
  <c r="E162" i="4"/>
  <c r="AD162" i="4" a="1"/>
  <c r="F162" i="4"/>
  <c r="K162" i="4"/>
  <c r="M162" i="4"/>
  <c r="A162" i="4"/>
  <c r="L162" i="4"/>
  <c r="N162" i="4"/>
  <c r="L161" i="4"/>
  <c r="E161" i="4"/>
  <c r="F161" i="4"/>
  <c r="G161" i="4"/>
  <c r="M161" i="4"/>
  <c r="H161" i="4"/>
  <c r="AD161" i="4" a="1"/>
  <c r="K161" i="4"/>
  <c r="N161" i="4"/>
  <c r="F160" i="4"/>
  <c r="K160" i="4"/>
  <c r="L160" i="4"/>
  <c r="N160" i="4"/>
  <c r="G160" i="4"/>
  <c r="M160" i="4"/>
  <c r="E160" i="4"/>
  <c r="H160" i="4"/>
  <c r="AD160" i="4" a="1"/>
  <c r="L159" i="4"/>
  <c r="N159" i="4"/>
  <c r="AD159" i="4" a="1"/>
  <c r="M159" i="4"/>
  <c r="H159" i="4"/>
  <c r="E159" i="4"/>
  <c r="K159" i="4"/>
  <c r="F159" i="4"/>
  <c r="G159" i="4"/>
  <c r="A159" i="4"/>
  <c r="M158" i="4"/>
  <c r="E158" i="4"/>
  <c r="G158" i="4"/>
  <c r="F158" i="4"/>
  <c r="AD158" i="4" a="1"/>
  <c r="K158" i="4"/>
  <c r="L158" i="4"/>
  <c r="A158" i="4"/>
  <c r="N158" i="4"/>
  <c r="H158" i="4"/>
  <c r="L157" i="4"/>
  <c r="N157" i="4"/>
  <c r="AD157" i="4" a="1"/>
  <c r="K157" i="4"/>
  <c r="G157" i="4"/>
  <c r="F157" i="4"/>
  <c r="H157" i="4"/>
  <c r="A157" i="4"/>
  <c r="E157" i="4"/>
  <c r="M157" i="4"/>
  <c r="F156" i="4"/>
  <c r="K156" i="4"/>
  <c r="M156" i="4"/>
  <c r="E156" i="4"/>
  <c r="N156" i="4"/>
  <c r="AD156" i="4" a="1"/>
  <c r="G156" i="4"/>
  <c r="L156" i="4"/>
  <c r="H156" i="4"/>
  <c r="N155" i="4"/>
  <c r="F155" i="4"/>
  <c r="G155" i="4"/>
  <c r="L155" i="4"/>
  <c r="H155" i="4"/>
  <c r="A155" i="4"/>
  <c r="K155" i="4"/>
  <c r="AD155" i="4" a="1"/>
  <c r="M155" i="4"/>
  <c r="E155" i="4"/>
  <c r="K154" i="4"/>
  <c r="M154" i="4"/>
  <c r="A154" i="4"/>
  <c r="N154" i="4"/>
  <c r="F154" i="4"/>
  <c r="G154" i="4"/>
  <c r="E154" i="4"/>
  <c r="L154" i="4"/>
  <c r="AD154" i="4" a="1"/>
  <c r="H154" i="4"/>
  <c r="K153" i="4"/>
  <c r="G153" i="4"/>
  <c r="M153" i="4"/>
  <c r="E153" i="4"/>
  <c r="H153" i="4"/>
  <c r="L153" i="4"/>
  <c r="F153" i="4"/>
  <c r="A153" i="4"/>
  <c r="N153" i="4"/>
  <c r="AD153" i="4" a="1"/>
  <c r="F152" i="4"/>
  <c r="AD152" i="4" a="1"/>
  <c r="H152" i="4"/>
  <c r="M152" i="4"/>
  <c r="K152" i="4"/>
  <c r="A152" i="4"/>
  <c r="L152" i="4"/>
  <c r="N152" i="4"/>
  <c r="E152" i="4"/>
  <c r="G152" i="4"/>
  <c r="F151" i="4"/>
  <c r="N151" i="4"/>
  <c r="L151" i="4"/>
  <c r="K151" i="4"/>
  <c r="H151" i="4"/>
  <c r="AD151" i="4" a="1"/>
  <c r="A151" i="4"/>
  <c r="E151" i="4"/>
  <c r="M151" i="4"/>
  <c r="G151" i="4"/>
  <c r="N150" i="4"/>
  <c r="A150" i="4"/>
  <c r="AD150" i="4" a="1"/>
  <c r="K150" i="4"/>
  <c r="M150" i="4"/>
  <c r="F150" i="4"/>
  <c r="E150" i="4"/>
  <c r="H150" i="4"/>
  <c r="G150" i="4"/>
  <c r="L150" i="4"/>
  <c r="K149" i="4"/>
  <c r="M149" i="4"/>
  <c r="A149" i="4"/>
  <c r="G149" i="4"/>
  <c r="F149" i="4"/>
  <c r="E149" i="4"/>
  <c r="N149" i="4"/>
  <c r="L149" i="4"/>
  <c r="H149" i="4"/>
  <c r="AD149" i="4" a="1"/>
  <c r="F148" i="4"/>
  <c r="E148" i="4"/>
  <c r="L148" i="4"/>
  <c r="H148" i="4"/>
  <c r="M148" i="4"/>
  <c r="AD148" i="4" a="1"/>
  <c r="K148" i="4"/>
  <c r="N148" i="4"/>
  <c r="G148" i="4"/>
  <c r="L147" i="4"/>
  <c r="N147" i="4"/>
  <c r="M147" i="4"/>
  <c r="E147" i="4"/>
  <c r="A147" i="4"/>
  <c r="G147" i="4"/>
  <c r="K147" i="4"/>
  <c r="AD147" i="4" a="1"/>
  <c r="H147" i="4"/>
  <c r="F147" i="4"/>
  <c r="M146" i="4"/>
  <c r="K146" i="4"/>
  <c r="A146" i="4"/>
  <c r="AD146" i="4" a="1"/>
  <c r="H146" i="4"/>
  <c r="L146" i="4"/>
  <c r="F146" i="4"/>
  <c r="N146" i="4"/>
  <c r="E146" i="4"/>
  <c r="G146" i="4"/>
  <c r="K145" i="4"/>
  <c r="AD145" i="4" a="1"/>
  <c r="G145" i="4"/>
  <c r="E145" i="4"/>
  <c r="N145" i="4"/>
  <c r="M145" i="4"/>
  <c r="A145" i="4"/>
  <c r="L145" i="4"/>
  <c r="F145" i="4"/>
  <c r="H145" i="4"/>
  <c r="L144" i="4"/>
  <c r="G144" i="4"/>
  <c r="N144" i="4"/>
  <c r="AD144" i="4" a="1"/>
  <c r="M144" i="4"/>
  <c r="E144" i="4"/>
  <c r="A144" i="4"/>
  <c r="F144" i="4"/>
  <c r="H144" i="4"/>
  <c r="K144" i="4"/>
  <c r="AD143" i="4" a="1"/>
  <c r="E143" i="4"/>
  <c r="K143" i="4"/>
  <c r="A143" i="4"/>
  <c r="N143" i="4"/>
  <c r="L143" i="4"/>
  <c r="H143" i="4"/>
  <c r="G143" i="4"/>
  <c r="F143" i="4"/>
  <c r="M143" i="4"/>
  <c r="F142" i="4"/>
  <c r="M142" i="4"/>
  <c r="AD142" i="4" a="1"/>
  <c r="N142" i="4"/>
  <c r="A142" i="4"/>
  <c r="E142" i="4"/>
  <c r="H142" i="4"/>
  <c r="K142" i="4"/>
  <c r="L142" i="4"/>
  <c r="G142" i="4"/>
  <c r="AD141" i="4" a="1"/>
  <c r="K141" i="4"/>
  <c r="H141" i="4"/>
  <c r="F141" i="4"/>
  <c r="N141" i="4"/>
  <c r="E141" i="4"/>
  <c r="M141" i="4"/>
  <c r="A141" i="4"/>
  <c r="L141" i="4"/>
  <c r="G141" i="4"/>
  <c r="A140" i="4"/>
  <c r="G140" i="4"/>
  <c r="H140" i="4"/>
  <c r="AD140" i="4" a="1"/>
  <c r="K140" i="4"/>
  <c r="E140" i="4"/>
  <c r="N140" i="4"/>
  <c r="F140" i="4"/>
  <c r="M140" i="4"/>
  <c r="L140" i="4"/>
  <c r="K139" i="4"/>
  <c r="E139" i="4"/>
  <c r="L139" i="4"/>
  <c r="F139" i="4"/>
  <c r="A139" i="4"/>
  <c r="G139" i="4"/>
  <c r="N139" i="4"/>
  <c r="H139" i="4"/>
  <c r="AD139" i="4" a="1"/>
  <c r="M139" i="4"/>
  <c r="M138" i="4"/>
  <c r="F138" i="4"/>
  <c r="N138" i="4"/>
  <c r="K138" i="4"/>
  <c r="H138" i="4"/>
  <c r="G138" i="4"/>
  <c r="E138" i="4"/>
  <c r="A138" i="4"/>
  <c r="L138" i="4"/>
  <c r="AD138" i="4" a="1"/>
  <c r="AD137" i="4" a="1"/>
  <c r="N137" i="4"/>
  <c r="H137" i="4"/>
  <c r="A137" i="4"/>
  <c r="M137" i="4"/>
  <c r="E137" i="4"/>
  <c r="G137" i="4"/>
  <c r="L137" i="4"/>
  <c r="F137" i="4"/>
  <c r="K137" i="4"/>
  <c r="M136" i="4"/>
  <c r="F136" i="4"/>
  <c r="E136" i="4"/>
  <c r="AD136" i="4" a="1"/>
  <c r="H136" i="4"/>
  <c r="N136" i="4"/>
  <c r="G136" i="4"/>
  <c r="L136" i="4"/>
  <c r="A136" i="4"/>
  <c r="K136" i="4"/>
  <c r="M135" i="4"/>
  <c r="AD135" i="4" a="1"/>
  <c r="F135" i="4"/>
  <c r="G135" i="4"/>
  <c r="N135" i="4"/>
  <c r="K135" i="4"/>
  <c r="A135" i="4"/>
  <c r="H135" i="4"/>
  <c r="E135" i="4"/>
  <c r="L135" i="4"/>
  <c r="AD134" i="4" a="1"/>
  <c r="M134" i="4"/>
  <c r="N134" i="4"/>
  <c r="H134" i="4"/>
  <c r="E134" i="4"/>
  <c r="A134" i="4"/>
  <c r="L134" i="4"/>
  <c r="G134" i="4"/>
  <c r="K134" i="4"/>
  <c r="F134" i="4"/>
  <c r="M133" i="4"/>
  <c r="E133" i="4"/>
  <c r="K133" i="4"/>
  <c r="F133" i="4"/>
  <c r="H133" i="4"/>
  <c r="L133" i="4"/>
  <c r="N133" i="4"/>
  <c r="G133" i="4"/>
  <c r="AD133" i="4" a="1"/>
  <c r="M132" i="4"/>
  <c r="A132" i="4"/>
  <c r="N132" i="4"/>
  <c r="H132" i="4"/>
  <c r="AD132" i="4" a="1"/>
  <c r="G132" i="4"/>
  <c r="L132" i="4"/>
  <c r="K132" i="4"/>
  <c r="E132" i="4"/>
  <c r="G131" i="4"/>
  <c r="L131" i="4"/>
  <c r="F131" i="4"/>
  <c r="K131" i="4"/>
  <c r="M131" i="4"/>
  <c r="N131" i="4"/>
  <c r="H131" i="4"/>
  <c r="AD131" i="4" a="1"/>
  <c r="E131" i="4"/>
  <c r="N130" i="4"/>
  <c r="G130" i="4"/>
  <c r="K130" i="4"/>
  <c r="H130" i="4"/>
  <c r="M130" i="4"/>
  <c r="AD130" i="4" a="1"/>
  <c r="L130" i="4"/>
  <c r="E130" i="4"/>
  <c r="F130" i="4"/>
  <c r="H129" i="4"/>
  <c r="N129" i="4"/>
  <c r="K129" i="4"/>
  <c r="G129" i="4"/>
  <c r="M129" i="4"/>
  <c r="L129" i="4"/>
  <c r="E129" i="4"/>
  <c r="AD129" i="4" a="1"/>
  <c r="A129" i="4"/>
  <c r="F129" i="4"/>
  <c r="AD128" i="4" a="1"/>
  <c r="M128" i="4"/>
  <c r="N128" i="4"/>
  <c r="A128" i="4"/>
  <c r="F128" i="4"/>
  <c r="H128" i="4"/>
  <c r="L128" i="4"/>
  <c r="E128" i="4"/>
  <c r="G128" i="4"/>
  <c r="K128" i="4"/>
  <c r="K127" i="4"/>
  <c r="E127" i="4"/>
  <c r="AD127" i="4" a="1"/>
  <c r="M127" i="4"/>
  <c r="L127" i="4"/>
  <c r="A127" i="4"/>
  <c r="F127" i="4"/>
  <c r="N127" i="4"/>
  <c r="G127" i="4"/>
  <c r="H127" i="4"/>
  <c r="L126" i="4"/>
  <c r="G126" i="4"/>
  <c r="K126" i="4"/>
  <c r="N126" i="4"/>
  <c r="AD126" i="4" a="1"/>
  <c r="M126" i="4"/>
  <c r="H126" i="4"/>
  <c r="F126" i="4"/>
  <c r="E126" i="4"/>
  <c r="M125" i="4"/>
  <c r="H125" i="4"/>
  <c r="A125" i="4"/>
  <c r="K125" i="4"/>
  <c r="F125" i="4"/>
  <c r="AD125" i="4" a="1"/>
  <c r="N125" i="4"/>
  <c r="L125" i="4"/>
  <c r="E125" i="4"/>
  <c r="G125" i="4"/>
  <c r="N124" i="4"/>
  <c r="F124" i="4"/>
  <c r="A124" i="4"/>
  <c r="E124" i="4"/>
  <c r="K124" i="4"/>
  <c r="M124" i="4"/>
  <c r="G124" i="4"/>
  <c r="H124" i="4"/>
  <c r="L124" i="4"/>
  <c r="AD124" i="4" a="1"/>
  <c r="M123" i="4"/>
  <c r="AD123" i="4" a="1"/>
  <c r="H123" i="4"/>
  <c r="E123" i="4"/>
  <c r="K123" i="4"/>
  <c r="A123" i="4"/>
  <c r="N123" i="4"/>
  <c r="G123" i="4"/>
  <c r="L123" i="4"/>
  <c r="F123" i="4"/>
  <c r="F122" i="4"/>
  <c r="N122" i="4"/>
  <c r="A122" i="4"/>
  <c r="L122" i="4"/>
  <c r="G122" i="4"/>
  <c r="AD122" i="4" a="1"/>
  <c r="M122" i="4"/>
  <c r="E122" i="4"/>
  <c r="H122" i="4"/>
  <c r="K122" i="4"/>
  <c r="E121" i="4"/>
  <c r="M121" i="4"/>
  <c r="A121" i="4"/>
  <c r="F121" i="4"/>
  <c r="K121" i="4"/>
  <c r="L121" i="4"/>
  <c r="H121" i="4"/>
  <c r="AD121" i="4" a="1"/>
  <c r="N121" i="4"/>
  <c r="G121" i="4"/>
  <c r="M120" i="4"/>
  <c r="L120" i="4"/>
  <c r="AD120" i="4" a="1"/>
  <c r="A120" i="4"/>
  <c r="F120" i="4"/>
  <c r="E120" i="4"/>
  <c r="K120" i="4"/>
  <c r="H120" i="4"/>
  <c r="N120" i="4"/>
  <c r="G120" i="4"/>
  <c r="A119" i="4"/>
  <c r="K119" i="4"/>
  <c r="F119" i="4"/>
  <c r="H119" i="4"/>
  <c r="G119" i="4"/>
  <c r="E119" i="4"/>
  <c r="M119" i="4"/>
  <c r="AD119" i="4" a="1"/>
  <c r="L119" i="4"/>
  <c r="N119" i="4"/>
  <c r="L118" i="4"/>
  <c r="K118" i="4"/>
  <c r="AD118" i="4" a="1"/>
  <c r="M118" i="4"/>
  <c r="F118" i="4"/>
  <c r="H118" i="4"/>
  <c r="N118" i="4"/>
  <c r="E118" i="4"/>
  <c r="A118" i="4"/>
  <c r="G118" i="4"/>
  <c r="L117" i="4"/>
  <c r="H117" i="4"/>
  <c r="K117" i="4"/>
  <c r="G117" i="4"/>
  <c r="M117" i="4"/>
  <c r="E117" i="4"/>
  <c r="F117" i="4"/>
  <c r="A117" i="4"/>
  <c r="N117" i="4"/>
  <c r="AD117" i="4" a="1"/>
  <c r="AD116" i="4" a="1"/>
  <c r="G116" i="4"/>
  <c r="M116" i="4"/>
  <c r="E116" i="4"/>
  <c r="K116" i="4"/>
  <c r="F116" i="4"/>
  <c r="L116" i="4"/>
  <c r="N116" i="4"/>
  <c r="A116" i="4"/>
  <c r="H116" i="4"/>
  <c r="H115" i="4"/>
  <c r="E115" i="4"/>
  <c r="AD115" i="4" a="1"/>
  <c r="G115" i="4"/>
  <c r="L115" i="4"/>
  <c r="F115" i="4"/>
  <c r="M115" i="4"/>
  <c r="N115" i="4"/>
  <c r="K115" i="4"/>
  <c r="G114" i="4"/>
  <c r="E114" i="4"/>
  <c r="N114" i="4"/>
  <c r="AD114" i="4" a="1"/>
  <c r="L114" i="4"/>
  <c r="F114" i="4"/>
  <c r="M114" i="4"/>
  <c r="A114" i="4"/>
  <c r="H114" i="4"/>
  <c r="K114" i="4"/>
  <c r="H113" i="4"/>
  <c r="F113" i="4"/>
  <c r="AD113" i="4" a="1"/>
  <c r="N113" i="4"/>
  <c r="M113" i="4"/>
  <c r="K113" i="4"/>
  <c r="E113" i="4"/>
  <c r="L113" i="4"/>
  <c r="G113" i="4"/>
  <c r="K112" i="4"/>
  <c r="L112" i="4"/>
  <c r="G112" i="4"/>
  <c r="F112" i="4"/>
  <c r="H112" i="4"/>
  <c r="M112" i="4"/>
  <c r="A112" i="4"/>
  <c r="E112" i="4"/>
  <c r="N112" i="4"/>
  <c r="AD112" i="4" a="1"/>
  <c r="AD111" i="4" a="1"/>
  <c r="H111" i="4"/>
  <c r="M111" i="4"/>
  <c r="K111" i="4"/>
  <c r="A111" i="4"/>
  <c r="G111" i="4"/>
  <c r="N111" i="4"/>
  <c r="E111" i="4"/>
  <c r="L111" i="4"/>
  <c r="F111" i="4"/>
  <c r="L110" i="4"/>
  <c r="N110" i="4"/>
  <c r="G110" i="4"/>
  <c r="H110" i="4"/>
  <c r="AD110" i="4" a="1"/>
  <c r="F110" i="4"/>
  <c r="A110" i="4"/>
  <c r="M110" i="4"/>
  <c r="K110" i="4"/>
  <c r="E110" i="4"/>
  <c r="G109" i="4"/>
  <c r="N109" i="4"/>
  <c r="M109" i="4"/>
  <c r="E109" i="4"/>
  <c r="AD109" i="4" a="1"/>
  <c r="H109" i="4"/>
  <c r="F109" i="4"/>
  <c r="L109" i="4"/>
  <c r="K109" i="4"/>
  <c r="A109" i="4"/>
  <c r="L108" i="4"/>
  <c r="E108" i="4"/>
  <c r="M108" i="4"/>
  <c r="AD108" i="4" a="1"/>
  <c r="A108" i="4"/>
  <c r="F108" i="4"/>
  <c r="G108" i="4"/>
  <c r="H108" i="4"/>
  <c r="K108" i="4"/>
  <c r="N108" i="4"/>
  <c r="F107" i="4"/>
  <c r="N107" i="4"/>
  <c r="L107" i="4"/>
  <c r="M107" i="4"/>
  <c r="E107" i="4"/>
  <c r="K107" i="4"/>
  <c r="A107" i="4"/>
  <c r="H107" i="4"/>
  <c r="G107" i="4"/>
  <c r="AD107" i="4" a="1"/>
  <c r="F106" i="4"/>
  <c r="E106" i="4"/>
  <c r="AD106" i="4" a="1"/>
  <c r="G106" i="4"/>
  <c r="A106" i="4"/>
  <c r="M106" i="4"/>
  <c r="L106" i="4"/>
  <c r="H106" i="4"/>
  <c r="N106" i="4"/>
  <c r="K106" i="4"/>
  <c r="F105" i="4"/>
  <c r="M105" i="4"/>
  <c r="L105" i="4"/>
  <c r="K105" i="4"/>
  <c r="H105" i="4"/>
  <c r="E105" i="4"/>
  <c r="A105" i="4"/>
  <c r="N105" i="4"/>
  <c r="G105" i="4"/>
  <c r="AD105" i="4" a="1"/>
  <c r="M104" i="4"/>
  <c r="H104" i="4"/>
  <c r="K104" i="4"/>
  <c r="A104" i="4"/>
  <c r="L104" i="4"/>
  <c r="E104" i="4"/>
  <c r="G104" i="4"/>
  <c r="N104" i="4"/>
  <c r="F104" i="4"/>
  <c r="AD104" i="4" a="1"/>
  <c r="H103" i="4"/>
  <c r="F103" i="4"/>
  <c r="M103" i="4"/>
  <c r="G103" i="4"/>
  <c r="L103" i="4"/>
  <c r="E103" i="4"/>
  <c r="AD103" i="4" a="1"/>
  <c r="N103" i="4"/>
  <c r="K103" i="4"/>
  <c r="AD102" i="4" a="1"/>
  <c r="H102" i="4"/>
  <c r="L102" i="4"/>
  <c r="K102" i="4"/>
  <c r="N102" i="4"/>
  <c r="M102" i="4"/>
  <c r="E102" i="4"/>
  <c r="F102" i="4"/>
  <c r="G102" i="4"/>
  <c r="L101" i="4"/>
  <c r="F101" i="4"/>
  <c r="K101" i="4"/>
  <c r="N101" i="4"/>
  <c r="M101" i="4"/>
  <c r="A101" i="4"/>
  <c r="AD101" i="4" a="1"/>
  <c r="E101" i="4"/>
  <c r="H101" i="4"/>
  <c r="G101" i="4"/>
  <c r="H100" i="4"/>
  <c r="L100" i="4"/>
  <c r="K100" i="4"/>
  <c r="N100" i="4"/>
  <c r="E100" i="4"/>
  <c r="AD100" i="4" a="1"/>
  <c r="A100" i="4"/>
  <c r="F100" i="4"/>
  <c r="G100" i="4"/>
  <c r="M100" i="4"/>
  <c r="L99" i="4"/>
  <c r="AD99" i="4" a="1"/>
  <c r="K99" i="4"/>
  <c r="N99" i="4"/>
  <c r="G99" i="4"/>
  <c r="E99" i="4"/>
  <c r="M99" i="4"/>
  <c r="F99" i="4"/>
  <c r="H99" i="4"/>
  <c r="N98" i="4"/>
  <c r="H98" i="4"/>
  <c r="AD98" i="4" a="1"/>
  <c r="G98" i="4"/>
  <c r="F98" i="4"/>
  <c r="K98" i="4"/>
  <c r="E98" i="4"/>
  <c r="M98" i="4"/>
  <c r="A98" i="4"/>
  <c r="L98" i="4"/>
  <c r="G97" i="4"/>
  <c r="F97" i="4"/>
  <c r="M97" i="4"/>
  <c r="N97" i="4"/>
  <c r="L97" i="4"/>
  <c r="K97" i="4"/>
  <c r="AD97" i="4" a="1"/>
  <c r="H97" i="4"/>
  <c r="E97" i="4"/>
  <c r="A97" i="4"/>
  <c r="M96" i="4"/>
  <c r="G96" i="4"/>
  <c r="H96" i="4"/>
  <c r="K96" i="4"/>
  <c r="A96" i="4"/>
  <c r="AD96" i="4" a="1"/>
  <c r="E96" i="4"/>
  <c r="F96" i="4"/>
  <c r="L96" i="4"/>
  <c r="N96" i="4"/>
  <c r="H95" i="4"/>
  <c r="AD95" i="4" a="1"/>
  <c r="A95" i="4"/>
  <c r="K95" i="4"/>
  <c r="F95" i="4"/>
  <c r="G95" i="4"/>
  <c r="M95" i="4"/>
  <c r="N95" i="4"/>
  <c r="E95" i="4"/>
  <c r="L95" i="4"/>
  <c r="H94" i="4"/>
  <c r="F94" i="4"/>
  <c r="E94" i="4"/>
  <c r="N94" i="4"/>
  <c r="AD94" i="4" a="1"/>
  <c r="M94" i="4"/>
  <c r="L94" i="4"/>
  <c r="G94" i="4"/>
  <c r="A94" i="4"/>
  <c r="K94" i="4"/>
  <c r="AD93" i="4" a="1"/>
  <c r="N93" i="4"/>
  <c r="G93" i="4"/>
  <c r="M93" i="4"/>
  <c r="K93" i="4"/>
  <c r="F93" i="4"/>
  <c r="A93" i="4"/>
  <c r="H93" i="4"/>
  <c r="L93" i="4"/>
  <c r="E93" i="4"/>
  <c r="F92" i="4"/>
  <c r="K92" i="4"/>
  <c r="E92" i="4"/>
  <c r="H92" i="4"/>
  <c r="AD92" i="4" a="1"/>
  <c r="N92" i="4"/>
  <c r="M92" i="4"/>
  <c r="G92" i="4"/>
  <c r="L92" i="4"/>
  <c r="E91" i="4"/>
  <c r="F91" i="4"/>
  <c r="G91" i="4"/>
  <c r="H91" i="4"/>
  <c r="L91" i="4"/>
  <c r="N91" i="4"/>
  <c r="M91" i="4"/>
  <c r="K91" i="4"/>
  <c r="AD90" i="4" a="1"/>
  <c r="N90" i="4"/>
  <c r="M90" i="4"/>
  <c r="L90" i="4"/>
  <c r="K90" i="4"/>
  <c r="H90" i="4"/>
  <c r="G90" i="4"/>
  <c r="F90" i="4"/>
  <c r="E90" i="4"/>
  <c r="M89" i="4"/>
  <c r="AD89" i="4" a="1"/>
  <c r="F89" i="4"/>
  <c r="E89" i="4"/>
  <c r="G89" i="4"/>
  <c r="H89" i="4"/>
  <c r="K89" i="4"/>
  <c r="L89" i="4"/>
  <c r="N89" i="4"/>
  <c r="F88" i="4"/>
  <c r="E88" i="4"/>
  <c r="H88" i="4"/>
  <c r="K88" i="4"/>
  <c r="G88" i="4"/>
  <c r="AD88" i="4" a="1"/>
  <c r="N88" i="4"/>
  <c r="M88" i="4"/>
  <c r="L88" i="4"/>
  <c r="AD87" i="4" a="1"/>
  <c r="L87" i="4"/>
  <c r="M87" i="4"/>
  <c r="F87" i="4"/>
  <c r="N87" i="4"/>
  <c r="G87" i="4"/>
  <c r="H87" i="4"/>
  <c r="E87" i="4"/>
  <c r="K87" i="4"/>
  <c r="AD86" i="4" a="1"/>
  <c r="E86" i="4"/>
  <c r="F86" i="4"/>
  <c r="G86" i="4"/>
  <c r="H86" i="4"/>
  <c r="K86" i="4"/>
  <c r="L86" i="4"/>
  <c r="M86" i="4"/>
  <c r="N86" i="4"/>
  <c r="N85" i="4"/>
  <c r="AD85" i="4" a="1"/>
  <c r="M85" i="4"/>
  <c r="L85" i="4"/>
  <c r="H85" i="4"/>
  <c r="G85" i="4"/>
  <c r="F85" i="4"/>
  <c r="E85" i="4"/>
  <c r="K85" i="4"/>
  <c r="F84" i="4"/>
  <c r="N84" i="4"/>
  <c r="AD84" i="4" a="1"/>
  <c r="M84" i="4"/>
  <c r="E84" i="4"/>
  <c r="G84" i="4"/>
  <c r="H84" i="4"/>
  <c r="K84" i="4"/>
  <c r="L84" i="4"/>
  <c r="AD83" i="4" a="1"/>
  <c r="E83" i="4"/>
  <c r="F83" i="4"/>
  <c r="G83" i="4"/>
  <c r="H83" i="4"/>
  <c r="K83" i="4"/>
  <c r="L83" i="4"/>
  <c r="N83" i="4"/>
  <c r="M83" i="4"/>
  <c r="E82" i="4"/>
  <c r="F82" i="4"/>
  <c r="G82" i="4"/>
  <c r="H82" i="4"/>
  <c r="K82" i="4"/>
  <c r="L82" i="4"/>
  <c r="N82" i="4"/>
  <c r="AD82" i="4" a="1"/>
  <c r="M82" i="4"/>
  <c r="AD81" i="4" a="1"/>
  <c r="E81" i="4"/>
  <c r="F81" i="4"/>
  <c r="G81" i="4"/>
  <c r="H81" i="4"/>
  <c r="K81" i="4"/>
  <c r="L81" i="4"/>
  <c r="M81" i="4"/>
  <c r="N81" i="4"/>
  <c r="N80" i="4"/>
  <c r="F80" i="4"/>
  <c r="AD80" i="4" a="1"/>
  <c r="E80" i="4"/>
  <c r="M80" i="4"/>
  <c r="L80" i="4"/>
  <c r="K80" i="4"/>
  <c r="H80" i="4"/>
  <c r="G80" i="4"/>
  <c r="H79" i="4"/>
  <c r="F79" i="4"/>
  <c r="E79" i="4"/>
  <c r="AD79" i="4" a="1"/>
  <c r="K79" i="4"/>
  <c r="N79" i="4"/>
  <c r="M79" i="4"/>
  <c r="G79" i="4"/>
  <c r="L79" i="4"/>
  <c r="L78" i="4"/>
  <c r="N78" i="4"/>
  <c r="AD78" i="4" a="1"/>
  <c r="M78" i="4"/>
  <c r="K78" i="4"/>
  <c r="G78" i="4"/>
  <c r="E78" i="4"/>
  <c r="F78" i="4"/>
  <c r="H78" i="4"/>
  <c r="L77" i="4"/>
  <c r="AD77" i="4" a="1"/>
  <c r="H77" i="4"/>
  <c r="N77" i="4"/>
  <c r="E77" i="4"/>
  <c r="F77" i="4"/>
  <c r="G77" i="4"/>
  <c r="M77" i="4"/>
  <c r="K77" i="4"/>
  <c r="AD76" i="4" a="1"/>
  <c r="N76" i="4"/>
  <c r="E76" i="4"/>
  <c r="F76" i="4"/>
  <c r="G76" i="4"/>
  <c r="H76" i="4"/>
  <c r="M76" i="4"/>
  <c r="K76" i="4"/>
  <c r="L76" i="4"/>
  <c r="AD75" i="4" a="1"/>
  <c r="F75" i="4"/>
  <c r="E75" i="4"/>
  <c r="G75" i="4"/>
  <c r="H75" i="4"/>
  <c r="K75" i="4"/>
  <c r="L75" i="4"/>
  <c r="M75" i="4"/>
  <c r="N75" i="4"/>
  <c r="N74" i="4"/>
  <c r="M74" i="4"/>
  <c r="AD74" i="4" a="1"/>
  <c r="E74" i="4"/>
  <c r="F74" i="4"/>
  <c r="G74" i="4"/>
  <c r="H74" i="4"/>
  <c r="K74" i="4"/>
  <c r="L74" i="4"/>
  <c r="E73" i="4"/>
  <c r="F73" i="4"/>
  <c r="G73" i="4"/>
  <c r="H73" i="4"/>
  <c r="K73" i="4"/>
  <c r="AD73" i="4" a="1"/>
  <c r="N73" i="4"/>
  <c r="L73" i="4"/>
  <c r="M73" i="4"/>
  <c r="N72" i="4"/>
  <c r="AD72" i="4" a="1"/>
  <c r="M72" i="4"/>
  <c r="H72" i="4"/>
  <c r="K72" i="4"/>
  <c r="L72" i="4"/>
  <c r="E72" i="4"/>
  <c r="F72" i="4"/>
  <c r="G72" i="4"/>
  <c r="L71" i="4"/>
  <c r="K71" i="4"/>
  <c r="H71" i="4"/>
  <c r="G71" i="4"/>
  <c r="F71" i="4"/>
  <c r="E71" i="4"/>
  <c r="M71" i="4"/>
  <c r="N71" i="4"/>
  <c r="AD71" i="4" a="1"/>
  <c r="H70" i="4"/>
  <c r="G70" i="4"/>
  <c r="F70" i="4"/>
  <c r="E70" i="4"/>
  <c r="AD70" i="4" a="1"/>
  <c r="N70" i="4"/>
  <c r="M70" i="4"/>
  <c r="L70" i="4"/>
  <c r="K70" i="4"/>
  <c r="L69" i="4"/>
  <c r="K69" i="4"/>
  <c r="G69" i="4"/>
  <c r="F69" i="4"/>
  <c r="E69" i="4"/>
  <c r="H69" i="4"/>
  <c r="AD69" i="4" a="1"/>
  <c r="N69" i="4"/>
  <c r="M69" i="4"/>
  <c r="L68" i="4"/>
  <c r="K68" i="4"/>
  <c r="H68" i="4"/>
  <c r="G68" i="4"/>
  <c r="F68" i="4"/>
  <c r="E68" i="4"/>
  <c r="AD68" i="4" a="1"/>
  <c r="N68" i="4"/>
  <c r="M68" i="4"/>
  <c r="AD67" i="4" a="1"/>
  <c r="F67" i="4"/>
  <c r="E67" i="4"/>
  <c r="L67" i="4"/>
  <c r="N67" i="4"/>
  <c r="M67" i="4"/>
  <c r="G67" i="4"/>
  <c r="K67" i="4"/>
  <c r="H67" i="4"/>
  <c r="N66" i="4"/>
  <c r="M66" i="4"/>
  <c r="L66" i="4"/>
  <c r="K66" i="4"/>
  <c r="H66" i="4"/>
  <c r="G66" i="4"/>
  <c r="F66" i="4"/>
  <c r="E66" i="4"/>
  <c r="AD66" i="4" a="1"/>
  <c r="K65" i="4"/>
  <c r="L65" i="4"/>
  <c r="M65" i="4"/>
  <c r="N65" i="4"/>
  <c r="AD65" i="4" a="1"/>
  <c r="H65" i="4"/>
  <c r="G65" i="4"/>
  <c r="F65" i="4"/>
  <c r="E65" i="4"/>
  <c r="K64" i="4"/>
  <c r="H64" i="4"/>
  <c r="G64" i="4"/>
  <c r="F64" i="4"/>
  <c r="E64" i="4"/>
  <c r="N64" i="4"/>
  <c r="M64" i="4"/>
  <c r="AD64" i="4" a="1"/>
  <c r="L64" i="4"/>
  <c r="M63" i="4"/>
  <c r="N63" i="4"/>
  <c r="AD63" i="4" a="1"/>
  <c r="G63" i="4"/>
  <c r="E63" i="4"/>
  <c r="F63" i="4"/>
  <c r="L63" i="4"/>
  <c r="H63" i="4"/>
  <c r="K63" i="4"/>
  <c r="H62" i="4"/>
  <c r="M62" i="4"/>
  <c r="E62" i="4"/>
  <c r="L62" i="4"/>
  <c r="N62" i="4"/>
  <c r="G62" i="4"/>
  <c r="F62" i="4"/>
  <c r="AD62" i="4" a="1"/>
  <c r="K62" i="4"/>
  <c r="M61" i="4"/>
  <c r="E61" i="4"/>
  <c r="G61" i="4"/>
  <c r="H61" i="4"/>
  <c r="K61" i="4"/>
  <c r="L61" i="4"/>
  <c r="AD61" i="4" a="1"/>
  <c r="N61" i="4"/>
  <c r="F61" i="4"/>
  <c r="AD60" i="4" a="1"/>
  <c r="F60" i="4"/>
  <c r="N60" i="4"/>
  <c r="M60" i="4"/>
  <c r="L60" i="4"/>
  <c r="K60" i="4"/>
  <c r="H60" i="4"/>
  <c r="G60" i="4"/>
  <c r="E60" i="4"/>
  <c r="L59" i="4"/>
  <c r="M59" i="4"/>
  <c r="E59" i="4"/>
  <c r="F59" i="4"/>
  <c r="G59" i="4"/>
  <c r="H59" i="4"/>
  <c r="K59" i="4"/>
  <c r="N59" i="4"/>
  <c r="AD59" i="4" a="1"/>
  <c r="H58" i="4"/>
  <c r="N58" i="4"/>
  <c r="AD58" i="4" a="1"/>
  <c r="E58" i="4"/>
  <c r="F58" i="4"/>
  <c r="G58" i="4"/>
  <c r="K58" i="4"/>
  <c r="L58" i="4"/>
  <c r="M58" i="4"/>
  <c r="F57" i="4"/>
  <c r="H57" i="4"/>
  <c r="M57" i="4"/>
  <c r="L57" i="4"/>
  <c r="K57" i="4"/>
  <c r="AD57" i="4" a="1"/>
  <c r="G57" i="4"/>
  <c r="N57" i="4"/>
  <c r="E57" i="4"/>
  <c r="M56" i="4"/>
  <c r="L56" i="4"/>
  <c r="K56" i="4"/>
  <c r="G56" i="4"/>
  <c r="F56" i="4"/>
  <c r="E56" i="4"/>
  <c r="N56" i="4"/>
  <c r="AD56" i="4" a="1"/>
  <c r="H56" i="4"/>
  <c r="G55" i="4"/>
  <c r="E55" i="4"/>
  <c r="AD55" i="4" a="1"/>
  <c r="F55" i="4"/>
  <c r="N55" i="4"/>
  <c r="M55" i="4"/>
  <c r="L55" i="4"/>
  <c r="K55" i="4"/>
  <c r="H55" i="4"/>
  <c r="E54" i="4"/>
  <c r="F54" i="4"/>
  <c r="H54" i="4"/>
  <c r="K54" i="4"/>
  <c r="G54" i="4"/>
  <c r="AD54" i="4" a="1"/>
  <c r="N54" i="4"/>
  <c r="M54" i="4"/>
  <c r="L54" i="4"/>
  <c r="F53" i="4"/>
  <c r="G53" i="4"/>
  <c r="K53" i="4"/>
  <c r="L53" i="4"/>
  <c r="M53" i="4"/>
  <c r="N53" i="4"/>
  <c r="AD53" i="4" a="1"/>
  <c r="H53" i="4"/>
  <c r="E53" i="4"/>
  <c r="F52" i="4"/>
  <c r="E52" i="4"/>
  <c r="AD52" i="4" a="1"/>
  <c r="N52" i="4"/>
  <c r="M52" i="4"/>
  <c r="L52" i="4"/>
  <c r="K52" i="4"/>
  <c r="H52" i="4"/>
  <c r="G52" i="4"/>
  <c r="K51" i="4"/>
  <c r="L51" i="4"/>
  <c r="M51" i="4"/>
  <c r="N51" i="4"/>
  <c r="AD51" i="4" a="1"/>
  <c r="E51" i="4"/>
  <c r="F51" i="4"/>
  <c r="G51" i="4"/>
  <c r="H51" i="4"/>
  <c r="L50" i="4"/>
  <c r="M50" i="4"/>
  <c r="N50" i="4"/>
  <c r="G50" i="4"/>
  <c r="AD50" i="4" a="1"/>
  <c r="F50" i="4"/>
  <c r="H50" i="4"/>
  <c r="K50" i="4"/>
  <c r="E50" i="4"/>
  <c r="F49" i="4"/>
  <c r="E49" i="4"/>
  <c r="H49" i="4"/>
  <c r="AD49" i="4" a="1"/>
  <c r="G49" i="4"/>
  <c r="N49" i="4"/>
  <c r="M49" i="4"/>
  <c r="L49" i="4"/>
  <c r="K49" i="4"/>
  <c r="H48" i="4"/>
  <c r="G48" i="4"/>
  <c r="F48" i="4"/>
  <c r="E48" i="4"/>
  <c r="AD48" i="4" a="1"/>
  <c r="N48" i="4"/>
  <c r="M48" i="4"/>
  <c r="L48" i="4"/>
  <c r="K48" i="4"/>
  <c r="M47" i="4"/>
  <c r="L47" i="4"/>
  <c r="K47" i="4"/>
  <c r="G47" i="4"/>
  <c r="C47" i="4"/>
  <c r="D47" i="4"/>
  <c r="V47" i="4" s="1"/>
  <c r="AD47" i="4" a="1"/>
  <c r="N47" i="4"/>
  <c r="H47" i="4"/>
  <c r="E47" i="4"/>
  <c r="F47" i="4"/>
  <c r="H46" i="4"/>
  <c r="G46" i="4"/>
  <c r="J46" i="4"/>
  <c r="AD46" i="4" a="1"/>
  <c r="F46" i="4"/>
  <c r="K46" i="4"/>
  <c r="L46" i="4"/>
  <c r="M46" i="4"/>
  <c r="N46" i="4"/>
  <c r="O46" i="4"/>
  <c r="E46" i="4"/>
  <c r="D46" i="4"/>
  <c r="V46" i="4" s="1"/>
  <c r="C46" i="4"/>
  <c r="P46" i="4"/>
  <c r="R46" i="4"/>
  <c r="I46" i="4"/>
  <c r="Q46" i="4"/>
  <c r="K45" i="4"/>
  <c r="L45" i="4"/>
  <c r="M45" i="4"/>
  <c r="N45" i="4"/>
  <c r="O45" i="4"/>
  <c r="P45" i="4"/>
  <c r="Q45" i="4"/>
  <c r="R45" i="4"/>
  <c r="AD45" i="4" a="1"/>
  <c r="C45" i="4"/>
  <c r="D45" i="4"/>
  <c r="V45" i="4" s="1"/>
  <c r="E45" i="4"/>
  <c r="F45" i="4"/>
  <c r="G45" i="4"/>
  <c r="H45" i="4"/>
  <c r="I45" i="4"/>
  <c r="J45" i="4"/>
  <c r="D44" i="4"/>
  <c r="V44" i="4" s="1"/>
  <c r="E44" i="4"/>
  <c r="G44" i="4"/>
  <c r="H44" i="4"/>
  <c r="I44" i="4"/>
  <c r="J44" i="4"/>
  <c r="K44" i="4"/>
  <c r="L44" i="4"/>
  <c r="F44" i="4"/>
  <c r="M44" i="4"/>
  <c r="R44" i="4"/>
  <c r="Q44" i="4"/>
  <c r="N44" i="4"/>
  <c r="AD44" i="4" a="1"/>
  <c r="P44" i="4"/>
  <c r="O44" i="4"/>
  <c r="C44" i="4"/>
  <c r="M43" i="4"/>
  <c r="L43" i="4"/>
  <c r="K43" i="4"/>
  <c r="J43" i="4"/>
  <c r="I43" i="4"/>
  <c r="H43" i="4"/>
  <c r="G43" i="4"/>
  <c r="F43" i="4"/>
  <c r="E43" i="4"/>
  <c r="C43" i="4"/>
  <c r="D43" i="4"/>
  <c r="V43" i="4" s="1"/>
  <c r="N43" i="4"/>
  <c r="AD43" i="4" a="1"/>
  <c r="R43" i="4"/>
  <c r="Q43" i="4"/>
  <c r="P43" i="4"/>
  <c r="O43" i="4"/>
  <c r="AD42" i="4" a="1"/>
  <c r="R42" i="4"/>
  <c r="Q42" i="4"/>
  <c r="P42" i="4"/>
  <c r="O42" i="4"/>
  <c r="N42" i="4"/>
  <c r="D42" i="4"/>
  <c r="V42" i="4" s="1"/>
  <c r="C42" i="4"/>
  <c r="F42" i="4"/>
  <c r="G42" i="4"/>
  <c r="H42" i="4"/>
  <c r="I42" i="4"/>
  <c r="J42" i="4"/>
  <c r="K42" i="4"/>
  <c r="L42" i="4"/>
  <c r="M42" i="4"/>
  <c r="E42" i="4"/>
  <c r="P41" i="4"/>
  <c r="R41" i="4"/>
  <c r="AD41" i="4" a="1"/>
  <c r="D41" i="4"/>
  <c r="V41" i="4" s="1"/>
  <c r="C41" i="4"/>
  <c r="K41" i="4"/>
  <c r="L41" i="4"/>
  <c r="J41" i="4"/>
  <c r="M41" i="4"/>
  <c r="N41" i="4"/>
  <c r="I41" i="4"/>
  <c r="H41" i="4"/>
  <c r="Q41" i="4"/>
  <c r="G41" i="4"/>
  <c r="O41" i="4"/>
  <c r="F41" i="4"/>
  <c r="E41" i="4"/>
  <c r="AD40" i="4" a="1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40" i="4"/>
  <c r="V40" i="4" s="1"/>
  <c r="C40" i="4"/>
  <c r="E40" i="4"/>
  <c r="N39" i="4"/>
  <c r="L39" i="4"/>
  <c r="M39" i="4"/>
  <c r="O39" i="4"/>
  <c r="AD39" i="4" a="1"/>
  <c r="R39" i="4"/>
  <c r="Q39" i="4"/>
  <c r="P39" i="4"/>
  <c r="D39" i="4"/>
  <c r="V39" i="4" s="1"/>
  <c r="E39" i="4"/>
  <c r="F39" i="4"/>
  <c r="G39" i="4"/>
  <c r="H39" i="4"/>
  <c r="I39" i="4"/>
  <c r="J39" i="4"/>
  <c r="K39" i="4"/>
  <c r="C39" i="4"/>
  <c r="L38" i="4"/>
  <c r="K38" i="4"/>
  <c r="J38" i="4"/>
  <c r="H38" i="4"/>
  <c r="G38" i="4"/>
  <c r="E38" i="4"/>
  <c r="D38" i="4"/>
  <c r="V38" i="4" s="1"/>
  <c r="C38" i="4"/>
  <c r="F38" i="4"/>
  <c r="I38" i="4"/>
  <c r="M38" i="4"/>
  <c r="AD38" i="4" a="1"/>
  <c r="R38" i="4"/>
  <c r="Q38" i="4"/>
  <c r="P38" i="4"/>
  <c r="O38" i="4"/>
  <c r="N38" i="4"/>
  <c r="J37" i="4"/>
  <c r="K37" i="4"/>
  <c r="M37" i="4"/>
  <c r="N37" i="4"/>
  <c r="O37" i="4"/>
  <c r="P37" i="4"/>
  <c r="Q37" i="4"/>
  <c r="R37" i="4"/>
  <c r="AD37" i="4" a="1"/>
  <c r="D37" i="4"/>
  <c r="V37" i="4" s="1"/>
  <c r="E37" i="4"/>
  <c r="F37" i="4"/>
  <c r="G37" i="4"/>
  <c r="I37" i="4"/>
  <c r="C37" i="4"/>
  <c r="H37" i="4"/>
  <c r="L37" i="4"/>
  <c r="N36" i="4"/>
  <c r="O36" i="4"/>
  <c r="P36" i="4"/>
  <c r="Q36" i="4"/>
  <c r="R36" i="4"/>
  <c r="AD36" i="4" a="1"/>
  <c r="D36" i="4"/>
  <c r="V36" i="4" s="1"/>
  <c r="C36" i="4"/>
  <c r="E36" i="4"/>
  <c r="F36" i="4"/>
  <c r="G36" i="4"/>
  <c r="H36" i="4"/>
  <c r="I36" i="4"/>
  <c r="J36" i="4"/>
  <c r="K36" i="4"/>
  <c r="L36" i="4"/>
  <c r="M36" i="4"/>
  <c r="M35" i="4"/>
  <c r="F35" i="4"/>
  <c r="L35" i="4"/>
  <c r="E35" i="4"/>
  <c r="G35" i="4"/>
  <c r="H35" i="4"/>
  <c r="I35" i="4"/>
  <c r="J35" i="4"/>
  <c r="K35" i="4"/>
  <c r="N35" i="4"/>
  <c r="O35" i="4"/>
  <c r="P35" i="4"/>
  <c r="Q35" i="4"/>
  <c r="R35" i="4"/>
  <c r="AD35" i="4" a="1"/>
  <c r="C35" i="4"/>
  <c r="D35" i="4"/>
  <c r="V35" i="4" s="1"/>
  <c r="J34" i="4"/>
  <c r="I34" i="4"/>
  <c r="H34" i="4"/>
  <c r="G34" i="4"/>
  <c r="F34" i="4"/>
  <c r="E34" i="4"/>
  <c r="D34" i="4"/>
  <c r="V34" i="4" s="1"/>
  <c r="C34" i="4"/>
  <c r="AD34" i="4" a="1"/>
  <c r="K34" i="4"/>
  <c r="R34" i="4"/>
  <c r="Q34" i="4"/>
  <c r="P34" i="4"/>
  <c r="O34" i="4"/>
  <c r="N34" i="4"/>
  <c r="M34" i="4"/>
  <c r="L34" i="4"/>
  <c r="J33" i="4"/>
  <c r="I33" i="4"/>
  <c r="H33" i="4"/>
  <c r="G33" i="4"/>
  <c r="F33" i="4"/>
  <c r="E33" i="4"/>
  <c r="D33" i="4"/>
  <c r="V33" i="4" s="1"/>
  <c r="C33" i="4"/>
  <c r="R33" i="4"/>
  <c r="AD33" i="4" a="1"/>
  <c r="Q33" i="4"/>
  <c r="P33" i="4"/>
  <c r="O33" i="4"/>
  <c r="N33" i="4"/>
  <c r="M33" i="4"/>
  <c r="L33" i="4"/>
  <c r="K33" i="4"/>
  <c r="K32" i="4"/>
  <c r="D32" i="4"/>
  <c r="V32" i="4" s="1"/>
  <c r="L32" i="4"/>
  <c r="E32" i="4"/>
  <c r="F32" i="4"/>
  <c r="AD32" i="4" a="1"/>
  <c r="G32" i="4"/>
  <c r="H32" i="4"/>
  <c r="I32" i="4"/>
  <c r="J32" i="4"/>
  <c r="C32" i="4"/>
  <c r="M32" i="4"/>
  <c r="N32" i="4"/>
  <c r="P32" i="4"/>
  <c r="Q32" i="4"/>
  <c r="R32" i="4"/>
  <c r="O32" i="4"/>
  <c r="J31" i="4"/>
  <c r="G31" i="4"/>
  <c r="F31" i="4"/>
  <c r="E31" i="4"/>
  <c r="D31" i="4"/>
  <c r="V31" i="4" s="1"/>
  <c r="I31" i="4"/>
  <c r="C31" i="4"/>
  <c r="H31" i="4"/>
  <c r="AD31" i="4" a="1"/>
  <c r="R31" i="4"/>
  <c r="Q31" i="4"/>
  <c r="P31" i="4"/>
  <c r="K31" i="4"/>
  <c r="O31" i="4"/>
  <c r="N31" i="4"/>
  <c r="M31" i="4"/>
  <c r="L31" i="4"/>
  <c r="K30" i="4"/>
  <c r="J30" i="4"/>
  <c r="I30" i="4"/>
  <c r="H30" i="4"/>
  <c r="G30" i="4"/>
  <c r="F30" i="4"/>
  <c r="E30" i="4"/>
  <c r="D30" i="4"/>
  <c r="V30" i="4" s="1"/>
  <c r="C30" i="4"/>
  <c r="L30" i="4"/>
  <c r="AD30" i="4" a="1"/>
  <c r="R30" i="4"/>
  <c r="Q30" i="4"/>
  <c r="P30" i="4"/>
  <c r="O30" i="4"/>
  <c r="N30" i="4"/>
  <c r="M30" i="4"/>
  <c r="F29" i="4"/>
  <c r="AD29" i="4" a="1"/>
  <c r="C29" i="4"/>
  <c r="D29" i="4"/>
  <c r="V29" i="4" s="1"/>
  <c r="E29" i="4"/>
  <c r="P29" i="4"/>
  <c r="G29" i="4"/>
  <c r="H29" i="4"/>
  <c r="I29" i="4"/>
  <c r="J29" i="4"/>
  <c r="K29" i="4"/>
  <c r="Q29" i="4"/>
  <c r="L29" i="4"/>
  <c r="M29" i="4"/>
  <c r="N29" i="4"/>
  <c r="O29" i="4"/>
  <c r="R29" i="4"/>
  <c r="AD28" i="4" a="1"/>
  <c r="M28" i="4"/>
  <c r="N28" i="4"/>
  <c r="P28" i="4"/>
  <c r="R28" i="4"/>
  <c r="Q28" i="4"/>
  <c r="K28" i="4"/>
  <c r="O28" i="4"/>
  <c r="E28" i="4"/>
  <c r="C28" i="4"/>
  <c r="D28" i="4"/>
  <c r="V28" i="4" s="1"/>
  <c r="F28" i="4"/>
  <c r="G28" i="4"/>
  <c r="H28" i="4"/>
  <c r="I28" i="4"/>
  <c r="J28" i="4"/>
  <c r="L28" i="4"/>
  <c r="G27" i="4"/>
  <c r="C27" i="4"/>
  <c r="D27" i="4"/>
  <c r="V27" i="4" s="1"/>
  <c r="E27" i="4"/>
  <c r="K27" i="4"/>
  <c r="F27" i="4"/>
  <c r="L27" i="4"/>
  <c r="M27" i="4"/>
  <c r="N27" i="4"/>
  <c r="O27" i="4"/>
  <c r="P27" i="4"/>
  <c r="I27" i="4"/>
  <c r="Q27" i="4"/>
  <c r="H27" i="4"/>
  <c r="R27" i="4"/>
  <c r="AD27" i="4" a="1"/>
  <c r="J27" i="4"/>
  <c r="N26" i="4"/>
  <c r="M26" i="4"/>
  <c r="K26" i="4"/>
  <c r="J26" i="4"/>
  <c r="I26" i="4"/>
  <c r="H26" i="4"/>
  <c r="G26" i="4"/>
  <c r="F26" i="4"/>
  <c r="E26" i="4"/>
  <c r="D26" i="4"/>
  <c r="V26" i="4" s="1"/>
  <c r="C26" i="4"/>
  <c r="O26" i="4"/>
  <c r="P26" i="4"/>
  <c r="AD26" i="4" a="1"/>
  <c r="R26" i="4"/>
  <c r="Q26" i="4"/>
  <c r="L26" i="4"/>
  <c r="AD25" i="4" a="1"/>
  <c r="R25" i="4"/>
  <c r="Q25" i="4"/>
  <c r="P25" i="4"/>
  <c r="I25" i="4"/>
  <c r="J25" i="4"/>
  <c r="F25" i="4"/>
  <c r="E25" i="4"/>
  <c r="D25" i="4"/>
  <c r="V25" i="4" s="1"/>
  <c r="C25" i="4"/>
  <c r="N25" i="4"/>
  <c r="K25" i="4"/>
  <c r="H25" i="4"/>
  <c r="G25" i="4"/>
  <c r="O25" i="4"/>
  <c r="M25" i="4"/>
  <c r="L25" i="4"/>
  <c r="AD24" i="4" a="1"/>
  <c r="D24" i="4"/>
  <c r="V24" i="4" s="1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C24" i="4"/>
  <c r="M23" i="4"/>
  <c r="K23" i="4"/>
  <c r="J23" i="4"/>
  <c r="I23" i="4"/>
  <c r="H23" i="4"/>
  <c r="G23" i="4"/>
  <c r="F23" i="4"/>
  <c r="E23" i="4"/>
  <c r="D23" i="4"/>
  <c r="V23" i="4" s="1"/>
  <c r="C23" i="4"/>
  <c r="L23" i="4"/>
  <c r="N23" i="4"/>
  <c r="O23" i="4"/>
  <c r="P23" i="4"/>
  <c r="Q23" i="4"/>
  <c r="R23" i="4"/>
  <c r="AD23" i="4" a="1"/>
  <c r="AD22" i="4" a="1"/>
  <c r="R22" i="4"/>
  <c r="P22" i="4"/>
  <c r="O22" i="4"/>
  <c r="N22" i="4"/>
  <c r="M22" i="4"/>
  <c r="E22" i="4"/>
  <c r="D22" i="4"/>
  <c r="V22" i="4" s="1"/>
  <c r="C22" i="4"/>
  <c r="K22" i="4"/>
  <c r="J22" i="4"/>
  <c r="I22" i="4"/>
  <c r="H22" i="4"/>
  <c r="G22" i="4"/>
  <c r="F22" i="4"/>
  <c r="Q22" i="4"/>
  <c r="L22" i="4"/>
  <c r="L21" i="4"/>
  <c r="M21" i="4"/>
  <c r="N21" i="4"/>
  <c r="O21" i="4"/>
  <c r="P21" i="4"/>
  <c r="Q21" i="4"/>
  <c r="R21" i="4"/>
  <c r="AD21" i="4" a="1"/>
  <c r="C21" i="4"/>
  <c r="D21" i="4"/>
  <c r="V21" i="4" s="1"/>
  <c r="E21" i="4"/>
  <c r="F21" i="4"/>
  <c r="G21" i="4"/>
  <c r="H21" i="4"/>
  <c r="I21" i="4"/>
  <c r="J21" i="4"/>
  <c r="K21" i="4"/>
  <c r="L20" i="4"/>
  <c r="K20" i="4"/>
  <c r="J20" i="4"/>
  <c r="I20" i="4"/>
  <c r="H20" i="4"/>
  <c r="G20" i="4"/>
  <c r="F20" i="4"/>
  <c r="E20" i="4"/>
  <c r="D20" i="4"/>
  <c r="V20" i="4" s="1"/>
  <c r="C20" i="4"/>
  <c r="M20" i="4"/>
  <c r="N20" i="4"/>
  <c r="AD20" i="4" a="1"/>
  <c r="O20" i="4"/>
  <c r="P20" i="4"/>
  <c r="Q20" i="4"/>
  <c r="R20" i="4"/>
  <c r="AD19" i="4" a="1"/>
  <c r="R19" i="4"/>
  <c r="Q19" i="4"/>
  <c r="P19" i="4"/>
  <c r="O19" i="4"/>
  <c r="N19" i="4"/>
  <c r="M19" i="4"/>
  <c r="K19" i="4"/>
  <c r="L19" i="4"/>
  <c r="J19" i="4"/>
  <c r="I19" i="4"/>
  <c r="H19" i="4"/>
  <c r="G19" i="4"/>
  <c r="F19" i="4"/>
  <c r="E19" i="4"/>
  <c r="D19" i="4"/>
  <c r="V19" i="4" s="1"/>
  <c r="C19" i="4"/>
  <c r="K18" i="4"/>
  <c r="J18" i="4"/>
  <c r="I18" i="4"/>
  <c r="H18" i="4"/>
  <c r="G18" i="4"/>
  <c r="N18" i="4"/>
  <c r="E18" i="4"/>
  <c r="D18" i="4"/>
  <c r="V18" i="4" s="1"/>
  <c r="C18" i="4"/>
  <c r="AD18" i="4" a="1"/>
  <c r="M18" i="4"/>
  <c r="R18" i="4"/>
  <c r="Q18" i="4"/>
  <c r="L18" i="4"/>
  <c r="P18" i="4"/>
  <c r="O18" i="4"/>
  <c r="F18" i="4"/>
  <c r="AD17" i="4" a="1"/>
  <c r="F17" i="4"/>
  <c r="R17" i="4"/>
  <c r="D17" i="4"/>
  <c r="V17" i="4" s="1"/>
  <c r="L17" i="4"/>
  <c r="E17" i="4"/>
  <c r="Q17" i="4"/>
  <c r="P17" i="4"/>
  <c r="C17" i="4"/>
  <c r="O17" i="4"/>
  <c r="N17" i="4"/>
  <c r="M17" i="4"/>
  <c r="K17" i="4"/>
  <c r="J17" i="4"/>
  <c r="I17" i="4"/>
  <c r="H17" i="4"/>
  <c r="G17" i="4"/>
  <c r="I16" i="4"/>
  <c r="H16" i="4"/>
  <c r="G16" i="4"/>
  <c r="F16" i="4"/>
  <c r="E16" i="4"/>
  <c r="O16" i="4"/>
  <c r="AD16" i="4" a="1"/>
  <c r="R16" i="4"/>
  <c r="Q16" i="4"/>
  <c r="P16" i="4"/>
  <c r="D16" i="4"/>
  <c r="V16" i="4" s="1"/>
  <c r="N16" i="4"/>
  <c r="M16" i="4"/>
  <c r="L16" i="4"/>
  <c r="K16" i="4"/>
  <c r="J16" i="4"/>
  <c r="C16" i="4"/>
  <c r="H15" i="4"/>
  <c r="G15" i="4"/>
  <c r="F15" i="4"/>
  <c r="E15" i="4"/>
  <c r="D15" i="4"/>
  <c r="V15" i="4" s="1"/>
  <c r="C15" i="4"/>
  <c r="L15" i="4"/>
  <c r="AD15" i="4" a="1"/>
  <c r="M15" i="4"/>
  <c r="R15" i="4"/>
  <c r="Q15" i="4"/>
  <c r="P15" i="4"/>
  <c r="O15" i="4"/>
  <c r="N15" i="4"/>
  <c r="K15" i="4"/>
  <c r="J15" i="4"/>
  <c r="I15" i="4"/>
  <c r="C14" i="4"/>
  <c r="D14" i="4"/>
  <c r="V14" i="4" s="1"/>
  <c r="W14" i="4" s="1"/>
  <c r="Q14" i="4"/>
  <c r="R14" i="4"/>
  <c r="O14" i="4"/>
  <c r="AD14" i="4" a="1"/>
  <c r="P14" i="4"/>
  <c r="N14" i="4"/>
  <c r="M14" i="4"/>
  <c r="L14" i="4"/>
  <c r="K14" i="4"/>
  <c r="J14" i="4"/>
  <c r="I14" i="4"/>
  <c r="H14" i="4"/>
  <c r="F14" i="4"/>
  <c r="E14" i="4"/>
  <c r="G14" i="4"/>
  <c r="X14" i="4" l="1"/>
  <c r="Z14" i="4" s="1"/>
  <c r="Y14" i="4"/>
  <c r="AA14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5" i="4"/>
  <c r="W17" i="4"/>
  <c r="W19" i="4"/>
  <c r="W18" i="4"/>
  <c r="W16" i="4"/>
  <c r="AF14" i="4" l="1"/>
  <c r="AG14" i="4"/>
  <c r="AB14" i="4"/>
  <c r="AC14" i="4"/>
  <c r="AA47" i="4"/>
  <c r="Z47" i="4"/>
  <c r="Y47" i="4"/>
  <c r="X47" i="4"/>
  <c r="AA46" i="4"/>
  <c r="Z46" i="4"/>
  <c r="Y46" i="4"/>
  <c r="X46" i="4"/>
  <c r="AA45" i="4"/>
  <c r="Z45" i="4"/>
  <c r="Y45" i="4"/>
  <c r="X45" i="4"/>
  <c r="AA44" i="4"/>
  <c r="Z44" i="4"/>
  <c r="Y44" i="4"/>
  <c r="X44" i="4"/>
  <c r="AA43" i="4"/>
  <c r="Z43" i="4"/>
  <c r="Y43" i="4"/>
  <c r="X43" i="4"/>
  <c r="AA42" i="4"/>
  <c r="Z42" i="4"/>
  <c r="Y42" i="4"/>
  <c r="X42" i="4"/>
  <c r="AA41" i="4"/>
  <c r="Z41" i="4"/>
  <c r="Y41" i="4"/>
  <c r="X41" i="4"/>
  <c r="AA40" i="4"/>
  <c r="Z40" i="4"/>
  <c r="Y40" i="4"/>
  <c r="X40" i="4"/>
  <c r="AA39" i="4"/>
  <c r="Z39" i="4"/>
  <c r="Y39" i="4"/>
  <c r="X39" i="4"/>
  <c r="AA38" i="4"/>
  <c r="Z38" i="4"/>
  <c r="Y38" i="4"/>
  <c r="X38" i="4"/>
  <c r="AA37" i="4"/>
  <c r="Z37" i="4"/>
  <c r="Y37" i="4"/>
  <c r="X37" i="4"/>
  <c r="AA36" i="4"/>
  <c r="Z36" i="4"/>
  <c r="Y36" i="4"/>
  <c r="X36" i="4"/>
  <c r="AA35" i="4"/>
  <c r="Z35" i="4"/>
  <c r="Y35" i="4"/>
  <c r="X35" i="4"/>
  <c r="AA34" i="4"/>
  <c r="Z34" i="4"/>
  <c r="Y34" i="4"/>
  <c r="X34" i="4"/>
  <c r="AA33" i="4"/>
  <c r="Z33" i="4"/>
  <c r="Y33" i="4"/>
  <c r="X33" i="4"/>
  <c r="AA32" i="4"/>
  <c r="Z32" i="4"/>
  <c r="Y32" i="4"/>
  <c r="X32" i="4"/>
  <c r="AA31" i="4"/>
  <c r="Z31" i="4"/>
  <c r="Y31" i="4"/>
  <c r="X31" i="4"/>
  <c r="AA30" i="4"/>
  <c r="Z30" i="4"/>
  <c r="Y30" i="4"/>
  <c r="X30" i="4"/>
  <c r="AA29" i="4"/>
  <c r="Z29" i="4"/>
  <c r="Y29" i="4"/>
  <c r="X29" i="4"/>
  <c r="AA28" i="4"/>
  <c r="Z28" i="4"/>
  <c r="Y28" i="4"/>
  <c r="X28" i="4"/>
  <c r="AA27" i="4"/>
  <c r="Z27" i="4"/>
  <c r="Y27" i="4"/>
  <c r="X27" i="4"/>
  <c r="AA26" i="4"/>
  <c r="Z26" i="4"/>
  <c r="Y26" i="4"/>
  <c r="X26" i="4"/>
  <c r="AA25" i="4"/>
  <c r="Z25" i="4"/>
  <c r="Y25" i="4"/>
  <c r="X25" i="4"/>
  <c r="AA24" i="4"/>
  <c r="Z24" i="4"/>
  <c r="Y24" i="4"/>
  <c r="X24" i="4"/>
  <c r="AA23" i="4"/>
  <c r="Z23" i="4"/>
  <c r="Y23" i="4"/>
  <c r="X23" i="4"/>
  <c r="AA22" i="4"/>
  <c r="Z22" i="4"/>
  <c r="Y22" i="4"/>
  <c r="X22" i="4"/>
  <c r="AA21" i="4"/>
  <c r="Z21" i="4"/>
  <c r="Y21" i="4"/>
  <c r="X21" i="4"/>
  <c r="AA20" i="4"/>
  <c r="Z20" i="4"/>
  <c r="Y20" i="4"/>
  <c r="X20" i="4"/>
  <c r="AA15" i="4"/>
  <c r="Z15" i="4"/>
  <c r="Y15" i="4"/>
  <c r="X15" i="4"/>
  <c r="AA17" i="4"/>
  <c r="Z17" i="4"/>
  <c r="Y17" i="4"/>
  <c r="X17" i="4"/>
  <c r="AA19" i="4"/>
  <c r="Z19" i="4"/>
  <c r="Y19" i="4"/>
  <c r="X19" i="4"/>
  <c r="AA18" i="4"/>
  <c r="Z18" i="4"/>
  <c r="Y18" i="4"/>
  <c r="X18" i="4"/>
  <c r="AA16" i="4"/>
  <c r="Z16" i="4"/>
  <c r="Y16" i="4"/>
  <c r="X16" i="4"/>
  <c r="AI14" i="4" l="1"/>
  <c r="AB47" i="4"/>
  <c r="AB46" i="4"/>
  <c r="AC46" i="4"/>
  <c r="AC47" i="4"/>
  <c r="AB45" i="4"/>
  <c r="AB44" i="4"/>
  <c r="AC44" i="4"/>
  <c r="AC45" i="4"/>
  <c r="AB43" i="4"/>
  <c r="AB42" i="4"/>
  <c r="AC42" i="4"/>
  <c r="AC43" i="4"/>
  <c r="AB40" i="4"/>
  <c r="AB41" i="4"/>
  <c r="AC40" i="4"/>
  <c r="AC41" i="4"/>
  <c r="AB39" i="4"/>
  <c r="AB38" i="4"/>
  <c r="AC38" i="4"/>
  <c r="AC39" i="4"/>
  <c r="AB37" i="4"/>
  <c r="AB36" i="4"/>
  <c r="AC36" i="4"/>
  <c r="AC37" i="4"/>
  <c r="AB34" i="4"/>
  <c r="AB35" i="4"/>
  <c r="AC34" i="4"/>
  <c r="AC35" i="4"/>
  <c r="AB33" i="4"/>
  <c r="AB32" i="4"/>
  <c r="AC32" i="4"/>
  <c r="AC33" i="4"/>
  <c r="AB30" i="4"/>
  <c r="AB31" i="4"/>
  <c r="AC30" i="4"/>
  <c r="AC31" i="4"/>
  <c r="AB29" i="4"/>
  <c r="AB28" i="4"/>
  <c r="AC28" i="4"/>
  <c r="AC29" i="4"/>
  <c r="AB27" i="4"/>
  <c r="AB26" i="4"/>
  <c r="AC26" i="4"/>
  <c r="AC27" i="4"/>
  <c r="AB17" i="4"/>
  <c r="AB16" i="4"/>
  <c r="AC16" i="4"/>
  <c r="AC17" i="4"/>
  <c r="AB20" i="4"/>
  <c r="AB21" i="4"/>
  <c r="AC20" i="4"/>
  <c r="AC21" i="4"/>
  <c r="AB24" i="4"/>
  <c r="AB25" i="4"/>
  <c r="AC24" i="4"/>
  <c r="AC25" i="4"/>
  <c r="AB23" i="4"/>
  <c r="AB22" i="4"/>
  <c r="AC22" i="4"/>
  <c r="AC23" i="4"/>
  <c r="AB19" i="4"/>
  <c r="AB18" i="4"/>
  <c r="AC18" i="4"/>
  <c r="AC19" i="4"/>
  <c r="AB15" i="4"/>
  <c r="AC15" i="4"/>
  <c r="J47" i="4" l="1"/>
  <c r="Q47" i="4"/>
  <c r="O47" i="4"/>
  <c r="S47" i="4" l="1"/>
  <c r="I47" i="4"/>
  <c r="P47" i="4"/>
  <c r="R47" i="4" l="1"/>
  <c r="D48" i="4"/>
  <c r="V48" i="4" s="1"/>
  <c r="W48" i="4" s="1"/>
  <c r="Y48" i="4" l="1"/>
  <c r="X48" i="4"/>
  <c r="Z48" i="4" s="1"/>
  <c r="AA48" i="4"/>
  <c r="C48" i="4"/>
  <c r="J48" i="4"/>
  <c r="O48" i="4"/>
  <c r="Q48" i="4"/>
  <c r="AC48" i="4" l="1"/>
  <c r="AB48" i="4"/>
  <c r="S48" i="4"/>
  <c r="I48" i="4"/>
  <c r="P48" i="4"/>
  <c r="R48" i="4" l="1"/>
  <c r="D49" i="4"/>
  <c r="V49" i="4" s="1"/>
  <c r="W49" i="4" s="1"/>
  <c r="X49" i="4" l="1"/>
  <c r="Z49" i="4" s="1"/>
  <c r="AA49" i="4"/>
  <c r="Y49" i="4"/>
  <c r="C49" i="4"/>
  <c r="O49" i="4"/>
  <c r="Q49" i="4"/>
  <c r="J49" i="4"/>
  <c r="AB49" i="4" l="1"/>
  <c r="AC49" i="4"/>
  <c r="AH14" i="4"/>
  <c r="AF15" i="4"/>
  <c r="AI15" i="4" s="1"/>
  <c r="AG15" i="4"/>
  <c r="S49" i="4"/>
  <c r="I49" i="4"/>
  <c r="P49" i="4"/>
  <c r="R49" i="4" l="1"/>
  <c r="D50" i="4"/>
  <c r="V50" i="4" s="1"/>
  <c r="W50" i="4" s="1"/>
  <c r="Y50" i="4" l="1"/>
  <c r="AA50" i="4"/>
  <c r="X50" i="4"/>
  <c r="Z50" i="4"/>
  <c r="C50" i="4"/>
  <c r="O50" i="4"/>
  <c r="J50" i="4"/>
  <c r="Q50" i="4"/>
  <c r="AC50" i="4" l="1"/>
  <c r="AB50" i="4"/>
  <c r="S50" i="4"/>
  <c r="I50" i="4"/>
  <c r="P50" i="4"/>
  <c r="R50" i="4" l="1"/>
  <c r="D51" i="4"/>
  <c r="V51" i="4" s="1"/>
  <c r="W51" i="4" s="1"/>
  <c r="Y51" i="4" l="1"/>
  <c r="Z51" i="4"/>
  <c r="X51" i="4"/>
  <c r="AA51" i="4"/>
  <c r="C51" i="4"/>
  <c r="Q51" i="4"/>
  <c r="J51" i="4"/>
  <c r="O51" i="4"/>
  <c r="AB51" i="4" l="1"/>
  <c r="AC51" i="4"/>
  <c r="S51" i="4"/>
  <c r="I51" i="4"/>
  <c r="P51" i="4"/>
  <c r="R51" i="4" l="1"/>
  <c r="D52" i="4"/>
  <c r="V52" i="4" s="1"/>
  <c r="W52" i="4" s="1"/>
  <c r="AA52" i="4" l="1"/>
  <c r="X52" i="4"/>
  <c r="Z52" i="4"/>
  <c r="Y52" i="4"/>
  <c r="C52" i="4"/>
  <c r="O52" i="4"/>
  <c r="J52" i="4"/>
  <c r="Q52" i="4"/>
  <c r="AB52" i="4" l="1"/>
  <c r="AC52" i="4"/>
  <c r="S52" i="4"/>
  <c r="I52" i="4"/>
  <c r="P52" i="4"/>
  <c r="D53" i="4" l="1"/>
  <c r="V53" i="4" s="1"/>
  <c r="W53" i="4" s="1"/>
  <c r="R52" i="4"/>
  <c r="Z53" i="4" l="1"/>
  <c r="X53" i="4"/>
  <c r="Y53" i="4"/>
  <c r="AA53" i="4"/>
  <c r="J53" i="4"/>
  <c r="Q53" i="4"/>
  <c r="O53" i="4"/>
  <c r="C53" i="4"/>
  <c r="AB53" i="4" l="1"/>
  <c r="AC53" i="4"/>
  <c r="S53" i="4"/>
  <c r="I53" i="4"/>
  <c r="P53" i="4"/>
  <c r="D54" i="4" l="1"/>
  <c r="V54" i="4" s="1"/>
  <c r="W54" i="4" s="1"/>
  <c r="R53" i="4"/>
  <c r="X54" i="4" l="1"/>
  <c r="Z54" i="4"/>
  <c r="AA54" i="4"/>
  <c r="Y54" i="4"/>
  <c r="J54" i="4"/>
  <c r="Q54" i="4"/>
  <c r="O54" i="4"/>
  <c r="C54" i="4"/>
  <c r="AC54" i="4" l="1"/>
  <c r="AB54" i="4"/>
  <c r="S54" i="4"/>
  <c r="P54" i="4"/>
  <c r="I54" i="4"/>
  <c r="D55" i="4" l="1"/>
  <c r="V55" i="4" s="1"/>
  <c r="W55" i="4" s="1"/>
  <c r="R54" i="4"/>
  <c r="AA55" i="4" l="1"/>
  <c r="Y55" i="4"/>
  <c r="Z55" i="4"/>
  <c r="X55" i="4"/>
  <c r="O55" i="4"/>
  <c r="J55" i="4"/>
  <c r="Q55" i="4"/>
  <c r="C55" i="4"/>
  <c r="AC55" i="4" l="1"/>
  <c r="AB55" i="4"/>
  <c r="I55" i="4"/>
  <c r="P55" i="4"/>
  <c r="S55" i="4"/>
  <c r="R55" i="4" l="1"/>
  <c r="D56" i="4"/>
  <c r="V56" i="4" s="1"/>
  <c r="W56" i="4" s="1"/>
  <c r="AA56" i="4" l="1"/>
  <c r="Y56" i="4"/>
  <c r="Z56" i="4"/>
  <c r="X56" i="4"/>
  <c r="C56" i="4"/>
  <c r="O56" i="4"/>
  <c r="J56" i="4"/>
  <c r="Q56" i="4"/>
  <c r="AC56" i="4" l="1"/>
  <c r="AB56" i="4"/>
  <c r="P56" i="4"/>
  <c r="I56" i="4"/>
  <c r="S56" i="4"/>
  <c r="R56" i="4" l="1"/>
  <c r="D57" i="4"/>
  <c r="V57" i="4" s="1"/>
  <c r="W57" i="4" s="1"/>
  <c r="AA57" i="4" l="1"/>
  <c r="Z57" i="4"/>
  <c r="X57" i="4"/>
  <c r="Y57" i="4"/>
  <c r="C57" i="4"/>
  <c r="O57" i="4"/>
  <c r="Q57" i="4"/>
  <c r="J57" i="4"/>
  <c r="AB57" i="4" l="1"/>
  <c r="AC57" i="4"/>
  <c r="P57" i="4"/>
  <c r="I57" i="4"/>
  <c r="S57" i="4"/>
  <c r="R57" i="4" l="1"/>
  <c r="D58" i="4"/>
  <c r="V58" i="4" s="1"/>
  <c r="W58" i="4" s="1"/>
  <c r="AA58" i="4" l="1"/>
  <c r="Y58" i="4"/>
  <c r="X58" i="4"/>
  <c r="Z58" i="4"/>
  <c r="C58" i="4"/>
  <c r="O58" i="4"/>
  <c r="Q58" i="4"/>
  <c r="J58" i="4"/>
  <c r="AB58" i="4" l="1"/>
  <c r="AC58" i="4"/>
  <c r="S58" i="4"/>
  <c r="I58" i="4"/>
  <c r="P58" i="4"/>
  <c r="R58" i="4" l="1"/>
  <c r="D59" i="4"/>
  <c r="V59" i="4" s="1"/>
  <c r="W59" i="4" s="1"/>
  <c r="AA59" i="4" l="1"/>
  <c r="X59" i="4"/>
  <c r="Z59" i="4"/>
  <c r="Y59" i="4"/>
  <c r="C59" i="4"/>
  <c r="O59" i="4"/>
  <c r="Q59" i="4"/>
  <c r="J59" i="4"/>
  <c r="AC59" i="4" l="1"/>
  <c r="AB59" i="4"/>
  <c r="I59" i="4"/>
  <c r="P59" i="4"/>
  <c r="S59" i="4"/>
  <c r="R59" i="4" l="1"/>
  <c r="D60" i="4"/>
  <c r="V60" i="4" s="1"/>
  <c r="W60" i="4" s="1"/>
  <c r="Y60" i="4" l="1"/>
  <c r="AA60" i="4"/>
  <c r="X60" i="4"/>
  <c r="Z60" i="4"/>
  <c r="C60" i="4"/>
  <c r="O60" i="4"/>
  <c r="Q60" i="4"/>
  <c r="J60" i="4"/>
  <c r="AC60" i="4" l="1"/>
  <c r="AB60" i="4"/>
  <c r="S60" i="4"/>
  <c r="I60" i="4"/>
  <c r="P60" i="4"/>
  <c r="R60" i="4" l="1"/>
  <c r="D61" i="4"/>
  <c r="V61" i="4" s="1"/>
  <c r="W61" i="4" s="1"/>
  <c r="AA61" i="4" l="1"/>
  <c r="X61" i="4"/>
  <c r="Z61" i="4" s="1"/>
  <c r="Y61" i="4"/>
  <c r="C61" i="4"/>
  <c r="O61" i="4"/>
  <c r="Q61" i="4"/>
  <c r="J61" i="4"/>
  <c r="AC61" i="4" l="1"/>
  <c r="AB61" i="4"/>
  <c r="S61" i="4"/>
  <c r="I61" i="4"/>
  <c r="P61" i="4"/>
  <c r="R61" i="4" l="1"/>
  <c r="D62" i="4"/>
  <c r="V62" i="4" s="1"/>
  <c r="W62" i="4" s="1"/>
  <c r="X62" i="4" l="1"/>
  <c r="Z62" i="4"/>
  <c r="AA62" i="4"/>
  <c r="Y62" i="4"/>
  <c r="C62" i="4"/>
  <c r="O62" i="4"/>
  <c r="Q62" i="4"/>
  <c r="J62" i="4"/>
  <c r="AB62" i="4" l="1"/>
  <c r="AC62" i="4"/>
  <c r="S62" i="4"/>
  <c r="P62" i="4"/>
  <c r="I62" i="4"/>
  <c r="R62" i="4" l="1"/>
  <c r="D63" i="4"/>
  <c r="V63" i="4" s="1"/>
  <c r="W63" i="4" s="1"/>
  <c r="Z63" i="4" l="1"/>
  <c r="Y63" i="4"/>
  <c r="X63" i="4"/>
  <c r="AA63" i="4"/>
  <c r="C63" i="4"/>
  <c r="Q63" i="4"/>
  <c r="O63" i="4"/>
  <c r="J63" i="4"/>
  <c r="AB63" i="4" l="1"/>
  <c r="AC63" i="4"/>
  <c r="I63" i="4"/>
  <c r="P63" i="4"/>
  <c r="S63" i="4"/>
  <c r="R63" i="4" l="1"/>
  <c r="D64" i="4"/>
  <c r="V64" i="4" s="1"/>
  <c r="W64" i="4" s="1"/>
  <c r="AA64" i="4" l="1"/>
  <c r="Z64" i="4"/>
  <c r="X64" i="4"/>
  <c r="Y64" i="4"/>
  <c r="C64" i="4"/>
  <c r="Q64" i="4"/>
  <c r="J64" i="4"/>
  <c r="O64" i="4"/>
  <c r="AC64" i="4" l="1"/>
  <c r="AB64" i="4"/>
  <c r="S64" i="4"/>
  <c r="I64" i="4"/>
  <c r="P64" i="4"/>
  <c r="R64" i="4" l="1"/>
  <c r="D65" i="4"/>
  <c r="V65" i="4" s="1"/>
  <c r="W65" i="4" s="1"/>
  <c r="AA65" i="4" l="1"/>
  <c r="Y65" i="4"/>
  <c r="X65" i="4"/>
  <c r="Z65" i="4" s="1"/>
  <c r="C65" i="4"/>
  <c r="O65" i="4"/>
  <c r="Q65" i="4"/>
  <c r="J65" i="4"/>
  <c r="AB65" i="4" l="1"/>
  <c r="AC65" i="4"/>
  <c r="S65" i="4"/>
  <c r="I65" i="4"/>
  <c r="P65" i="4"/>
  <c r="R65" i="4" l="1"/>
  <c r="D66" i="4"/>
  <c r="V66" i="4" s="1"/>
  <c r="W66" i="4" s="1"/>
  <c r="Z66" i="4" l="1"/>
  <c r="AA66" i="4"/>
  <c r="Y66" i="4"/>
  <c r="X66" i="4"/>
  <c r="C66" i="4"/>
  <c r="O66" i="4"/>
  <c r="J66" i="4"/>
  <c r="Q66" i="4"/>
  <c r="AC66" i="4" l="1"/>
  <c r="AB66" i="4"/>
  <c r="S66" i="4"/>
  <c r="I66" i="4"/>
  <c r="P66" i="4"/>
  <c r="D67" i="4" l="1"/>
  <c r="V67" i="4" s="1"/>
  <c r="W67" i="4" s="1"/>
  <c r="R66" i="4"/>
  <c r="Y67" i="4" l="1"/>
  <c r="AA67" i="4"/>
  <c r="Z67" i="4"/>
  <c r="X67" i="4"/>
  <c r="O67" i="4"/>
  <c r="J67" i="4"/>
  <c r="Q67" i="4"/>
  <c r="C67" i="4"/>
  <c r="AC67" i="4" l="1"/>
  <c r="AB67" i="4"/>
  <c r="S67" i="4"/>
  <c r="I67" i="4"/>
  <c r="P67" i="4"/>
  <c r="D68" i="4" l="1"/>
  <c r="V68" i="4" s="1"/>
  <c r="W68" i="4" s="1"/>
  <c r="R67" i="4"/>
  <c r="Y68" i="4" l="1"/>
  <c r="Z68" i="4"/>
  <c r="X68" i="4"/>
  <c r="AA68" i="4"/>
  <c r="O68" i="4"/>
  <c r="Q68" i="4"/>
  <c r="J68" i="4"/>
  <c r="C68" i="4"/>
  <c r="AB68" i="4" l="1"/>
  <c r="AC68" i="4"/>
  <c r="S68" i="4"/>
  <c r="I68" i="4"/>
  <c r="P68" i="4"/>
  <c r="R68" i="4" l="1"/>
  <c r="D69" i="4"/>
  <c r="V69" i="4" s="1"/>
  <c r="W69" i="4" s="1"/>
  <c r="X69" i="4" l="1"/>
  <c r="Z69" i="4"/>
  <c r="Y69" i="4"/>
  <c r="AA69" i="4"/>
  <c r="C69" i="4"/>
  <c r="O69" i="4"/>
  <c r="Q69" i="4"/>
  <c r="J69" i="4"/>
  <c r="AB69" i="4" l="1"/>
  <c r="AC69" i="4"/>
  <c r="I69" i="4"/>
  <c r="P69" i="4"/>
  <c r="S69" i="4"/>
  <c r="D70" i="4" l="1"/>
  <c r="V70" i="4" s="1"/>
  <c r="W70" i="4" s="1"/>
  <c r="R69" i="4"/>
  <c r="Y70" i="4" l="1"/>
  <c r="X70" i="4"/>
  <c r="Z70" i="4"/>
  <c r="AA70" i="4"/>
  <c r="Q70" i="4"/>
  <c r="O70" i="4"/>
  <c r="J70" i="4"/>
  <c r="C70" i="4"/>
  <c r="AC70" i="4" l="1"/>
  <c r="AB70" i="4"/>
  <c r="S70" i="4"/>
  <c r="I70" i="4"/>
  <c r="P70" i="4"/>
  <c r="R70" i="4" l="1"/>
  <c r="D71" i="4"/>
  <c r="V71" i="4" s="1"/>
  <c r="W71" i="4" s="1"/>
  <c r="Y71" i="4" l="1"/>
  <c r="AA71" i="4"/>
  <c r="Z71" i="4"/>
  <c r="X71" i="4"/>
  <c r="C71" i="4"/>
  <c r="O71" i="4"/>
  <c r="J71" i="4"/>
  <c r="Q71" i="4"/>
  <c r="AB71" i="4" l="1"/>
  <c r="AC71" i="4"/>
  <c r="S71" i="4"/>
  <c r="P71" i="4"/>
  <c r="I71" i="4"/>
  <c r="R71" i="4" l="1"/>
  <c r="D72" i="4"/>
  <c r="V72" i="4" s="1"/>
  <c r="W72" i="4" s="1"/>
  <c r="Z72" i="4" l="1"/>
  <c r="X72" i="4"/>
  <c r="AA72" i="4"/>
  <c r="Y72" i="4"/>
  <c r="C72" i="4"/>
  <c r="O72" i="4"/>
  <c r="Q72" i="4"/>
  <c r="J72" i="4"/>
  <c r="AC72" i="4" l="1"/>
  <c r="AB72" i="4"/>
  <c r="I72" i="4"/>
  <c r="P72" i="4"/>
  <c r="S72" i="4"/>
  <c r="R72" i="4" l="1"/>
  <c r="D73" i="4"/>
  <c r="V73" i="4" s="1"/>
  <c r="W73" i="4" s="1"/>
  <c r="X73" i="4" l="1"/>
  <c r="AA73" i="4"/>
  <c r="Y73" i="4"/>
  <c r="Z73" i="4"/>
  <c r="C73" i="4"/>
  <c r="J73" i="4"/>
  <c r="O73" i="4"/>
  <c r="Q73" i="4"/>
  <c r="AB73" i="4" l="1"/>
  <c r="AC73" i="4"/>
  <c r="P73" i="4"/>
  <c r="I73" i="4"/>
  <c r="S73" i="4"/>
  <c r="R73" i="4" l="1"/>
  <c r="D74" i="4"/>
  <c r="V74" i="4" s="1"/>
  <c r="W74" i="4" s="1"/>
  <c r="Y74" i="4" l="1"/>
  <c r="AA74" i="4"/>
  <c r="Z74" i="4"/>
  <c r="X74" i="4"/>
  <c r="C74" i="4"/>
  <c r="J74" i="4"/>
  <c r="Q74" i="4"/>
  <c r="O74" i="4"/>
  <c r="AC74" i="4" l="1"/>
  <c r="AB74" i="4"/>
  <c r="S74" i="4"/>
  <c r="P74" i="4"/>
  <c r="I74" i="4"/>
  <c r="R74" i="4" l="1"/>
  <c r="D75" i="4"/>
  <c r="V75" i="4" s="1"/>
  <c r="W75" i="4" s="1"/>
  <c r="X75" i="4" l="1"/>
  <c r="Y75" i="4"/>
  <c r="Z75" i="4"/>
  <c r="AA75" i="4"/>
  <c r="C75" i="4"/>
  <c r="J75" i="4"/>
  <c r="Q75" i="4"/>
  <c r="O75" i="4"/>
  <c r="AB75" i="4" l="1"/>
  <c r="AC75" i="4"/>
  <c r="S75" i="4"/>
  <c r="P75" i="4"/>
  <c r="I75" i="4"/>
  <c r="R75" i="4" l="1"/>
  <c r="D76" i="4"/>
  <c r="V76" i="4" s="1"/>
  <c r="W76" i="4" s="1"/>
  <c r="Y76" i="4" l="1"/>
  <c r="Z76" i="4"/>
  <c r="X76" i="4"/>
  <c r="AA76" i="4"/>
  <c r="C76" i="4"/>
  <c r="J76" i="4"/>
  <c r="O76" i="4"/>
  <c r="Q76" i="4"/>
  <c r="AC76" i="4" l="1"/>
  <c r="AB76" i="4"/>
  <c r="P76" i="4"/>
  <c r="I76" i="4"/>
  <c r="S76" i="4"/>
  <c r="D77" i="4" l="1"/>
  <c r="V77" i="4" s="1"/>
  <c r="W77" i="4" s="1"/>
  <c r="R76" i="4"/>
  <c r="X77" i="4" l="1"/>
  <c r="Z77" i="4"/>
  <c r="Y77" i="4"/>
  <c r="AA77" i="4"/>
  <c r="Q77" i="4"/>
  <c r="O77" i="4"/>
  <c r="J77" i="4"/>
  <c r="C77" i="4"/>
  <c r="AB77" i="4" l="1"/>
  <c r="AC77" i="4"/>
  <c r="P77" i="4"/>
  <c r="I77" i="4"/>
  <c r="S77" i="4"/>
  <c r="R77" i="4" l="1"/>
  <c r="D78" i="4"/>
  <c r="V78" i="4" s="1"/>
  <c r="W78" i="4" s="1"/>
  <c r="Y78" i="4" l="1"/>
  <c r="AA78" i="4"/>
  <c r="X78" i="4"/>
  <c r="Z78" i="4" s="1"/>
  <c r="C78" i="4"/>
  <c r="J78" i="4"/>
  <c r="O78" i="4"/>
  <c r="Q78" i="4"/>
  <c r="AB78" i="4" l="1"/>
  <c r="AC78" i="4"/>
  <c r="S78" i="4"/>
  <c r="I78" i="4"/>
  <c r="P78" i="4"/>
  <c r="R78" i="4" l="1"/>
  <c r="D79" i="4"/>
  <c r="V79" i="4" s="1"/>
  <c r="W79" i="4" s="1"/>
  <c r="AA79" i="4" l="1"/>
  <c r="X79" i="4"/>
  <c r="Z79" i="4" s="1"/>
  <c r="Y79" i="4"/>
  <c r="C79" i="4"/>
  <c r="J79" i="4"/>
  <c r="Q79" i="4"/>
  <c r="O79" i="4"/>
  <c r="AB79" i="4" l="1"/>
  <c r="AC79" i="4"/>
  <c r="S79" i="4"/>
  <c r="I79" i="4"/>
  <c r="P79" i="4"/>
  <c r="R79" i="4" l="1"/>
  <c r="D80" i="4"/>
  <c r="V80" i="4" s="1"/>
  <c r="W80" i="4" s="1"/>
  <c r="Y80" i="4" l="1"/>
  <c r="AA80" i="4"/>
  <c r="X80" i="4"/>
  <c r="Z80" i="4"/>
  <c r="C80" i="4"/>
  <c r="J80" i="4"/>
  <c r="O80" i="4"/>
  <c r="Q80" i="4"/>
  <c r="AC80" i="4" l="1"/>
  <c r="AB80" i="4"/>
  <c r="S80" i="4"/>
  <c r="P80" i="4"/>
  <c r="I80" i="4"/>
  <c r="R80" i="4" l="1"/>
  <c r="D81" i="4"/>
  <c r="V81" i="4" s="1"/>
  <c r="W81" i="4" s="1"/>
  <c r="Y81" i="4" l="1"/>
  <c r="AA81" i="4"/>
  <c r="X81" i="4"/>
  <c r="Z81" i="4"/>
  <c r="C81" i="4"/>
  <c r="J81" i="4"/>
  <c r="Q81" i="4"/>
  <c r="O81" i="4"/>
  <c r="AB81" i="4" l="1"/>
  <c r="AC81" i="4"/>
  <c r="S81" i="4"/>
  <c r="P81" i="4"/>
  <c r="I81" i="4"/>
  <c r="D82" i="4" l="1"/>
  <c r="V82" i="4" s="1"/>
  <c r="W82" i="4" s="1"/>
  <c r="R81" i="4"/>
  <c r="AA82" i="4" l="1"/>
  <c r="Y82" i="4"/>
  <c r="Z82" i="4"/>
  <c r="X82" i="4"/>
  <c r="J82" i="4"/>
  <c r="Q82" i="4"/>
  <c r="O82" i="4"/>
  <c r="C82" i="4"/>
  <c r="AC82" i="4" l="1"/>
  <c r="AB82" i="4"/>
  <c r="S82" i="4"/>
  <c r="P82" i="4"/>
  <c r="I82" i="4"/>
  <c r="R82" i="4" l="1"/>
  <c r="D83" i="4"/>
  <c r="V83" i="4" s="1"/>
  <c r="W83" i="4" s="1"/>
  <c r="X83" i="4" l="1"/>
  <c r="Z83" i="4"/>
  <c r="Y83" i="4"/>
  <c r="AA83" i="4"/>
  <c r="C83" i="4"/>
  <c r="O83" i="4"/>
  <c r="J83" i="4"/>
  <c r="Q83" i="4"/>
  <c r="AC83" i="4" l="1"/>
  <c r="AB83" i="4"/>
  <c r="P83" i="4"/>
  <c r="I83" i="4"/>
  <c r="S83" i="4"/>
  <c r="R83" i="4" l="1"/>
  <c r="D84" i="4"/>
  <c r="V84" i="4" s="1"/>
  <c r="W84" i="4" s="1"/>
  <c r="X84" i="4" l="1"/>
  <c r="Z84" i="4"/>
  <c r="AA84" i="4"/>
  <c r="Y84" i="4"/>
  <c r="C84" i="4"/>
  <c r="O84" i="4"/>
  <c r="J84" i="4"/>
  <c r="Q84" i="4"/>
  <c r="AC84" i="4" l="1"/>
  <c r="AB84" i="4"/>
  <c r="S84" i="4"/>
  <c r="P84" i="4"/>
  <c r="I84" i="4"/>
  <c r="R84" i="4" l="1"/>
  <c r="D85" i="4"/>
  <c r="V85" i="4" s="1"/>
  <c r="W85" i="4" s="1"/>
  <c r="Y85" i="4" l="1"/>
  <c r="X85" i="4"/>
  <c r="Z85" i="4"/>
  <c r="AA85" i="4"/>
  <c r="C85" i="4"/>
  <c r="J85" i="4"/>
  <c r="Q85" i="4"/>
  <c r="O85" i="4"/>
  <c r="AC85" i="4" l="1"/>
  <c r="AB85" i="4"/>
  <c r="S85" i="4"/>
  <c r="P85" i="4"/>
  <c r="I85" i="4"/>
  <c r="R85" i="4" l="1"/>
  <c r="D86" i="4"/>
  <c r="V86" i="4" s="1"/>
  <c r="W86" i="4" s="1"/>
  <c r="AA86" i="4" l="1"/>
  <c r="Y86" i="4"/>
  <c r="Z86" i="4"/>
  <c r="X86" i="4"/>
  <c r="C86" i="4"/>
  <c r="J86" i="4"/>
  <c r="Q86" i="4"/>
  <c r="O86" i="4"/>
  <c r="AC86" i="4" l="1"/>
  <c r="AB86" i="4"/>
  <c r="S86" i="4"/>
  <c r="P86" i="4"/>
  <c r="I86" i="4"/>
  <c r="R86" i="4" l="1"/>
  <c r="D87" i="4"/>
  <c r="V87" i="4" s="1"/>
  <c r="W87" i="4" s="1"/>
  <c r="Y87" i="4" l="1"/>
  <c r="X87" i="4"/>
  <c r="Z87" i="4"/>
  <c r="AA87" i="4"/>
  <c r="C87" i="4"/>
  <c r="Q87" i="4"/>
  <c r="J87" i="4"/>
  <c r="O87" i="4"/>
  <c r="AB87" i="4" l="1"/>
  <c r="AC87" i="4"/>
  <c r="S87" i="4"/>
  <c r="P87" i="4"/>
  <c r="I87" i="4"/>
  <c r="R87" i="4" l="1"/>
  <c r="D88" i="4"/>
  <c r="V88" i="4" s="1"/>
  <c r="W88" i="4" s="1"/>
  <c r="X88" i="4" l="1"/>
  <c r="Y88" i="4"/>
  <c r="AA88" i="4"/>
  <c r="Z88" i="4"/>
  <c r="C88" i="4"/>
  <c r="J88" i="4"/>
  <c r="Q88" i="4"/>
  <c r="O88" i="4"/>
  <c r="AC88" i="4" l="1"/>
  <c r="AB88" i="4"/>
  <c r="S88" i="4"/>
  <c r="P88" i="4"/>
  <c r="I88" i="4"/>
  <c r="R88" i="4" l="1"/>
  <c r="D89" i="4"/>
  <c r="V89" i="4" s="1"/>
  <c r="W89" i="4" s="1"/>
  <c r="Y89" i="4" l="1"/>
  <c r="AA89" i="4"/>
  <c r="X89" i="4"/>
  <c r="Z89" i="4"/>
  <c r="C89" i="4"/>
  <c r="J89" i="4"/>
  <c r="Q89" i="4"/>
  <c r="O89" i="4"/>
  <c r="AB89" i="4" l="1"/>
  <c r="AC89" i="4"/>
  <c r="S89" i="4"/>
  <c r="P89" i="4"/>
  <c r="I89" i="4"/>
  <c r="R89" i="4" l="1"/>
  <c r="D90" i="4"/>
  <c r="V90" i="4" s="1"/>
  <c r="W90" i="4" s="1"/>
  <c r="AA90" i="4" l="1"/>
  <c r="Y90" i="4"/>
  <c r="X90" i="4"/>
  <c r="Z90" i="4"/>
  <c r="C90" i="4"/>
  <c r="J90" i="4"/>
  <c r="Q90" i="4"/>
  <c r="O90" i="4"/>
  <c r="AC90" i="4" l="1"/>
  <c r="AB90" i="4"/>
  <c r="S90" i="4"/>
  <c r="I90" i="4"/>
  <c r="P90" i="4"/>
  <c r="R90" i="4" l="1"/>
  <c r="D91" i="4"/>
  <c r="V91" i="4" s="1"/>
  <c r="W91" i="4" s="1"/>
  <c r="Y91" i="4" l="1"/>
  <c r="Z91" i="4"/>
  <c r="X91" i="4"/>
  <c r="AA91" i="4"/>
  <c r="C91" i="4"/>
  <c r="J91" i="4"/>
  <c r="O91" i="4"/>
  <c r="Q91" i="4"/>
  <c r="AC91" i="4" l="1"/>
  <c r="AB91" i="4"/>
  <c r="S91" i="4"/>
  <c r="P91" i="4"/>
  <c r="I91" i="4"/>
  <c r="R91" i="4" l="1"/>
  <c r="D92" i="4"/>
  <c r="V92" i="4" s="1"/>
  <c r="W92" i="4" s="1"/>
  <c r="Y92" i="4" l="1"/>
  <c r="X92" i="4"/>
  <c r="Z92" i="4"/>
  <c r="AA92" i="4"/>
  <c r="C92" i="4"/>
  <c r="O92" i="4"/>
  <c r="Q92" i="4"/>
  <c r="J92" i="4"/>
  <c r="AB92" i="4" l="1"/>
  <c r="AC92" i="4"/>
  <c r="I92" i="4"/>
  <c r="P92" i="4"/>
  <c r="S92" i="4"/>
  <c r="R92" i="4" l="1"/>
  <c r="D93" i="4"/>
  <c r="V93" i="4" s="1"/>
  <c r="W93" i="4" s="1"/>
  <c r="Y93" i="4" l="1"/>
  <c r="X93" i="4"/>
  <c r="Z93" i="4"/>
  <c r="AA93" i="4"/>
  <c r="C93" i="4"/>
  <c r="J93" i="4"/>
  <c r="Q93" i="4"/>
  <c r="O93" i="4"/>
  <c r="AC93" i="4" l="1"/>
  <c r="AB93" i="4"/>
  <c r="S93" i="4"/>
  <c r="P93" i="4"/>
  <c r="I93" i="4"/>
  <c r="R93" i="4" l="1"/>
  <c r="D94" i="4"/>
  <c r="V94" i="4" s="1"/>
  <c r="W94" i="4" s="1"/>
  <c r="AA94" i="4" l="1"/>
  <c r="X94" i="4"/>
  <c r="Z94" i="4"/>
  <c r="Y94" i="4"/>
  <c r="C94" i="4"/>
  <c r="J94" i="4"/>
  <c r="Q94" i="4"/>
  <c r="O94" i="4"/>
  <c r="AB94" i="4" l="1"/>
  <c r="AC94" i="4"/>
  <c r="S94" i="4"/>
  <c r="P94" i="4"/>
  <c r="I94" i="4"/>
  <c r="R94" i="4" l="1"/>
  <c r="D95" i="4"/>
  <c r="V95" i="4" s="1"/>
  <c r="W95" i="4" s="1"/>
  <c r="Y95" i="4" l="1"/>
  <c r="Z95" i="4"/>
  <c r="AA95" i="4"/>
  <c r="X95" i="4"/>
  <c r="C95" i="4"/>
  <c r="Q95" i="4"/>
  <c r="O95" i="4"/>
  <c r="J95" i="4"/>
  <c r="AB95" i="4" l="1"/>
  <c r="AC95" i="4"/>
  <c r="S95" i="4"/>
  <c r="P95" i="4"/>
  <c r="I95" i="4"/>
  <c r="R95" i="4" l="1"/>
  <c r="D96" i="4"/>
  <c r="V96" i="4" s="1"/>
  <c r="W96" i="4" s="1"/>
  <c r="AA96" i="4" l="1"/>
  <c r="Y96" i="4"/>
  <c r="X96" i="4"/>
  <c r="Z96" i="4"/>
  <c r="C96" i="4"/>
  <c r="O96" i="4"/>
  <c r="Q96" i="4"/>
  <c r="J96" i="4"/>
  <c r="AB96" i="4" l="1"/>
  <c r="AC96" i="4"/>
  <c r="S96" i="4"/>
  <c r="P96" i="4"/>
  <c r="I96" i="4"/>
  <c r="D97" i="4" l="1"/>
  <c r="V97" i="4" s="1"/>
  <c r="W97" i="4" s="1"/>
  <c r="R96" i="4"/>
  <c r="Z97" i="4" l="1"/>
  <c r="AA97" i="4"/>
  <c r="Y97" i="4"/>
  <c r="X97" i="4"/>
  <c r="J97" i="4"/>
  <c r="Q97" i="4"/>
  <c r="O97" i="4"/>
  <c r="C97" i="4"/>
  <c r="AC97" i="4" l="1"/>
  <c r="AB97" i="4"/>
  <c r="S97" i="4"/>
  <c r="I97" i="4"/>
  <c r="P97" i="4"/>
  <c r="R97" i="4" l="1"/>
  <c r="D98" i="4"/>
  <c r="V98" i="4" s="1"/>
  <c r="W98" i="4" s="1"/>
  <c r="AA98" i="4" l="1"/>
  <c r="Y98" i="4"/>
  <c r="Z98" i="4"/>
  <c r="X98" i="4"/>
  <c r="C98" i="4"/>
  <c r="O98" i="4"/>
  <c r="J98" i="4"/>
  <c r="Q98" i="4"/>
  <c r="AB98" i="4" l="1"/>
  <c r="AC98" i="4"/>
  <c r="P98" i="4"/>
  <c r="I98" i="4"/>
  <c r="S98" i="4"/>
  <c r="D99" i="4" l="1"/>
  <c r="V99" i="4" s="1"/>
  <c r="W99" i="4" s="1"/>
  <c r="R98" i="4"/>
  <c r="AA99" i="4" l="1"/>
  <c r="Y99" i="4"/>
  <c r="Z99" i="4"/>
  <c r="X99" i="4"/>
  <c r="J99" i="4"/>
  <c r="Q99" i="4"/>
  <c r="O99" i="4"/>
  <c r="C99" i="4"/>
  <c r="AB99" i="4" l="1"/>
  <c r="AC99" i="4"/>
  <c r="S99" i="4"/>
  <c r="I99" i="4"/>
  <c r="P99" i="4"/>
  <c r="R99" i="4" l="1"/>
  <c r="D100" i="4"/>
  <c r="V100" i="4" s="1"/>
  <c r="W100" i="4" s="1"/>
  <c r="AA100" i="4" l="1"/>
  <c r="Z100" i="4"/>
  <c r="Y100" i="4"/>
  <c r="X100" i="4"/>
  <c r="C100" i="4"/>
  <c r="Q100" i="4"/>
  <c r="O100" i="4"/>
  <c r="J100" i="4"/>
  <c r="AC100" i="4" l="1"/>
  <c r="AB100" i="4"/>
  <c r="P100" i="4"/>
  <c r="I100" i="4"/>
  <c r="S100" i="4"/>
  <c r="R100" i="4" l="1"/>
  <c r="D101" i="4"/>
  <c r="V101" i="4" s="1"/>
  <c r="W101" i="4" s="1"/>
  <c r="X101" i="4" l="1"/>
  <c r="Z101" i="4" s="1"/>
  <c r="AA101" i="4"/>
  <c r="Y101" i="4"/>
  <c r="C101" i="4"/>
  <c r="O101" i="4"/>
  <c r="J101" i="4"/>
  <c r="Q101" i="4"/>
  <c r="AB101" i="4" l="1"/>
  <c r="AC101" i="4"/>
  <c r="S101" i="4"/>
  <c r="P101" i="4"/>
  <c r="I101" i="4"/>
  <c r="D102" i="4" l="1"/>
  <c r="V102" i="4" s="1"/>
  <c r="W102" i="4" s="1"/>
  <c r="R101" i="4"/>
  <c r="X102" i="4" l="1"/>
  <c r="Z102" i="4"/>
  <c r="AA102" i="4"/>
  <c r="Y102" i="4"/>
  <c r="Q102" i="4"/>
  <c r="O102" i="4"/>
  <c r="J102" i="4"/>
  <c r="C102" i="4"/>
  <c r="AB102" i="4" l="1"/>
  <c r="AC102" i="4"/>
  <c r="P102" i="4"/>
  <c r="I102" i="4"/>
  <c r="S102" i="4"/>
  <c r="R102" i="4" l="1"/>
  <c r="D103" i="4"/>
  <c r="V103" i="4" s="1"/>
  <c r="W103" i="4" s="1"/>
  <c r="X103" i="4" l="1"/>
  <c r="AA103" i="4"/>
  <c r="Z103" i="4"/>
  <c r="Y103" i="4"/>
  <c r="C103" i="4"/>
  <c r="J103" i="4"/>
  <c r="Q103" i="4"/>
  <c r="O103" i="4"/>
  <c r="AB103" i="4" l="1"/>
  <c r="AC103" i="4"/>
  <c r="S103" i="4"/>
  <c r="I103" i="4"/>
  <c r="P103" i="4"/>
  <c r="R103" i="4" l="1"/>
  <c r="D104" i="4"/>
  <c r="V104" i="4" s="1"/>
  <c r="W104" i="4" s="1"/>
  <c r="Y104" i="4" l="1"/>
  <c r="X104" i="4"/>
  <c r="Z104" i="4" s="1"/>
  <c r="AA104" i="4"/>
  <c r="C104" i="4"/>
  <c r="O104" i="4"/>
  <c r="J104" i="4"/>
  <c r="Q104" i="4"/>
  <c r="AC104" i="4" l="1"/>
  <c r="AB104" i="4"/>
  <c r="S104" i="4"/>
  <c r="P104" i="4"/>
  <c r="I104" i="4"/>
  <c r="D105" i="4" l="1"/>
  <c r="V105" i="4" s="1"/>
  <c r="W105" i="4" s="1"/>
  <c r="R104" i="4"/>
  <c r="X105" i="4" l="1"/>
  <c r="Y105" i="4"/>
  <c r="Z105" i="4"/>
  <c r="AA105" i="4"/>
  <c r="Q105" i="4"/>
  <c r="J105" i="4"/>
  <c r="O105" i="4"/>
  <c r="C105" i="4"/>
  <c r="AC105" i="4" l="1"/>
  <c r="AB105" i="4"/>
  <c r="S105" i="4"/>
  <c r="I105" i="4"/>
  <c r="P105" i="4"/>
  <c r="R105" i="4" l="1"/>
  <c r="D106" i="4"/>
  <c r="V106" i="4" s="1"/>
  <c r="W106" i="4" s="1"/>
  <c r="Y106" i="4" l="1"/>
  <c r="Z106" i="4"/>
  <c r="AA106" i="4"/>
  <c r="X106" i="4"/>
  <c r="C106" i="4"/>
  <c r="J106" i="4"/>
  <c r="O106" i="4"/>
  <c r="Q106" i="4"/>
  <c r="AC106" i="4" l="1"/>
  <c r="AB106" i="4"/>
  <c r="S106" i="4"/>
  <c r="P106" i="4"/>
  <c r="I106" i="4"/>
  <c r="D107" i="4" l="1"/>
  <c r="V107" i="4" s="1"/>
  <c r="W107" i="4" s="1"/>
  <c r="R106" i="4"/>
  <c r="Y107" i="4" l="1"/>
  <c r="Z107" i="4"/>
  <c r="AA107" i="4"/>
  <c r="X107" i="4"/>
  <c r="Q107" i="4"/>
  <c r="J107" i="4"/>
  <c r="O107" i="4"/>
  <c r="C107" i="4"/>
  <c r="AB107" i="4" l="1"/>
  <c r="AC107" i="4"/>
  <c r="S107" i="4"/>
  <c r="P107" i="4"/>
  <c r="I107" i="4"/>
  <c r="R107" i="4" l="1"/>
  <c r="D108" i="4"/>
  <c r="V108" i="4" s="1"/>
  <c r="W108" i="4" s="1"/>
  <c r="X108" i="4" l="1"/>
  <c r="AA108" i="4"/>
  <c r="Z108" i="4"/>
  <c r="Y108" i="4"/>
  <c r="C108" i="4"/>
  <c r="O108" i="4"/>
  <c r="J108" i="4"/>
  <c r="Q108" i="4"/>
  <c r="AB108" i="4" l="1"/>
  <c r="AC108" i="4"/>
  <c r="S108" i="4"/>
  <c r="I108" i="4"/>
  <c r="P108" i="4"/>
  <c r="R108" i="4" l="1"/>
  <c r="D109" i="4"/>
  <c r="V109" i="4" s="1"/>
  <c r="W109" i="4" s="1"/>
  <c r="AA109" i="4" l="1"/>
  <c r="X109" i="4"/>
  <c r="Z109" i="4"/>
  <c r="Y109" i="4"/>
  <c r="C109" i="4"/>
  <c r="J109" i="4"/>
  <c r="Q109" i="4"/>
  <c r="O109" i="4"/>
  <c r="AC109" i="4" l="1"/>
  <c r="AB109" i="4"/>
  <c r="S109" i="4"/>
  <c r="P109" i="4"/>
  <c r="I109" i="4"/>
  <c r="R109" i="4" l="1"/>
  <c r="C110" i="4" l="1"/>
  <c r="D110" i="4" l="1"/>
  <c r="V110" i="4" s="1"/>
  <c r="W110" i="4" s="1"/>
  <c r="P110" i="4"/>
  <c r="I110" i="4"/>
  <c r="AA110" i="4" l="1"/>
  <c r="Y110" i="4"/>
  <c r="X110" i="4"/>
  <c r="Z110" i="4"/>
  <c r="Q110" i="4"/>
  <c r="O110" i="4"/>
  <c r="J110" i="4"/>
  <c r="R110" i="4"/>
  <c r="AB110" i="4" l="1"/>
  <c r="AC110" i="4"/>
  <c r="S110" i="4"/>
  <c r="C111" i="4"/>
  <c r="I111" i="4" l="1"/>
  <c r="P111" i="4"/>
  <c r="D111" i="4"/>
  <c r="V111" i="4" s="1"/>
  <c r="W111" i="4" s="1"/>
  <c r="X111" i="4" l="1"/>
  <c r="Z111" i="4"/>
  <c r="AA111" i="4"/>
  <c r="Y111" i="4"/>
  <c r="R111" i="4"/>
  <c r="O111" i="4"/>
  <c r="J111" i="4"/>
  <c r="Q111" i="4"/>
  <c r="AB111" i="4" l="1"/>
  <c r="AC111" i="4"/>
  <c r="C112" i="4"/>
  <c r="S111" i="4"/>
  <c r="P112" i="4" l="1"/>
  <c r="I112" i="4"/>
  <c r="D112" i="4"/>
  <c r="V112" i="4" s="1"/>
  <c r="W112" i="4" s="1"/>
  <c r="X112" i="4" l="1"/>
  <c r="AA112" i="4"/>
  <c r="Z112" i="4"/>
  <c r="Y112" i="4"/>
  <c r="R112" i="4"/>
  <c r="J112" i="4"/>
  <c r="Q112" i="4"/>
  <c r="O112" i="4"/>
  <c r="AB112" i="4" l="1"/>
  <c r="AC112" i="4"/>
  <c r="S112" i="4"/>
  <c r="C113" i="4"/>
  <c r="P113" i="4" l="1"/>
  <c r="I113" i="4"/>
  <c r="D113" i="4"/>
  <c r="V113" i="4" s="1"/>
  <c r="W113" i="4" s="1"/>
  <c r="Y113" i="4" l="1"/>
  <c r="Z113" i="4"/>
  <c r="AA113" i="4"/>
  <c r="X113" i="4"/>
  <c r="R113" i="4"/>
  <c r="Q113" i="4"/>
  <c r="J113" i="4"/>
  <c r="O113" i="4"/>
  <c r="AC113" i="4" l="1"/>
  <c r="AB113" i="4"/>
  <c r="S113" i="4"/>
  <c r="C114" i="4"/>
  <c r="P114" i="4" l="1"/>
  <c r="I114" i="4"/>
  <c r="D114" i="4"/>
  <c r="V114" i="4" s="1"/>
  <c r="W114" i="4" s="1"/>
  <c r="AA114" i="4" l="1"/>
  <c r="Z114" i="4"/>
  <c r="X114" i="4"/>
  <c r="Y114" i="4"/>
  <c r="R114" i="4"/>
  <c r="J114" i="4"/>
  <c r="Q114" i="4"/>
  <c r="O114" i="4"/>
  <c r="AB114" i="4" l="1"/>
  <c r="AC114" i="4"/>
  <c r="S114" i="4"/>
  <c r="C115" i="4"/>
  <c r="D115" i="4" l="1"/>
  <c r="V115" i="4" s="1"/>
  <c r="W115" i="4" s="1"/>
  <c r="P115" i="4"/>
  <c r="I115" i="4"/>
  <c r="X115" i="4" l="1"/>
  <c r="Z115" i="4"/>
  <c r="Y115" i="4"/>
  <c r="AA115" i="4"/>
  <c r="Q115" i="4"/>
  <c r="J115" i="4"/>
  <c r="O115" i="4"/>
  <c r="R115" i="4"/>
  <c r="AB115" i="4" l="1"/>
  <c r="AC115" i="4"/>
  <c r="S115" i="4"/>
  <c r="C116" i="4"/>
  <c r="P116" i="4" l="1"/>
  <c r="I116" i="4"/>
  <c r="D116" i="4"/>
  <c r="V116" i="4" s="1"/>
  <c r="W116" i="4" s="1"/>
  <c r="Y116" i="4" l="1"/>
  <c r="X116" i="4"/>
  <c r="AA116" i="4"/>
  <c r="Z116" i="4"/>
  <c r="R116" i="4"/>
  <c r="J116" i="4"/>
  <c r="Q116" i="4"/>
  <c r="O116" i="4"/>
  <c r="AB116" i="4" l="1"/>
  <c r="AC116" i="4"/>
  <c r="S116" i="4"/>
  <c r="C117" i="4"/>
  <c r="P117" i="4" l="1"/>
  <c r="I117" i="4"/>
  <c r="D117" i="4"/>
  <c r="V117" i="4" s="1"/>
  <c r="W117" i="4" s="1"/>
  <c r="X117" i="4" l="1"/>
  <c r="AA117" i="4"/>
  <c r="Y117" i="4"/>
  <c r="Z117" i="4"/>
  <c r="R117" i="4"/>
  <c r="J117" i="4"/>
  <c r="Q117" i="4"/>
  <c r="O117" i="4"/>
  <c r="AC117" i="4" l="1"/>
  <c r="AB117" i="4"/>
  <c r="S117" i="4"/>
  <c r="C118" i="4"/>
  <c r="P118" i="4" l="1"/>
  <c r="I118" i="4"/>
  <c r="D118" i="4"/>
  <c r="V118" i="4" s="1"/>
  <c r="W118" i="4" s="1"/>
  <c r="Z118" i="4" l="1"/>
  <c r="Y118" i="4"/>
  <c r="AA118" i="4"/>
  <c r="X118" i="4"/>
  <c r="R118" i="4"/>
  <c r="Q118" i="4"/>
  <c r="J118" i="4"/>
  <c r="O118" i="4"/>
  <c r="AB118" i="4" l="1"/>
  <c r="AC118" i="4"/>
  <c r="S118" i="4"/>
  <c r="C119" i="4"/>
  <c r="P119" i="4" l="1"/>
  <c r="I119" i="4"/>
  <c r="D119" i="4"/>
  <c r="V119" i="4" s="1"/>
  <c r="W119" i="4" s="1"/>
  <c r="AA119" i="4" l="1"/>
  <c r="X119" i="4"/>
  <c r="Z119" i="4"/>
  <c r="Y119" i="4"/>
  <c r="R119" i="4"/>
  <c r="J119" i="4"/>
  <c r="O119" i="4"/>
  <c r="Q119" i="4"/>
  <c r="AB119" i="4" l="1"/>
  <c r="AC119" i="4"/>
  <c r="C120" i="4"/>
  <c r="S119" i="4"/>
  <c r="I120" i="4" l="1"/>
  <c r="P120" i="4"/>
  <c r="D120" i="4"/>
  <c r="V120" i="4" s="1"/>
  <c r="W120" i="4" s="1"/>
  <c r="Z120" i="4" l="1"/>
  <c r="X120" i="4"/>
  <c r="AA120" i="4"/>
  <c r="Y120" i="4"/>
  <c r="R120" i="4"/>
  <c r="Q120" i="4"/>
  <c r="J120" i="4"/>
  <c r="O120" i="4"/>
  <c r="AC120" i="4" l="1"/>
  <c r="AB120" i="4"/>
  <c r="C121" i="4"/>
  <c r="S120" i="4"/>
  <c r="D121" i="4" l="1"/>
  <c r="V121" i="4" s="1"/>
  <c r="W121" i="4" s="1"/>
  <c r="P121" i="4"/>
  <c r="I121" i="4"/>
  <c r="AA121" i="4" l="1"/>
  <c r="Z121" i="4"/>
  <c r="Y121" i="4"/>
  <c r="X121" i="4"/>
  <c r="J121" i="4"/>
  <c r="O121" i="4"/>
  <c r="Q121" i="4"/>
  <c r="R121" i="4"/>
  <c r="AC121" i="4" l="1"/>
  <c r="AB121" i="4"/>
  <c r="S121" i="4"/>
  <c r="C122" i="4"/>
  <c r="I122" i="4" l="1"/>
  <c r="P122" i="4"/>
  <c r="D122" i="4"/>
  <c r="V122" i="4" s="1"/>
  <c r="W122" i="4" s="1"/>
  <c r="AA122" i="4" l="1"/>
  <c r="X122" i="4"/>
  <c r="Z122" i="4"/>
  <c r="Y122" i="4"/>
  <c r="R122" i="4"/>
  <c r="Q122" i="4"/>
  <c r="O122" i="4"/>
  <c r="J122" i="4"/>
  <c r="AC122" i="4" l="1"/>
  <c r="AB122" i="4"/>
  <c r="C123" i="4"/>
  <c r="S122" i="4"/>
  <c r="P123" i="4" l="1"/>
  <c r="I123" i="4"/>
  <c r="D123" i="4"/>
  <c r="V123" i="4" s="1"/>
  <c r="W123" i="4" s="1"/>
  <c r="Y123" i="4" l="1"/>
  <c r="AA123" i="4"/>
  <c r="X123" i="4"/>
  <c r="Z123" i="4" s="1"/>
  <c r="R123" i="4"/>
  <c r="Q123" i="4"/>
  <c r="J123" i="4"/>
  <c r="O123" i="4"/>
  <c r="AC123" i="4" l="1"/>
  <c r="AB123" i="4"/>
  <c r="C124" i="4"/>
  <c r="S123" i="4"/>
  <c r="D124" i="4" l="1"/>
  <c r="V124" i="4" s="1"/>
  <c r="W124" i="4" s="1"/>
  <c r="P124" i="4"/>
  <c r="I124" i="4"/>
  <c r="X124" i="4" l="1"/>
  <c r="AA124" i="4"/>
  <c r="Z124" i="4"/>
  <c r="Y124" i="4"/>
  <c r="Q124" i="4"/>
  <c r="J124" i="4"/>
  <c r="O124" i="4"/>
  <c r="R124" i="4"/>
  <c r="AB124" i="4" l="1"/>
  <c r="AC124" i="4"/>
  <c r="S124" i="4"/>
  <c r="C125" i="4"/>
  <c r="P125" i="4" l="1"/>
  <c r="I125" i="4"/>
  <c r="D125" i="4"/>
  <c r="V125" i="4" s="1"/>
  <c r="W125" i="4" s="1"/>
  <c r="Y125" i="4" l="1"/>
  <c r="AA125" i="4"/>
  <c r="X125" i="4"/>
  <c r="Z125" i="4" s="1"/>
  <c r="R125" i="4"/>
  <c r="Q125" i="4"/>
  <c r="J125" i="4"/>
  <c r="O125" i="4"/>
  <c r="AC125" i="4" l="1"/>
  <c r="AB125" i="4"/>
  <c r="C126" i="4"/>
  <c r="S125" i="4"/>
  <c r="P126" i="4" l="1"/>
  <c r="I126" i="4"/>
  <c r="D126" i="4"/>
  <c r="V126" i="4" s="1"/>
  <c r="W126" i="4" s="1"/>
  <c r="X126" i="4" l="1"/>
  <c r="Z126" i="4"/>
  <c r="AA126" i="4"/>
  <c r="Y126" i="4"/>
  <c r="R126" i="4"/>
  <c r="Q126" i="4"/>
  <c r="O126" i="4"/>
  <c r="J126" i="4"/>
  <c r="AB126" i="4" l="1"/>
  <c r="AC126" i="4"/>
  <c r="C127" i="4"/>
  <c r="S126" i="4"/>
  <c r="D127" i="4" l="1"/>
  <c r="V127" i="4" s="1"/>
  <c r="W127" i="4" s="1"/>
  <c r="P127" i="4"/>
  <c r="I127" i="4"/>
  <c r="Z127" i="4" l="1"/>
  <c r="X127" i="4"/>
  <c r="AA127" i="4"/>
  <c r="Y127" i="4"/>
  <c r="J127" i="4"/>
  <c r="Q127" i="4"/>
  <c r="O127" i="4"/>
  <c r="R127" i="4"/>
  <c r="AC127" i="4" l="1"/>
  <c r="AB127" i="4"/>
  <c r="S127" i="4"/>
  <c r="C128" i="4"/>
  <c r="I128" i="4" l="1"/>
  <c r="P128" i="4"/>
  <c r="D128" i="4"/>
  <c r="V128" i="4" s="1"/>
  <c r="W128" i="4" s="1"/>
  <c r="AA128" i="4" l="1"/>
  <c r="Z128" i="4"/>
  <c r="Y128" i="4"/>
  <c r="X128" i="4"/>
  <c r="R128" i="4"/>
  <c r="Q128" i="4"/>
  <c r="J128" i="4"/>
  <c r="O128" i="4"/>
  <c r="AB128" i="4" l="1"/>
  <c r="AC128" i="4"/>
  <c r="C129" i="4"/>
  <c r="S128" i="4"/>
  <c r="D129" i="4" l="1"/>
  <c r="V129" i="4" s="1"/>
  <c r="W129" i="4" s="1"/>
  <c r="P129" i="4"/>
  <c r="I129" i="4"/>
  <c r="Y129" i="4" l="1"/>
  <c r="Z129" i="4"/>
  <c r="X129" i="4"/>
  <c r="AA129" i="4"/>
  <c r="J129" i="4"/>
  <c r="Q129" i="4"/>
  <c r="O129" i="4"/>
  <c r="R129" i="4"/>
  <c r="AB129" i="4" l="1"/>
  <c r="AC129" i="4"/>
  <c r="S129" i="4"/>
  <c r="C130" i="4"/>
  <c r="D130" i="4" l="1"/>
  <c r="V130" i="4" s="1"/>
  <c r="W130" i="4" s="1"/>
  <c r="P130" i="4"/>
  <c r="I130" i="4"/>
  <c r="Y130" i="4" l="1"/>
  <c r="Z130" i="4"/>
  <c r="AA130" i="4"/>
  <c r="X130" i="4"/>
  <c r="J130" i="4"/>
  <c r="O130" i="4"/>
  <c r="Q130" i="4"/>
  <c r="R130" i="4"/>
  <c r="AC130" i="4" l="1"/>
  <c r="AB130" i="4"/>
  <c r="S130" i="4"/>
  <c r="C131" i="4"/>
  <c r="D131" i="4" l="1"/>
  <c r="V131" i="4" s="1"/>
  <c r="W131" i="4" s="1"/>
  <c r="P131" i="4"/>
  <c r="I131" i="4"/>
  <c r="Y131" i="4" l="1"/>
  <c r="Z131" i="4"/>
  <c r="X131" i="4"/>
  <c r="AA131" i="4"/>
  <c r="J131" i="4"/>
  <c r="O131" i="4"/>
  <c r="Q131" i="4"/>
  <c r="R131" i="4"/>
  <c r="AC131" i="4" l="1"/>
  <c r="AB131" i="4"/>
  <c r="S131" i="4"/>
  <c r="C132" i="4"/>
  <c r="P132" i="4" l="1"/>
  <c r="I132" i="4"/>
  <c r="D132" i="4"/>
  <c r="V132" i="4" s="1"/>
  <c r="W132" i="4" s="1"/>
  <c r="X132" i="4" l="1"/>
  <c r="Z132" i="4"/>
  <c r="Y132" i="4"/>
  <c r="AA132" i="4"/>
  <c r="R132" i="4"/>
  <c r="J132" i="4"/>
  <c r="Q132" i="4"/>
  <c r="O132" i="4"/>
  <c r="AC132" i="4" l="1"/>
  <c r="AB132" i="4"/>
  <c r="C133" i="4"/>
  <c r="S132" i="4"/>
  <c r="D133" i="4" l="1"/>
  <c r="V133" i="4" s="1"/>
  <c r="W133" i="4" s="1"/>
  <c r="I133" i="4"/>
  <c r="P133" i="4"/>
  <c r="Y133" i="4" l="1"/>
  <c r="AA133" i="4"/>
  <c r="Z133" i="4"/>
  <c r="X133" i="4"/>
  <c r="O133" i="4"/>
  <c r="J133" i="4"/>
  <c r="Q133" i="4"/>
  <c r="R133" i="4"/>
  <c r="AB133" i="4" l="1"/>
  <c r="AC133" i="4"/>
  <c r="S133" i="4"/>
  <c r="C134" i="4"/>
  <c r="P134" i="4" l="1"/>
  <c r="I134" i="4"/>
  <c r="D134" i="4"/>
  <c r="V134" i="4" s="1"/>
  <c r="W134" i="4" s="1"/>
  <c r="Y134" i="4" l="1"/>
  <c r="X134" i="4"/>
  <c r="Z134" i="4"/>
  <c r="AA134" i="4"/>
  <c r="R134" i="4"/>
  <c r="O134" i="4"/>
  <c r="Q134" i="4"/>
  <c r="J134" i="4"/>
  <c r="AC134" i="4" l="1"/>
  <c r="AB134" i="4"/>
  <c r="C135" i="4"/>
  <c r="S134" i="4"/>
  <c r="D135" i="4" l="1"/>
  <c r="V135" i="4" s="1"/>
  <c r="W135" i="4" s="1"/>
  <c r="P135" i="4"/>
  <c r="I135" i="4"/>
  <c r="Z135" i="4" l="1"/>
  <c r="Y135" i="4"/>
  <c r="AA135" i="4"/>
  <c r="X135" i="4"/>
  <c r="J135" i="4"/>
  <c r="Q135" i="4"/>
  <c r="O135" i="4"/>
  <c r="R135" i="4"/>
  <c r="AC135" i="4" l="1"/>
  <c r="AB135" i="4"/>
  <c r="S135" i="4"/>
  <c r="C136" i="4"/>
  <c r="I136" i="4" l="1"/>
  <c r="P136" i="4"/>
  <c r="D136" i="4"/>
  <c r="V136" i="4" s="1"/>
  <c r="W136" i="4" s="1"/>
  <c r="X136" i="4" l="1"/>
  <c r="Y136" i="4"/>
  <c r="Z136" i="4"/>
  <c r="AA136" i="4"/>
  <c r="R136" i="4"/>
  <c r="J136" i="4"/>
  <c r="Q136" i="4"/>
  <c r="O136" i="4"/>
  <c r="AC136" i="4" l="1"/>
  <c r="AB136" i="4"/>
  <c r="C137" i="4"/>
  <c r="S136" i="4"/>
  <c r="P137" i="4" l="1"/>
  <c r="I137" i="4"/>
  <c r="D137" i="4"/>
  <c r="V137" i="4" s="1"/>
  <c r="W137" i="4" s="1"/>
  <c r="Z137" i="4" l="1"/>
  <c r="X137" i="4"/>
  <c r="Y137" i="4"/>
  <c r="AA137" i="4"/>
  <c r="R137" i="4"/>
  <c r="J137" i="4"/>
  <c r="Q137" i="4"/>
  <c r="O137" i="4"/>
  <c r="AB137" i="4" l="1"/>
  <c r="AC137" i="4"/>
  <c r="C138" i="4"/>
  <c r="S137" i="4"/>
  <c r="I138" i="4" l="1"/>
  <c r="P138" i="4"/>
  <c r="D138" i="4"/>
  <c r="V138" i="4" s="1"/>
  <c r="W138" i="4" s="1"/>
  <c r="AA138" i="4" l="1"/>
  <c r="Y138" i="4"/>
  <c r="Z138" i="4"/>
  <c r="X138" i="4"/>
  <c r="R138" i="4"/>
  <c r="O138" i="4"/>
  <c r="Q138" i="4"/>
  <c r="J138" i="4"/>
  <c r="AC138" i="4" l="1"/>
  <c r="AB138" i="4"/>
  <c r="C139" i="4"/>
  <c r="S138" i="4"/>
  <c r="P139" i="4" l="1"/>
  <c r="I139" i="4"/>
  <c r="D139" i="4"/>
  <c r="V139" i="4" s="1"/>
  <c r="W139" i="4" s="1"/>
  <c r="AA139" i="4" l="1"/>
  <c r="X139" i="4"/>
  <c r="Y139" i="4"/>
  <c r="Z139" i="4"/>
  <c r="R139" i="4"/>
  <c r="Q139" i="4"/>
  <c r="J139" i="4"/>
  <c r="O139" i="4"/>
  <c r="AC139" i="4" l="1"/>
  <c r="AB139" i="4"/>
  <c r="C140" i="4"/>
  <c r="S139" i="4"/>
  <c r="I140" i="4" l="1"/>
  <c r="P140" i="4"/>
  <c r="D140" i="4"/>
  <c r="V140" i="4" s="1"/>
  <c r="W140" i="4" s="1"/>
  <c r="AA140" i="4" l="1"/>
  <c r="Y140" i="4"/>
  <c r="X140" i="4"/>
  <c r="Z140" i="4"/>
  <c r="R140" i="4"/>
  <c r="J140" i="4"/>
  <c r="Q140" i="4"/>
  <c r="O140" i="4"/>
  <c r="AC140" i="4" l="1"/>
  <c r="AB140" i="4"/>
  <c r="C141" i="4"/>
  <c r="S140" i="4"/>
  <c r="I141" i="4" l="1"/>
  <c r="P141" i="4"/>
  <c r="D141" i="4"/>
  <c r="V141" i="4" s="1"/>
  <c r="W141" i="4" s="1"/>
  <c r="Z141" i="4" l="1"/>
  <c r="X141" i="4"/>
  <c r="AA141" i="4"/>
  <c r="Y141" i="4"/>
  <c r="R141" i="4"/>
  <c r="J141" i="4"/>
  <c r="O141" i="4"/>
  <c r="Q141" i="4"/>
  <c r="AC141" i="4" l="1"/>
  <c r="AB141" i="4"/>
  <c r="C142" i="4"/>
  <c r="S141" i="4"/>
  <c r="D142" i="4" l="1"/>
  <c r="V142" i="4" s="1"/>
  <c r="W142" i="4" s="1"/>
  <c r="P142" i="4"/>
  <c r="I142" i="4"/>
  <c r="Z142" i="4" l="1"/>
  <c r="X142" i="4"/>
  <c r="Y142" i="4"/>
  <c r="AA142" i="4"/>
  <c r="O142" i="4"/>
  <c r="J142" i="4"/>
  <c r="Q142" i="4"/>
  <c r="R142" i="4"/>
  <c r="AC142" i="4" l="1"/>
  <c r="AB142" i="4"/>
  <c r="S142" i="4"/>
  <c r="C143" i="4"/>
  <c r="D143" i="4" l="1"/>
  <c r="V143" i="4" s="1"/>
  <c r="W143" i="4" s="1"/>
  <c r="P143" i="4"/>
  <c r="I143" i="4"/>
  <c r="Y143" i="4" l="1"/>
  <c r="X143" i="4"/>
  <c r="Z143" i="4"/>
  <c r="AA143" i="4"/>
  <c r="J143" i="4"/>
  <c r="Q143" i="4"/>
  <c r="O143" i="4"/>
  <c r="R143" i="4"/>
  <c r="AC143" i="4" l="1"/>
  <c r="AB143" i="4"/>
  <c r="S143" i="4"/>
  <c r="C144" i="4"/>
  <c r="P144" i="4" l="1"/>
  <c r="I144" i="4"/>
  <c r="D144" i="4"/>
  <c r="V144" i="4" s="1"/>
  <c r="W144" i="4" s="1"/>
  <c r="Z144" i="4" l="1"/>
  <c r="Y144" i="4"/>
  <c r="AA144" i="4"/>
  <c r="X144" i="4"/>
  <c r="R144" i="4"/>
  <c r="J144" i="4"/>
  <c r="Q144" i="4"/>
  <c r="O144" i="4"/>
  <c r="AC144" i="4" l="1"/>
  <c r="AB144" i="4"/>
  <c r="C145" i="4"/>
  <c r="S144" i="4"/>
  <c r="P145" i="4" l="1"/>
  <c r="I145" i="4"/>
  <c r="D145" i="4"/>
  <c r="V145" i="4" s="1"/>
  <c r="W145" i="4" s="1"/>
  <c r="Z145" i="4" l="1"/>
  <c r="AA145" i="4"/>
  <c r="X145" i="4"/>
  <c r="Y145" i="4"/>
  <c r="R145" i="4"/>
  <c r="O145" i="4"/>
  <c r="J145" i="4"/>
  <c r="Q145" i="4"/>
  <c r="AB145" i="4" l="1"/>
  <c r="AC145" i="4"/>
  <c r="C146" i="4"/>
  <c r="S145" i="4"/>
  <c r="P146" i="4" l="1"/>
  <c r="I146" i="4"/>
  <c r="D146" i="4"/>
  <c r="V146" i="4" s="1"/>
  <c r="W146" i="4" s="1"/>
  <c r="Y146" i="4" l="1"/>
  <c r="X146" i="4"/>
  <c r="AA146" i="4"/>
  <c r="Z146" i="4"/>
  <c r="R146" i="4"/>
  <c r="O146" i="4"/>
  <c r="J146" i="4"/>
  <c r="Q146" i="4"/>
  <c r="AC146" i="4" l="1"/>
  <c r="AB146" i="4"/>
  <c r="C147" i="4"/>
  <c r="S146" i="4"/>
  <c r="P147" i="4" l="1"/>
  <c r="I147" i="4"/>
  <c r="D147" i="4"/>
  <c r="V147" i="4" s="1"/>
  <c r="W147" i="4" s="1"/>
  <c r="Y147" i="4" l="1"/>
  <c r="Z147" i="4"/>
  <c r="AA147" i="4"/>
  <c r="X147" i="4"/>
  <c r="R147" i="4"/>
  <c r="O147" i="4"/>
  <c r="J147" i="4"/>
  <c r="Q147" i="4"/>
  <c r="AB147" i="4" l="1"/>
  <c r="AC147" i="4"/>
  <c r="C148" i="4"/>
  <c r="S147" i="4"/>
  <c r="I148" i="4" l="1"/>
  <c r="P148" i="4"/>
  <c r="D148" i="4"/>
  <c r="V148" i="4" s="1"/>
  <c r="W148" i="4" s="1"/>
  <c r="AA148" i="4" l="1"/>
  <c r="Y148" i="4"/>
  <c r="Z148" i="4"/>
  <c r="X148" i="4"/>
  <c r="R148" i="4"/>
  <c r="O148" i="4"/>
  <c r="J148" i="4"/>
  <c r="Q148" i="4"/>
  <c r="AB148" i="4" l="1"/>
  <c r="AC148" i="4"/>
  <c r="C149" i="4"/>
  <c r="S148" i="4"/>
  <c r="D149" i="4" l="1"/>
  <c r="V149" i="4" s="1"/>
  <c r="W149" i="4" s="1"/>
  <c r="P149" i="4"/>
  <c r="I149" i="4"/>
  <c r="Y149" i="4" l="1"/>
  <c r="AA149" i="4"/>
  <c r="Z149" i="4"/>
  <c r="X149" i="4"/>
  <c r="J149" i="4"/>
  <c r="Q149" i="4"/>
  <c r="O149" i="4"/>
  <c r="R149" i="4"/>
  <c r="AC149" i="4" l="1"/>
  <c r="AB149" i="4"/>
  <c r="S149" i="4"/>
  <c r="C150" i="4"/>
  <c r="P150" i="4" l="1"/>
  <c r="I150" i="4"/>
  <c r="D150" i="4"/>
  <c r="V150" i="4" s="1"/>
  <c r="W150" i="4" s="1"/>
  <c r="Y150" i="4" l="1"/>
  <c r="X150" i="4"/>
  <c r="AA150" i="4"/>
  <c r="Z150" i="4"/>
  <c r="R150" i="4"/>
  <c r="O150" i="4"/>
  <c r="J150" i="4"/>
  <c r="Q150" i="4"/>
  <c r="AC150" i="4" l="1"/>
  <c r="AB150" i="4"/>
  <c r="C151" i="4"/>
  <c r="S150" i="4"/>
  <c r="P151" i="4" l="1"/>
  <c r="I151" i="4"/>
  <c r="D151" i="4"/>
  <c r="V151" i="4" s="1"/>
  <c r="W151" i="4" s="1"/>
  <c r="X151" i="4" l="1"/>
  <c r="AA151" i="4"/>
  <c r="Z151" i="4"/>
  <c r="Y151" i="4"/>
  <c r="R151" i="4"/>
  <c r="Q151" i="4"/>
  <c r="O151" i="4"/>
  <c r="J151" i="4"/>
  <c r="AC151" i="4" l="1"/>
  <c r="AB151" i="4"/>
  <c r="C152" i="4"/>
  <c r="S151" i="4"/>
  <c r="I152" i="4" l="1"/>
  <c r="P152" i="4"/>
  <c r="D152" i="4"/>
  <c r="V152" i="4" s="1"/>
  <c r="W152" i="4" s="1"/>
  <c r="X152" i="4" l="1"/>
  <c r="AA152" i="4"/>
  <c r="Z152" i="4"/>
  <c r="Y152" i="4"/>
  <c r="R152" i="4"/>
  <c r="Q152" i="4"/>
  <c r="J152" i="4"/>
  <c r="O152" i="4"/>
  <c r="AC152" i="4" l="1"/>
  <c r="AB152" i="4"/>
  <c r="C153" i="4"/>
  <c r="S152" i="4"/>
  <c r="I153" i="4" l="1"/>
  <c r="P153" i="4"/>
  <c r="D153" i="4"/>
  <c r="V153" i="4" s="1"/>
  <c r="W153" i="4" s="1"/>
  <c r="X153" i="4" l="1"/>
  <c r="Y153" i="4"/>
  <c r="Z153" i="4"/>
  <c r="AA153" i="4"/>
  <c r="R153" i="4"/>
  <c r="J153" i="4"/>
  <c r="Q153" i="4"/>
  <c r="O153" i="4"/>
  <c r="AB153" i="4" l="1"/>
  <c r="AC153" i="4"/>
  <c r="C154" i="4"/>
  <c r="S153" i="4"/>
  <c r="P154" i="4" l="1"/>
  <c r="I154" i="4"/>
  <c r="D154" i="4"/>
  <c r="V154" i="4" s="1"/>
  <c r="W154" i="4" s="1"/>
  <c r="Z154" i="4" l="1"/>
  <c r="X154" i="4"/>
  <c r="Y154" i="4"/>
  <c r="AA154" i="4"/>
  <c r="R154" i="4"/>
  <c r="J154" i="4"/>
  <c r="Q154" i="4"/>
  <c r="O154" i="4"/>
  <c r="AB154" i="4" l="1"/>
  <c r="AC154" i="4"/>
  <c r="C155" i="4"/>
  <c r="S154" i="4"/>
  <c r="D155" i="4" l="1"/>
  <c r="V155" i="4" s="1"/>
  <c r="W155" i="4" s="1"/>
  <c r="P155" i="4"/>
  <c r="I155" i="4"/>
  <c r="AA155" i="4" l="1"/>
  <c r="Y155" i="4"/>
  <c r="X155" i="4"/>
  <c r="Z155" i="4"/>
  <c r="Q155" i="4"/>
  <c r="J155" i="4"/>
  <c r="O155" i="4"/>
  <c r="R155" i="4"/>
  <c r="AB155" i="4" l="1"/>
  <c r="AC155" i="4"/>
  <c r="S155" i="4"/>
  <c r="C156" i="4"/>
  <c r="D156" i="4" l="1"/>
  <c r="V156" i="4" s="1"/>
  <c r="W156" i="4" s="1"/>
  <c r="I156" i="4"/>
  <c r="P156" i="4"/>
  <c r="AA156" i="4" l="1"/>
  <c r="X156" i="4"/>
  <c r="Z156" i="4"/>
  <c r="Y156" i="4"/>
  <c r="J156" i="4"/>
  <c r="Q156" i="4"/>
  <c r="O156" i="4"/>
  <c r="R156" i="4"/>
  <c r="AC156" i="4" l="1"/>
  <c r="AB156" i="4"/>
  <c r="S156" i="4"/>
  <c r="C157" i="4"/>
  <c r="D157" i="4" l="1"/>
  <c r="V157" i="4" s="1"/>
  <c r="W157" i="4" s="1"/>
  <c r="P157" i="4"/>
  <c r="I157" i="4"/>
  <c r="Z157" i="4" l="1"/>
  <c r="Y157" i="4"/>
  <c r="X157" i="4"/>
  <c r="AA157" i="4"/>
  <c r="J157" i="4"/>
  <c r="Q157" i="4"/>
  <c r="O157" i="4"/>
  <c r="R157" i="4"/>
  <c r="AB157" i="4" l="1"/>
  <c r="AC157" i="4"/>
  <c r="S157" i="4"/>
  <c r="C158" i="4"/>
  <c r="D158" i="4" l="1"/>
  <c r="V158" i="4" s="1"/>
  <c r="W158" i="4" s="1"/>
  <c r="P158" i="4"/>
  <c r="I158" i="4"/>
  <c r="AA158" i="4" l="1"/>
  <c r="Z158" i="4"/>
  <c r="X158" i="4"/>
  <c r="Y158" i="4"/>
  <c r="Q158" i="4"/>
  <c r="J158" i="4"/>
  <c r="O158" i="4"/>
  <c r="R158" i="4"/>
  <c r="AC158" i="4" l="1"/>
  <c r="AB158" i="4"/>
  <c r="S158" i="4"/>
  <c r="C159" i="4"/>
  <c r="P159" i="4" l="1"/>
  <c r="I159" i="4"/>
  <c r="D159" i="4"/>
  <c r="V159" i="4" s="1"/>
  <c r="W159" i="4" s="1"/>
  <c r="Y159" i="4" l="1"/>
  <c r="X159" i="4"/>
  <c r="AA159" i="4"/>
  <c r="Z159" i="4"/>
  <c r="R159" i="4"/>
  <c r="O159" i="4"/>
  <c r="J159" i="4"/>
  <c r="Q159" i="4"/>
  <c r="AC159" i="4" l="1"/>
  <c r="AB159" i="4"/>
  <c r="C160" i="4"/>
  <c r="S159" i="4"/>
  <c r="P160" i="4" l="1"/>
  <c r="I160" i="4"/>
  <c r="D160" i="4"/>
  <c r="V160" i="4" s="1"/>
  <c r="W160" i="4" s="1"/>
  <c r="Z160" i="4" l="1"/>
  <c r="AA160" i="4"/>
  <c r="X160" i="4"/>
  <c r="Y160" i="4"/>
  <c r="R160" i="4"/>
  <c r="Q160" i="4"/>
  <c r="J160" i="4"/>
  <c r="O160" i="4"/>
  <c r="AB160" i="4" l="1"/>
  <c r="AC160" i="4"/>
  <c r="C161" i="4"/>
  <c r="S160" i="4"/>
  <c r="D161" i="4" l="1"/>
  <c r="V161" i="4" s="1"/>
  <c r="W161" i="4" s="1"/>
  <c r="P161" i="4"/>
  <c r="I161" i="4"/>
  <c r="X161" i="4" l="1"/>
  <c r="Z161" i="4"/>
  <c r="Y161" i="4"/>
  <c r="AA161" i="4"/>
  <c r="O161" i="4"/>
  <c r="J161" i="4"/>
  <c r="Q161" i="4"/>
  <c r="R161" i="4"/>
  <c r="AC161" i="4" l="1"/>
  <c r="AB161" i="4"/>
  <c r="S161" i="4"/>
  <c r="C162" i="4"/>
  <c r="D162" i="4" l="1"/>
  <c r="V162" i="4" s="1"/>
  <c r="W162" i="4" s="1"/>
  <c r="P162" i="4"/>
  <c r="I162" i="4"/>
  <c r="AA162" i="4" l="1"/>
  <c r="Z162" i="4"/>
  <c r="Y162" i="4"/>
  <c r="X162" i="4"/>
  <c r="J162" i="4"/>
  <c r="Q162" i="4"/>
  <c r="O162" i="4"/>
  <c r="R162" i="4"/>
  <c r="AC162" i="4" l="1"/>
  <c r="AB162" i="4"/>
  <c r="S162" i="4"/>
  <c r="C163" i="4"/>
  <c r="P163" i="4" l="1"/>
  <c r="I163" i="4"/>
  <c r="D163" i="4"/>
  <c r="V163" i="4" s="1"/>
  <c r="W163" i="4" s="1"/>
  <c r="X163" i="4" l="1"/>
  <c r="Y163" i="4"/>
  <c r="AA163" i="4"/>
  <c r="Z163" i="4"/>
  <c r="R163" i="4"/>
  <c r="O163" i="4"/>
  <c r="Q163" i="4"/>
  <c r="J163" i="4"/>
  <c r="AB163" i="4" l="1"/>
  <c r="AC163" i="4"/>
  <c r="C164" i="4"/>
  <c r="S163" i="4"/>
  <c r="I164" i="4" l="1"/>
  <c r="P164" i="4"/>
  <c r="D164" i="4"/>
  <c r="V164" i="4" s="1"/>
  <c r="W164" i="4" s="1"/>
  <c r="AA164" i="4" l="1"/>
  <c r="Y164" i="4"/>
  <c r="X164" i="4"/>
  <c r="Z164" i="4"/>
  <c r="R164" i="4"/>
  <c r="J164" i="4"/>
  <c r="Q164" i="4"/>
  <c r="O164" i="4"/>
  <c r="AB164" i="4" l="1"/>
  <c r="AC164" i="4"/>
  <c r="C165" i="4"/>
  <c r="S164" i="4"/>
  <c r="I165" i="4" l="1"/>
  <c r="P165" i="4"/>
  <c r="D165" i="4"/>
  <c r="V165" i="4" s="1"/>
  <c r="W165" i="4" s="1"/>
  <c r="Y165" i="4" l="1"/>
  <c r="AA165" i="4"/>
  <c r="X165" i="4"/>
  <c r="Z165" i="4"/>
  <c r="R165" i="4"/>
  <c r="J165" i="4"/>
  <c r="O165" i="4"/>
  <c r="Q165" i="4"/>
  <c r="AC165" i="4" l="1"/>
  <c r="AB165" i="4"/>
  <c r="C166" i="4"/>
  <c r="S165" i="4"/>
  <c r="I166" i="4" l="1"/>
  <c r="P166" i="4"/>
  <c r="D166" i="4"/>
  <c r="V166" i="4" s="1"/>
  <c r="W166" i="4" s="1"/>
  <c r="Z166" i="4" l="1"/>
  <c r="AA166" i="4"/>
  <c r="X166" i="4"/>
  <c r="Y166" i="4"/>
  <c r="R166" i="4"/>
  <c r="J166" i="4"/>
  <c r="Q166" i="4"/>
  <c r="O166" i="4"/>
  <c r="AC166" i="4" l="1"/>
  <c r="AB166" i="4"/>
  <c r="C167" i="4"/>
  <c r="S166" i="4"/>
  <c r="I167" i="4" l="1"/>
  <c r="P167" i="4"/>
  <c r="D167" i="4"/>
  <c r="V167" i="4" s="1"/>
  <c r="W167" i="4" s="1"/>
  <c r="Y167" i="4" l="1"/>
  <c r="AA167" i="4"/>
  <c r="X167" i="4"/>
  <c r="Z167" i="4"/>
  <c r="R167" i="4"/>
  <c r="J167" i="4"/>
  <c r="Q167" i="4"/>
  <c r="O167" i="4"/>
  <c r="AC167" i="4" l="1"/>
  <c r="AB167" i="4"/>
  <c r="C168" i="4"/>
  <c r="S167" i="4"/>
  <c r="P168" i="4" l="1"/>
  <c r="I168" i="4"/>
  <c r="D168" i="4"/>
  <c r="V168" i="4" s="1"/>
  <c r="W168" i="4" s="1"/>
  <c r="AA168" i="4" l="1"/>
  <c r="Z168" i="4"/>
  <c r="X168" i="4"/>
  <c r="Y168" i="4"/>
  <c r="R168" i="4"/>
  <c r="J168" i="4"/>
  <c r="Q168" i="4"/>
  <c r="O168" i="4"/>
  <c r="AC168" i="4" l="1"/>
  <c r="AB168" i="4"/>
  <c r="C169" i="4"/>
  <c r="S168" i="4"/>
  <c r="I169" i="4" l="1"/>
  <c r="P169" i="4"/>
  <c r="D169" i="4"/>
  <c r="V169" i="4" s="1"/>
  <c r="W169" i="4" s="1"/>
  <c r="Y169" i="4" l="1"/>
  <c r="X169" i="4"/>
  <c r="AA169" i="4"/>
  <c r="Z169" i="4"/>
  <c r="R169" i="4"/>
  <c r="J169" i="4"/>
  <c r="Q169" i="4"/>
  <c r="O169" i="4"/>
  <c r="AB169" i="4" l="1"/>
  <c r="AC169" i="4"/>
  <c r="C170" i="4"/>
  <c r="S169" i="4"/>
  <c r="P170" i="4" l="1"/>
  <c r="I170" i="4"/>
  <c r="D170" i="4"/>
  <c r="V170" i="4" s="1"/>
  <c r="W170" i="4" s="1"/>
  <c r="Z170" i="4" l="1"/>
  <c r="X170" i="4"/>
  <c r="AA170" i="4"/>
  <c r="Y170" i="4"/>
  <c r="R170" i="4"/>
  <c r="Q170" i="4"/>
  <c r="J170" i="4"/>
  <c r="O170" i="4"/>
  <c r="AC170" i="4" l="1"/>
  <c r="AB170" i="4"/>
  <c r="C171" i="4"/>
  <c r="S170" i="4"/>
  <c r="P171" i="4" l="1"/>
  <c r="I171" i="4"/>
  <c r="D171" i="4"/>
  <c r="V171" i="4" s="1"/>
  <c r="W171" i="4" s="1"/>
  <c r="AA171" i="4" l="1"/>
  <c r="Y171" i="4"/>
  <c r="X171" i="4"/>
  <c r="Z171" i="4"/>
  <c r="R171" i="4"/>
  <c r="J171" i="4"/>
  <c r="Q171" i="4"/>
  <c r="O171" i="4"/>
  <c r="AB171" i="4" l="1"/>
  <c r="AC171" i="4"/>
  <c r="C172" i="4"/>
  <c r="S171" i="4"/>
  <c r="P172" i="4" l="1"/>
  <c r="I172" i="4"/>
  <c r="D172" i="4"/>
  <c r="V172" i="4" s="1"/>
  <c r="W172" i="4" s="1"/>
  <c r="Y172" i="4" l="1"/>
  <c r="AA172" i="4"/>
  <c r="Z172" i="4"/>
  <c r="X172" i="4"/>
  <c r="R172" i="4"/>
  <c r="J172" i="4"/>
  <c r="Q172" i="4"/>
  <c r="O172" i="4"/>
  <c r="AC172" i="4" l="1"/>
  <c r="AB172" i="4"/>
  <c r="C173" i="4"/>
  <c r="S172" i="4"/>
  <c r="P173" i="4" l="1"/>
  <c r="I173" i="4"/>
  <c r="D173" i="4"/>
  <c r="V173" i="4" s="1"/>
  <c r="W173" i="4" s="1"/>
  <c r="Z173" i="4" l="1"/>
  <c r="Y173" i="4"/>
  <c r="X173" i="4"/>
  <c r="AA173" i="4"/>
  <c r="R173" i="4"/>
  <c r="J173" i="4"/>
  <c r="Q173" i="4"/>
  <c r="O173" i="4"/>
  <c r="AB173" i="4" l="1"/>
  <c r="AC173" i="4"/>
  <c r="C174" i="4"/>
  <c r="S173" i="4"/>
  <c r="P174" i="4" l="1"/>
  <c r="I174" i="4"/>
  <c r="D174" i="4"/>
  <c r="V174" i="4" s="1"/>
  <c r="W174" i="4" s="1"/>
  <c r="Z174" i="4" l="1"/>
  <c r="Y174" i="4"/>
  <c r="X174" i="4"/>
  <c r="AA174" i="4"/>
  <c r="R174" i="4"/>
  <c r="J174" i="4"/>
  <c r="Q174" i="4"/>
  <c r="O174" i="4"/>
  <c r="AB174" i="4" l="1"/>
  <c r="AC174" i="4"/>
  <c r="C175" i="4"/>
  <c r="S174" i="4"/>
  <c r="P175" i="4" l="1"/>
  <c r="I175" i="4"/>
  <c r="D175" i="4"/>
  <c r="V175" i="4" s="1"/>
  <c r="W175" i="4" s="1"/>
  <c r="Y175" i="4" l="1"/>
  <c r="X175" i="4"/>
  <c r="AA175" i="4"/>
  <c r="Z175" i="4"/>
  <c r="R175" i="4"/>
  <c r="O175" i="4"/>
  <c r="Q175" i="4"/>
  <c r="J175" i="4"/>
  <c r="AC175" i="4" l="1"/>
  <c r="AB175" i="4"/>
  <c r="C176" i="4"/>
  <c r="S175" i="4"/>
  <c r="P176" i="4" l="1"/>
  <c r="I176" i="4"/>
  <c r="D176" i="4"/>
  <c r="V176" i="4" s="1"/>
  <c r="W176" i="4" s="1"/>
  <c r="X176" i="4" l="1"/>
  <c r="Z176" i="4" s="1"/>
  <c r="AA176" i="4"/>
  <c r="Y176" i="4"/>
  <c r="R176" i="4"/>
  <c r="J176" i="4"/>
  <c r="O176" i="4"/>
  <c r="Q176" i="4"/>
  <c r="AB176" i="4" l="1"/>
  <c r="AC176" i="4"/>
  <c r="C177" i="4"/>
  <c r="S176" i="4"/>
  <c r="P177" i="4" l="1"/>
  <c r="I177" i="4"/>
  <c r="D177" i="4"/>
  <c r="V177" i="4" s="1"/>
  <c r="W177" i="4" s="1"/>
  <c r="Z177" i="4" l="1"/>
  <c r="X177" i="4"/>
  <c r="Y177" i="4"/>
  <c r="AA177" i="4"/>
  <c r="R177" i="4"/>
  <c r="Q177" i="4"/>
  <c r="J177" i="4"/>
  <c r="O177" i="4"/>
  <c r="AB177" i="4" l="1"/>
  <c r="AC177" i="4"/>
  <c r="C178" i="4"/>
  <c r="S177" i="4"/>
  <c r="P178" i="4" l="1"/>
  <c r="I178" i="4"/>
  <c r="D178" i="4"/>
  <c r="V178" i="4" s="1"/>
  <c r="W178" i="4" s="1"/>
  <c r="Y178" i="4" l="1"/>
  <c r="Z178" i="4"/>
  <c r="X178" i="4"/>
  <c r="AA178" i="4"/>
  <c r="R178" i="4"/>
  <c r="Q178" i="4"/>
  <c r="O178" i="4"/>
  <c r="J178" i="4"/>
  <c r="AB178" i="4" l="1"/>
  <c r="AC178" i="4"/>
  <c r="C179" i="4"/>
  <c r="S178" i="4"/>
  <c r="I179" i="4" l="1"/>
  <c r="P179" i="4"/>
  <c r="D179" i="4"/>
  <c r="V179" i="4" s="1"/>
  <c r="W179" i="4" s="1"/>
  <c r="Y179" i="4" l="1"/>
  <c r="AA179" i="4"/>
  <c r="X179" i="4"/>
  <c r="Z179" i="4"/>
  <c r="R179" i="4"/>
  <c r="Q179" i="4"/>
  <c r="O179" i="4"/>
  <c r="J179" i="4"/>
  <c r="AB179" i="4" l="1"/>
  <c r="AC179" i="4"/>
  <c r="C180" i="4"/>
  <c r="S179" i="4"/>
  <c r="D180" i="4" l="1"/>
  <c r="V180" i="4" s="1"/>
  <c r="W180" i="4" s="1"/>
  <c r="I180" i="4"/>
  <c r="P180" i="4"/>
  <c r="AA180" i="4" l="1"/>
  <c r="Y180" i="4"/>
  <c r="X180" i="4"/>
  <c r="Z180" i="4"/>
  <c r="O180" i="4"/>
  <c r="J180" i="4"/>
  <c r="Q180" i="4"/>
  <c r="R180" i="4"/>
  <c r="AC180" i="4" l="1"/>
  <c r="AB180" i="4"/>
  <c r="S180" i="4"/>
  <c r="C181" i="4"/>
  <c r="I181" i="4" l="1"/>
  <c r="P181" i="4"/>
  <c r="D181" i="4"/>
  <c r="V181" i="4" s="1"/>
  <c r="W181" i="4" s="1"/>
  <c r="Y181" i="4" l="1"/>
  <c r="Z181" i="4"/>
  <c r="X181" i="4"/>
  <c r="AA181" i="4"/>
  <c r="R181" i="4"/>
  <c r="J181" i="4"/>
  <c r="Q181" i="4"/>
  <c r="O181" i="4"/>
  <c r="AB181" i="4" l="1"/>
  <c r="AC181" i="4"/>
  <c r="C182" i="4"/>
  <c r="S181" i="4"/>
  <c r="I182" i="4" l="1"/>
  <c r="P182" i="4"/>
  <c r="D182" i="4"/>
  <c r="V182" i="4" s="1"/>
  <c r="W182" i="4" s="1"/>
  <c r="X182" i="4" l="1"/>
  <c r="Z182" i="4" s="1"/>
  <c r="AA182" i="4"/>
  <c r="Y182" i="4"/>
  <c r="R182" i="4"/>
  <c r="Q182" i="4"/>
  <c r="O182" i="4"/>
  <c r="J182" i="4"/>
  <c r="AC182" i="4" l="1"/>
  <c r="AB182" i="4"/>
  <c r="C183" i="4"/>
  <c r="S182" i="4"/>
  <c r="P183" i="4" l="1"/>
  <c r="I183" i="4"/>
  <c r="D183" i="4"/>
  <c r="V183" i="4" s="1"/>
  <c r="W183" i="4" s="1"/>
  <c r="AA183" i="4" l="1"/>
  <c r="X183" i="4"/>
  <c r="Z183" i="4"/>
  <c r="Y183" i="4"/>
  <c r="R183" i="4"/>
  <c r="Q183" i="4"/>
  <c r="J183" i="4"/>
  <c r="O183" i="4"/>
  <c r="AB183" i="4" l="1"/>
  <c r="AC183" i="4"/>
  <c r="C184" i="4"/>
  <c r="S183" i="4"/>
  <c r="P184" i="4" l="1"/>
  <c r="I184" i="4"/>
  <c r="D184" i="4"/>
  <c r="V184" i="4" s="1"/>
  <c r="W184" i="4" s="1"/>
  <c r="X184" i="4" l="1"/>
  <c r="Z184" i="4"/>
  <c r="AA184" i="4"/>
  <c r="Y184" i="4"/>
  <c r="R184" i="4"/>
  <c r="O184" i="4"/>
  <c r="J184" i="4"/>
  <c r="Q184" i="4"/>
  <c r="AB184" i="4" l="1"/>
  <c r="AC184" i="4"/>
  <c r="C185" i="4"/>
  <c r="S184" i="4"/>
  <c r="I185" i="4" l="1"/>
  <c r="P185" i="4"/>
  <c r="D185" i="4"/>
  <c r="V185" i="4" s="1"/>
  <c r="W185" i="4" s="1"/>
  <c r="AA185" i="4" l="1"/>
  <c r="Y185" i="4"/>
  <c r="X185" i="4"/>
  <c r="Z185" i="4"/>
  <c r="R185" i="4"/>
  <c r="J185" i="4"/>
  <c r="Q185" i="4"/>
  <c r="O185" i="4"/>
  <c r="AC185" i="4" l="1"/>
  <c r="AB185" i="4"/>
  <c r="C186" i="4"/>
  <c r="S185" i="4"/>
  <c r="P186" i="4" l="1"/>
  <c r="I186" i="4"/>
  <c r="D186" i="4"/>
  <c r="V186" i="4" s="1"/>
  <c r="W186" i="4" s="1"/>
  <c r="AA186" i="4" l="1"/>
  <c r="Z186" i="4"/>
  <c r="Y186" i="4"/>
  <c r="X186" i="4"/>
  <c r="R186" i="4"/>
  <c r="O186" i="4"/>
  <c r="J186" i="4"/>
  <c r="Q186" i="4"/>
  <c r="AC186" i="4" l="1"/>
  <c r="AB186" i="4"/>
  <c r="C187" i="4"/>
  <c r="S186" i="4"/>
  <c r="P187" i="4" l="1"/>
  <c r="I187" i="4"/>
  <c r="D187" i="4"/>
  <c r="V187" i="4" s="1"/>
  <c r="W187" i="4" s="1"/>
  <c r="Y187" i="4" l="1"/>
  <c r="Z187" i="4"/>
  <c r="AA187" i="4"/>
  <c r="X187" i="4"/>
  <c r="R187" i="4"/>
  <c r="Q187" i="4"/>
  <c r="O187" i="4"/>
  <c r="J187" i="4"/>
  <c r="AB187" i="4" l="1"/>
  <c r="AC187" i="4"/>
  <c r="C188" i="4"/>
  <c r="S187" i="4"/>
  <c r="I188" i="4" l="1"/>
  <c r="P188" i="4"/>
  <c r="D188" i="4"/>
  <c r="V188" i="4" s="1"/>
  <c r="W188" i="4" s="1"/>
  <c r="AA188" i="4" l="1"/>
  <c r="Y188" i="4"/>
  <c r="Z188" i="4"/>
  <c r="X188" i="4"/>
  <c r="R188" i="4"/>
  <c r="J188" i="4"/>
  <c r="O188" i="4"/>
  <c r="Q188" i="4"/>
  <c r="AC188" i="4" l="1"/>
  <c r="AB188" i="4"/>
  <c r="C189" i="4"/>
  <c r="S188" i="4"/>
  <c r="D189" i="4" l="1"/>
  <c r="V189" i="4" s="1"/>
  <c r="W189" i="4" s="1"/>
  <c r="P189" i="4"/>
  <c r="I189" i="4"/>
  <c r="Z189" i="4" l="1"/>
  <c r="AA189" i="4"/>
  <c r="X189" i="4"/>
  <c r="Y189" i="4"/>
  <c r="J189" i="4"/>
  <c r="O189" i="4"/>
  <c r="Q189" i="4"/>
  <c r="R189" i="4"/>
  <c r="AC189" i="4" l="1"/>
  <c r="AB189" i="4"/>
  <c r="S189" i="4"/>
  <c r="C190" i="4"/>
  <c r="D190" i="4" l="1"/>
  <c r="V190" i="4" s="1"/>
  <c r="W190" i="4" s="1"/>
  <c r="I190" i="4"/>
  <c r="P190" i="4"/>
  <c r="AA190" i="4" l="1"/>
  <c r="Y190" i="4"/>
  <c r="Z190" i="4"/>
  <c r="X190" i="4"/>
  <c r="O190" i="4"/>
  <c r="J190" i="4"/>
  <c r="Q190" i="4"/>
  <c r="R190" i="4"/>
  <c r="AB190" i="4" l="1"/>
  <c r="AC190" i="4"/>
  <c r="S190" i="4"/>
  <c r="C191" i="4"/>
  <c r="D191" i="4" l="1"/>
  <c r="V191" i="4" s="1"/>
  <c r="W191" i="4" s="1"/>
  <c r="P191" i="4"/>
  <c r="I191" i="4"/>
  <c r="Z191" i="4" l="1"/>
  <c r="X191" i="4"/>
  <c r="AA191" i="4"/>
  <c r="Y191" i="4"/>
  <c r="Q191" i="4"/>
  <c r="J191" i="4"/>
  <c r="O191" i="4"/>
  <c r="R191" i="4"/>
  <c r="AC191" i="4" l="1"/>
  <c r="AB191" i="4"/>
  <c r="S191" i="4"/>
  <c r="C192" i="4"/>
  <c r="D192" i="4" l="1"/>
  <c r="V192" i="4" s="1"/>
  <c r="W192" i="4" s="1"/>
  <c r="P192" i="4"/>
  <c r="I192" i="4"/>
  <c r="Y192" i="4" l="1"/>
  <c r="AA192" i="4"/>
  <c r="X192" i="4"/>
  <c r="Z192" i="4"/>
  <c r="J192" i="4"/>
  <c r="Q192" i="4"/>
  <c r="O192" i="4"/>
  <c r="R192" i="4"/>
  <c r="AC192" i="4" l="1"/>
  <c r="AB192" i="4"/>
  <c r="S192" i="4"/>
  <c r="C193" i="4"/>
  <c r="I193" i="4" l="1"/>
  <c r="P193" i="4"/>
  <c r="D193" i="4"/>
  <c r="V193" i="4" s="1"/>
  <c r="W193" i="4" s="1"/>
  <c r="AA193" i="4" l="1"/>
  <c r="X193" i="4"/>
  <c r="Z193" i="4"/>
  <c r="Y193" i="4"/>
  <c r="R193" i="4"/>
  <c r="J193" i="4"/>
  <c r="Q193" i="4"/>
  <c r="O193" i="4"/>
  <c r="AB193" i="4" l="1"/>
  <c r="AC193" i="4"/>
  <c r="C194" i="4"/>
  <c r="S193" i="4"/>
  <c r="P194" i="4" l="1"/>
  <c r="I194" i="4"/>
  <c r="D194" i="4"/>
  <c r="V194" i="4" s="1"/>
  <c r="W194" i="4" s="1"/>
  <c r="X194" i="4" l="1"/>
  <c r="AA194" i="4"/>
  <c r="Y194" i="4"/>
  <c r="Z194" i="4"/>
  <c r="R194" i="4"/>
  <c r="J194" i="4"/>
  <c r="Q194" i="4"/>
  <c r="O194" i="4"/>
  <c r="AB194" i="4" l="1"/>
  <c r="AC194" i="4"/>
  <c r="C195" i="4"/>
  <c r="S194" i="4"/>
  <c r="P195" i="4" l="1"/>
  <c r="I195" i="4"/>
  <c r="D195" i="4"/>
  <c r="V195" i="4" s="1"/>
  <c r="W195" i="4" s="1"/>
  <c r="Z195" i="4" l="1"/>
  <c r="Y195" i="4"/>
  <c r="X195" i="4"/>
  <c r="AA195" i="4"/>
  <c r="R195" i="4"/>
  <c r="O195" i="4"/>
  <c r="J195" i="4"/>
  <c r="Q195" i="4"/>
  <c r="AB195" i="4" l="1"/>
  <c r="AC195" i="4"/>
  <c r="C196" i="4"/>
  <c r="S195" i="4"/>
  <c r="I196" i="4" l="1"/>
  <c r="P196" i="4"/>
  <c r="D196" i="4"/>
  <c r="V196" i="4" s="1"/>
  <c r="W196" i="4" s="1"/>
  <c r="AA196" i="4" l="1"/>
  <c r="Y196" i="4"/>
  <c r="X196" i="4"/>
  <c r="Z196" i="4"/>
  <c r="R196" i="4"/>
  <c r="O196" i="4"/>
  <c r="J196" i="4"/>
  <c r="Q196" i="4"/>
  <c r="AB196" i="4" l="1"/>
  <c r="AC196" i="4"/>
  <c r="C197" i="4"/>
  <c r="S196" i="4"/>
  <c r="P197" i="4" l="1"/>
  <c r="I197" i="4"/>
  <c r="D197" i="4"/>
  <c r="V197" i="4" s="1"/>
  <c r="W197" i="4" s="1"/>
  <c r="Z197" i="4" l="1"/>
  <c r="AB197" i="4" s="1"/>
  <c r="AA197" i="4"/>
  <c r="Y197" i="4"/>
  <c r="X197" i="4"/>
  <c r="R197" i="4"/>
  <c r="O197" i="4"/>
  <c r="Q197" i="4"/>
  <c r="J197" i="4"/>
  <c r="AF18" i="4" l="1"/>
  <c r="AF19" i="4"/>
  <c r="AI19" i="4" s="1"/>
  <c r="AG20" i="4"/>
  <c r="AG16" i="4"/>
  <c r="AF26" i="4"/>
  <c r="AG21" i="4"/>
  <c r="AG23" i="4"/>
  <c r="AF24" i="4"/>
  <c r="AF23" i="4"/>
  <c r="AF22" i="4"/>
  <c r="AF20" i="4"/>
  <c r="AF21" i="4"/>
  <c r="AG17" i="4"/>
  <c r="AG18" i="4"/>
  <c r="AG25" i="4"/>
  <c r="AG22" i="4"/>
  <c r="AH15" i="4"/>
  <c r="AF25" i="4"/>
  <c r="AG24" i="4"/>
  <c r="AF17" i="4"/>
  <c r="AI17" i="4" s="1"/>
  <c r="AG19" i="4"/>
  <c r="AF16" i="4"/>
  <c r="AH19" i="4"/>
  <c r="AG26" i="4"/>
  <c r="AH17" i="4"/>
  <c r="AF27" i="4"/>
  <c r="AG27" i="4"/>
  <c r="S197" i="4"/>
  <c r="AI18" i="4" l="1"/>
  <c r="AH18" i="4"/>
  <c r="AI26" i="4"/>
  <c r="AH26" i="4"/>
  <c r="AI25" i="4"/>
  <c r="AH25" i="4"/>
  <c r="AI24" i="4"/>
  <c r="AH24" i="4"/>
  <c r="AI23" i="4"/>
  <c r="AH23" i="4"/>
  <c r="AI22" i="4"/>
  <c r="AH22" i="4"/>
  <c r="AI20" i="4"/>
  <c r="AH20" i="4"/>
  <c r="AI21" i="4"/>
  <c r="AH21" i="4"/>
  <c r="AI16" i="4"/>
  <c r="AH16" i="4"/>
  <c r="AI27" i="4"/>
  <c r="AH2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<sst xmlns="http://schemas.openxmlformats.org/spreadsheetml/2006/main" count="72" uniqueCount="51">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</sst>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ncanal-my.sharepoint.com/personal/jfrodriguez_pancanal_com/Documents/Documents/Doc%20Doctorado/Articulo%201/Borrador%20Articulo/nuevo/MareasTest/DATA/TuRepo/GLR_Diario_LP_Plantilla_Julio_P95%25agosto%2010%20-%2040.xlsx" TargetMode="External"/><Relationship Id="rId1" Type="http://schemas.openxmlformats.org/officeDocument/2006/relationships/externalLinkPath" Target="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V37">
            <v>25.345874414850002</v>
          </cell>
        </row>
        <row r="38">
          <cell r="A38">
            <v>46230</v>
          </cell>
          <cell r="B38">
            <v>226.54</v>
          </cell>
          <cell r="C38">
            <v>226.54</v>
          </cell>
          <cell r="D38">
            <v>361.34738379743999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L38">
            <v>30.341580444430733</v>
          </cell>
          <cell r="M38">
            <v>53</v>
          </cell>
          <cell r="N38">
            <v>759.1415804444307</v>
          </cell>
          <cell r="O38">
            <v>6.8248139023106988E-2</v>
          </cell>
          <cell r="P38">
            <v>361.41563193646311</v>
          </cell>
          <cell r="Q38">
            <v>226.54599999999999</v>
          </cell>
          <cell r="R38">
            <v>251.85</v>
          </cell>
          <cell r="S38">
            <v>1.37613183359058E-2</v>
          </cell>
          <cell r="V38">
            <v>22.286408673450001</v>
          </cell>
        </row>
        <row r="39">
          <cell r="A39">
            <v>46231</v>
          </cell>
          <cell r="B39">
            <v>226.69</v>
          </cell>
          <cell r="C39">
            <v>226.69</v>
          </cell>
          <cell r="D39">
            <v>362.86330604784001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L39">
            <v>23.3719224807685</v>
          </cell>
          <cell r="M39">
            <v>53</v>
          </cell>
          <cell r="N39">
            <v>752.17192248076844</v>
          </cell>
          <cell r="O39">
            <v>6.9751943691544221E-2</v>
          </cell>
          <cell r="P39">
            <v>362.93305799153154</v>
          </cell>
          <cell r="Q39">
            <v>226.696</v>
          </cell>
          <cell r="R39">
            <v>251.85</v>
          </cell>
          <cell r="S39">
            <v>1.37613183359058E-2</v>
          </cell>
          <cell r="V39">
            <v>22.106455091700003</v>
          </cell>
        </row>
        <row r="40">
          <cell r="A40">
            <v>46232</v>
          </cell>
          <cell r="B40">
            <v>226.75</v>
          </cell>
          <cell r="C40">
            <v>226.75</v>
          </cell>
          <cell r="D40">
            <v>363.46967494799998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L40">
            <v>42.410016000069611</v>
          </cell>
          <cell r="M40">
            <v>53</v>
          </cell>
          <cell r="N40">
            <v>771.21001600006957</v>
          </cell>
          <cell r="O40">
            <v>3.9260328515708456</v>
          </cell>
          <cell r="P40">
            <v>367.3957077995708</v>
          </cell>
          <cell r="Q40">
            <v>227.13800000000001</v>
          </cell>
          <cell r="R40">
            <v>251.85</v>
          </cell>
          <cell r="S40">
            <v>1.37613183359058E-2</v>
          </cell>
          <cell r="V40">
            <v>67.278513618300011</v>
          </cell>
        </row>
        <row r="41">
          <cell r="A41">
            <v>46233</v>
          </cell>
          <cell r="B41">
            <v>226.78</v>
          </cell>
          <cell r="C41">
            <v>226.78</v>
          </cell>
          <cell r="D41">
            <v>363.77285939808002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L41">
            <v>38.564652816729676</v>
          </cell>
          <cell r="M41">
            <v>53</v>
          </cell>
          <cell r="N41">
            <v>767.36465281672963</v>
          </cell>
          <cell r="O41">
            <v>0.71674844190790155</v>
          </cell>
          <cell r="P41">
            <v>364.48960783998791</v>
          </cell>
          <cell r="Q41">
            <v>226.85</v>
          </cell>
          <cell r="R41">
            <v>251.85</v>
          </cell>
          <cell r="S41">
            <v>1.37613183359058E-2</v>
          </cell>
          <cell r="V41">
            <v>30.025063976250003</v>
          </cell>
        </row>
        <row r="42">
          <cell r="A42">
            <v>46234</v>
          </cell>
          <cell r="B42">
            <v>226.84</v>
          </cell>
          <cell r="C42">
            <v>226.84</v>
          </cell>
          <cell r="D42">
            <v>364.37922829823998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0</v>
          </cell>
          <cell r="J42" t="str">
            <v>0</v>
          </cell>
          <cell r="L42">
            <v>57.637874283594222</v>
          </cell>
          <cell r="M42">
            <v>53</v>
          </cell>
          <cell r="N42">
            <v>490.43787428359423</v>
          </cell>
          <cell r="O42">
            <v>0.95888997655081798</v>
          </cell>
          <cell r="P42">
            <v>365.33811827479082</v>
          </cell>
          <cell r="Q42">
            <v>226.934</v>
          </cell>
          <cell r="R42">
            <v>251.85</v>
          </cell>
          <cell r="S42">
            <v>2.0929388252833997E-3</v>
          </cell>
          <cell r="V42">
            <v>24.985938934500002</v>
          </cell>
        </row>
        <row r="43">
          <cell r="A43">
            <v>46235</v>
          </cell>
          <cell r="B43">
            <v>226.98</v>
          </cell>
          <cell r="C43">
            <v>226.98</v>
          </cell>
          <cell r="D43">
            <v>365.79408906527999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0</v>
          </cell>
          <cell r="J43" t="str">
            <v>0</v>
          </cell>
          <cell r="L43">
            <v>54.311214824143683</v>
          </cell>
          <cell r="M43">
            <v>53</v>
          </cell>
          <cell r="N43">
            <v>487.1112148241437</v>
          </cell>
          <cell r="O43">
            <v>3.7055424466080877</v>
          </cell>
          <cell r="P43">
            <v>369.49963151188808</v>
          </cell>
          <cell r="Q43">
            <v>227.346</v>
          </cell>
          <cell r="R43">
            <v>251.85</v>
          </cell>
          <cell r="S43">
            <v>2.0929388252833997E-3</v>
          </cell>
          <cell r="V43">
            <v>56.681753694450002</v>
          </cell>
        </row>
        <row r="44">
          <cell r="A44">
            <v>46236</v>
          </cell>
          <cell r="B44">
            <v>227.1</v>
          </cell>
          <cell r="C44">
            <v>227.1</v>
          </cell>
          <cell r="D44">
            <v>367.00682686559998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0</v>
          </cell>
          <cell r="J44" t="str">
            <v>0</v>
          </cell>
          <cell r="L44">
            <v>54.65976796811816</v>
          </cell>
          <cell r="M44">
            <v>53</v>
          </cell>
          <cell r="N44">
            <v>487.45976796811817</v>
          </cell>
          <cell r="O44">
            <v>2.9207249879731529</v>
          </cell>
          <cell r="P44">
            <v>369.92755185357311</v>
          </cell>
          <cell r="Q44">
            <v>227.38900000000001</v>
          </cell>
          <cell r="R44">
            <v>251.85</v>
          </cell>
          <cell r="S44">
            <v>2.0929388252833997E-3</v>
          </cell>
          <cell r="V44">
            <v>47.60807218155</v>
          </cell>
        </row>
        <row r="45">
          <cell r="A45">
            <v>46237</v>
          </cell>
          <cell r="B45">
            <v>227.18</v>
          </cell>
          <cell r="C45">
            <v>227.18</v>
          </cell>
          <cell r="D45">
            <v>367.81531873248002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0</v>
          </cell>
          <cell r="J45" t="str">
            <v>0</v>
          </cell>
          <cell r="L45">
            <v>50.592679504267721</v>
          </cell>
          <cell r="M45">
            <v>53</v>
          </cell>
          <cell r="N45">
            <v>483.39267950426773</v>
          </cell>
          <cell r="O45">
            <v>2.3632469712875706</v>
          </cell>
          <cell r="P45">
            <v>370.17856570376762</v>
          </cell>
          <cell r="Q45">
            <v>227.41300000000001</v>
          </cell>
          <cell r="R45">
            <v>251.85</v>
          </cell>
          <cell r="S45">
            <v>2.0929388252833997E-3</v>
          </cell>
          <cell r="V45">
            <v>41.040601794750003</v>
          </cell>
        </row>
        <row r="46">
          <cell r="A46">
            <v>46238</v>
          </cell>
          <cell r="B46">
            <v>227.41300000000001</v>
          </cell>
          <cell r="C46" t="str">
            <v/>
          </cell>
          <cell r="D46">
            <v>370.17005129476797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0</v>
          </cell>
          <cell r="J46" t="str">
            <v>0</v>
          </cell>
          <cell r="L46">
            <v>47.790233304075294</v>
          </cell>
          <cell r="M46">
            <v>53</v>
          </cell>
          <cell r="N46">
            <v>480.5902333040753</v>
          </cell>
          <cell r="O46">
            <v>2.0117271135261738</v>
          </cell>
          <cell r="P46">
            <v>372.18177840829412</v>
          </cell>
          <cell r="Q46">
            <v>227.61199999999999</v>
          </cell>
          <cell r="R46">
            <v>251.85</v>
          </cell>
          <cell r="S46">
            <v>2.0929388252833997E-3</v>
          </cell>
          <cell r="V46">
            <v>36.892721289900003</v>
          </cell>
        </row>
        <row r="47">
          <cell r="A47">
            <v>46239</v>
          </cell>
          <cell r="B47">
            <v>227.61199999999999</v>
          </cell>
          <cell r="C47" t="str">
            <v/>
          </cell>
          <cell r="D47">
            <v>372.18117481363203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0</v>
          </cell>
          <cell r="J47" t="str">
            <v>0</v>
          </cell>
          <cell r="L47">
            <v>67.503317006102762</v>
          </cell>
          <cell r="M47">
            <v>53</v>
          </cell>
          <cell r="N47">
            <v>500.30331700610276</v>
          </cell>
          <cell r="O47">
            <v>1.8042184987028569</v>
          </cell>
          <cell r="P47">
            <v>373.98539331233491</v>
          </cell>
          <cell r="Q47">
            <v>227.79</v>
          </cell>
          <cell r="R47">
            <v>251.85</v>
          </cell>
          <cell r="S47">
            <v>2.0929388252833997E-3</v>
          </cell>
          <cell r="V47">
            <v>35.049209404350002</v>
          </cell>
        </row>
        <row r="48">
          <cell r="A48">
            <v>46240</v>
          </cell>
          <cell r="B48">
            <v>227.79</v>
          </cell>
          <cell r="C48" t="str">
            <v/>
          </cell>
          <cell r="D48">
            <v>373.98006921744002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0</v>
          </cell>
          <cell r="J48" t="str">
            <v>0</v>
          </cell>
          <cell r="L48">
            <v>61.593771936735656</v>
          </cell>
          <cell r="M48">
            <v>53</v>
          </cell>
          <cell r="N48">
            <v>494.39377193673567</v>
          </cell>
          <cell r="O48">
            <v>1.6494448247558071</v>
          </cell>
          <cell r="P48">
            <v>375.62951404219581</v>
          </cell>
          <cell r="Q48">
            <v>227.953</v>
          </cell>
          <cell r="R48">
            <v>251.85</v>
          </cell>
          <cell r="S48">
            <v>2.0929388252833997E-3</v>
          </cell>
          <cell r="V48">
            <v>33.090504572999997</v>
          </cell>
        </row>
        <row r="49">
          <cell r="A49">
            <v>46241</v>
          </cell>
          <cell r="B49">
            <v>227.953</v>
          </cell>
          <cell r="C49" t="str">
            <v/>
          </cell>
          <cell r="D49">
            <v>375.62737139620799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0</v>
          </cell>
          <cell r="J49" t="str">
            <v>0</v>
          </cell>
          <cell r="L49">
            <v>50.573039005584299</v>
          </cell>
          <cell r="M49">
            <v>53</v>
          </cell>
          <cell r="N49">
            <v>483.3730390055843</v>
          </cell>
          <cell r="O49">
            <v>1.5370388894378881</v>
          </cell>
          <cell r="P49">
            <v>377.16441028564589</v>
          </cell>
          <cell r="Q49">
            <v>228.10499999999999</v>
          </cell>
          <cell r="R49">
            <v>251.85</v>
          </cell>
          <cell r="S49">
            <v>2.0929388252833997E-3</v>
          </cell>
          <cell r="V49">
            <v>31.477435212750002</v>
          </cell>
        </row>
        <row r="50">
          <cell r="A50">
            <v>46242</v>
          </cell>
          <cell r="B50">
            <v>228.10499999999999</v>
          </cell>
          <cell r="C50" t="str">
            <v/>
          </cell>
          <cell r="D50">
            <v>377.16350594327997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0</v>
          </cell>
          <cell r="J50" t="str">
            <v>0</v>
          </cell>
          <cell r="L50">
            <v>68.486357972334758</v>
          </cell>
          <cell r="M50">
            <v>53</v>
          </cell>
          <cell r="N50">
            <v>501.28635797233477</v>
          </cell>
          <cell r="O50">
            <v>1.9324162995525207</v>
          </cell>
          <cell r="P50">
            <v>379.0959222428325</v>
          </cell>
          <cell r="Q50">
            <v>228.29599999999999</v>
          </cell>
          <cell r="R50">
            <v>251.85</v>
          </cell>
          <cell r="S50">
            <v>2.0929388252833997E-3</v>
          </cell>
          <cell r="V50">
            <v>36.560819491050005</v>
          </cell>
        </row>
        <row r="51">
          <cell r="A51">
            <v>46243</v>
          </cell>
          <cell r="B51">
            <v>228.29599999999999</v>
          </cell>
          <cell r="C51" t="str">
            <v/>
          </cell>
          <cell r="D51">
            <v>379.09378027545603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0</v>
          </cell>
          <cell r="J51" t="str">
            <v>0</v>
          </cell>
          <cell r="L51">
            <v>56.047261301223266</v>
          </cell>
          <cell r="M51">
            <v>53</v>
          </cell>
          <cell r="N51">
            <v>488.84726130122328</v>
          </cell>
          <cell r="O51">
            <v>4.380918400994589</v>
          </cell>
          <cell r="P51">
            <v>383.4746986764506</v>
          </cell>
          <cell r="Q51">
            <v>228.72900000000001</v>
          </cell>
          <cell r="R51">
            <v>251.85</v>
          </cell>
          <cell r="S51">
            <v>2.0929388252833997E-3</v>
          </cell>
          <cell r="V51">
            <v>64.547778188550012</v>
          </cell>
        </row>
        <row r="52">
          <cell r="A52">
            <v>46244</v>
          </cell>
          <cell r="B52">
            <v>228.72900000000001</v>
          </cell>
          <cell r="C52" t="str">
            <v/>
          </cell>
          <cell r="D52">
            <v>383.46974250494401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0</v>
          </cell>
          <cell r="J52" t="str">
            <v>0</v>
          </cell>
          <cell r="L52">
            <v>49.851697402314386</v>
          </cell>
          <cell r="M52">
            <v>53</v>
          </cell>
          <cell r="N52">
            <v>482.65169740231443</v>
          </cell>
          <cell r="O52">
            <v>8.5687407171127994</v>
          </cell>
          <cell r="P52">
            <v>392.03848322205681</v>
          </cell>
          <cell r="Q52">
            <v>229.57599999999999</v>
          </cell>
          <cell r="R52">
            <v>251.85</v>
          </cell>
          <cell r="S52">
            <v>2.0929388252833997E-3</v>
          </cell>
          <cell r="V52">
            <v>112.8425906163</v>
          </cell>
        </row>
        <row r="53">
          <cell r="A53">
            <v>46245</v>
          </cell>
          <cell r="B53">
            <v>229.57599999999999</v>
          </cell>
          <cell r="C53" t="str">
            <v/>
          </cell>
          <cell r="D53">
            <v>392.02965014553598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0</v>
          </cell>
          <cell r="J53" t="str">
            <v>0</v>
          </cell>
          <cell r="L53">
            <v>52.917718699186644</v>
          </cell>
          <cell r="M53">
            <v>53</v>
          </cell>
          <cell r="N53">
            <v>485.71771869918666</v>
          </cell>
          <cell r="O53">
            <v>3.7999886607998383</v>
          </cell>
          <cell r="P53">
            <v>395.82963880633582</v>
          </cell>
          <cell r="Q53">
            <v>229.952</v>
          </cell>
          <cell r="R53">
            <v>251.85</v>
          </cell>
          <cell r="S53">
            <v>2.0929388252833997E-3</v>
          </cell>
          <cell r="V53">
            <v>57.73542368295</v>
          </cell>
        </row>
        <row r="54">
          <cell r="A54">
            <v>46246</v>
          </cell>
          <cell r="B54">
            <v>229.952</v>
          </cell>
          <cell r="C54" t="str">
            <v/>
          </cell>
          <cell r="D54">
            <v>395.82956191987199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0</v>
          </cell>
          <cell r="J54" t="str">
            <v>0</v>
          </cell>
          <cell r="L54">
            <v>63.775147416937479</v>
          </cell>
          <cell r="M54">
            <v>53</v>
          </cell>
          <cell r="N54">
            <v>496.57514741693751</v>
          </cell>
          <cell r="O54">
            <v>2.8169698546043187</v>
          </cell>
          <cell r="P54">
            <v>398.64653177447633</v>
          </cell>
          <cell r="Q54">
            <v>230.21</v>
          </cell>
          <cell r="R54">
            <v>251.85</v>
          </cell>
          <cell r="S54">
            <v>2.0929388252833997E-3</v>
          </cell>
          <cell r="V54">
            <v>46.665319294500001</v>
          </cell>
        </row>
        <row r="55">
          <cell r="A55">
            <v>46247</v>
          </cell>
          <cell r="B55">
            <v>230.21</v>
          </cell>
          <cell r="C55" t="str">
            <v/>
          </cell>
          <cell r="D55">
            <v>398.64039098088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0</v>
          </cell>
          <cell r="J55" t="str">
            <v>0</v>
          </cell>
          <cell r="L55">
            <v>85.357876757341714</v>
          </cell>
          <cell r="M55">
            <v>53</v>
          </cell>
          <cell r="N55">
            <v>518.15787675734168</v>
          </cell>
          <cell r="O55">
            <v>3.6365377239910979</v>
          </cell>
          <cell r="P55">
            <v>402.27692870487112</v>
          </cell>
          <cell r="Q55">
            <v>230.53800000000001</v>
          </cell>
          <cell r="R55">
            <v>251.85</v>
          </cell>
          <cell r="S55">
            <v>2.0929388252833997E-3</v>
          </cell>
          <cell r="V55">
            <v>56.762230182149999</v>
          </cell>
        </row>
        <row r="56">
          <cell r="A56">
            <v>46248</v>
          </cell>
          <cell r="B56">
            <v>230.53800000000001</v>
          </cell>
          <cell r="C56" t="str">
            <v/>
          </cell>
          <cell r="D56">
            <v>402.272965898064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0</v>
          </cell>
          <cell r="J56" t="str">
            <v>0</v>
          </cell>
          <cell r="L56">
            <v>81.747444177016121</v>
          </cell>
          <cell r="M56">
            <v>53</v>
          </cell>
          <cell r="N56">
            <v>514.54744417701613</v>
          </cell>
          <cell r="O56">
            <v>2.3525804952053226</v>
          </cell>
          <cell r="P56">
            <v>404.6255463932693</v>
          </cell>
          <cell r="Q56">
            <v>230.75</v>
          </cell>
          <cell r="R56">
            <v>251.85</v>
          </cell>
          <cell r="S56">
            <v>2.0929388252833997E-3</v>
          </cell>
          <cell r="V56">
            <v>41.799351790500005</v>
          </cell>
        </row>
        <row r="57">
          <cell r="A57">
            <v>46249</v>
          </cell>
          <cell r="B57">
            <v>230.75</v>
          </cell>
          <cell r="C57" t="str">
            <v/>
          </cell>
          <cell r="D57">
            <v>404.62084968599999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0</v>
          </cell>
          <cell r="J57" t="str">
            <v>0</v>
          </cell>
          <cell r="L57">
            <v>72.018074427095925</v>
          </cell>
          <cell r="M57">
            <v>53</v>
          </cell>
          <cell r="N57">
            <v>504.81807442709595</v>
          </cell>
          <cell r="O57">
            <v>2.5743998066857467</v>
          </cell>
          <cell r="P57">
            <v>407.19524949268572</v>
          </cell>
          <cell r="Q57">
            <v>230.982</v>
          </cell>
          <cell r="R57">
            <v>251.85</v>
          </cell>
          <cell r="S57">
            <v>2.0929388252833997E-3</v>
          </cell>
          <cell r="V57">
            <v>44.091204362100001</v>
          </cell>
        </row>
        <row r="58">
          <cell r="A58">
            <v>46250</v>
          </cell>
          <cell r="B58">
            <v>230.982</v>
          </cell>
          <cell r="C58" t="str">
            <v/>
          </cell>
          <cell r="D58">
            <v>407.19023194449602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0</v>
          </cell>
          <cell r="J58" t="str">
            <v>0</v>
          </cell>
          <cell r="L58">
            <v>78.01381676846934</v>
          </cell>
          <cell r="M58">
            <v>53</v>
          </cell>
          <cell r="N58">
            <v>510.81381676846934</v>
          </cell>
          <cell r="O58">
            <v>2.0309337190423249</v>
          </cell>
          <cell r="P58">
            <v>409.22116566353833</v>
          </cell>
          <cell r="Q58">
            <v>231.16499999999999</v>
          </cell>
          <cell r="R58">
            <v>251.85</v>
          </cell>
          <cell r="S58">
            <v>2.0929388252833997E-3</v>
          </cell>
          <cell r="V58">
            <v>37.970857036800005</v>
          </cell>
        </row>
        <row r="59">
          <cell r="A59">
            <v>46251</v>
          </cell>
          <cell r="B59">
            <v>231.16499999999999</v>
          </cell>
          <cell r="C59" t="str">
            <v/>
          </cell>
          <cell r="D59">
            <v>409.21694295012003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0</v>
          </cell>
          <cell r="J59" t="str">
            <v>0</v>
          </cell>
          <cell r="L59">
            <v>60.416140806084968</v>
          </cell>
          <cell r="M59">
            <v>53</v>
          </cell>
          <cell r="N59">
            <v>493.21614080608498</v>
          </cell>
          <cell r="O59">
            <v>3.265751824406403</v>
          </cell>
          <cell r="P59">
            <v>412.48269477452641</v>
          </cell>
          <cell r="Q59">
            <v>231.459</v>
          </cell>
          <cell r="R59">
            <v>251.85</v>
          </cell>
          <cell r="S59">
            <v>2.0929388252833997E-3</v>
          </cell>
          <cell r="V59">
            <v>51.764447741400005</v>
          </cell>
        </row>
        <row r="60">
          <cell r="A60">
            <v>46252</v>
          </cell>
          <cell r="B60">
            <v>231.459</v>
          </cell>
          <cell r="C60" t="str">
            <v/>
          </cell>
          <cell r="D60">
            <v>412.47297046735201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0</v>
          </cell>
          <cell r="J60" t="str">
            <v>0</v>
          </cell>
          <cell r="L60">
            <v>34.400262581315424</v>
          </cell>
          <cell r="M60">
            <v>53</v>
          </cell>
          <cell r="N60">
            <v>467.20026258131543</v>
          </cell>
          <cell r="O60">
            <v>8.3259856150045124</v>
          </cell>
          <cell r="P60">
            <v>420.79895608235654</v>
          </cell>
          <cell r="Q60">
            <v>232.21</v>
          </cell>
          <cell r="R60">
            <v>251.85</v>
          </cell>
          <cell r="S60">
            <v>2.0929388252833997E-3</v>
          </cell>
          <cell r="V60">
            <v>109.59538415940001</v>
          </cell>
        </row>
        <row r="61">
          <cell r="A61">
            <v>46253</v>
          </cell>
          <cell r="B61">
            <v>232.21</v>
          </cell>
          <cell r="C61" t="str">
            <v/>
          </cell>
          <cell r="D61">
            <v>420.79023803688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0</v>
          </cell>
          <cell r="J61" t="str">
            <v>0</v>
          </cell>
          <cell r="L61">
            <v>68.706654256295792</v>
          </cell>
          <cell r="M61">
            <v>53</v>
          </cell>
          <cell r="N61">
            <v>501.5066542562958</v>
          </cell>
          <cell r="O61">
            <v>2.6716569457266997</v>
          </cell>
          <cell r="P61">
            <v>423.46189498260668</v>
          </cell>
          <cell r="Q61">
            <v>232.45099999999999</v>
          </cell>
          <cell r="R61">
            <v>251.85</v>
          </cell>
          <cell r="S61">
            <v>2.0929388252833997E-3</v>
          </cell>
          <cell r="V61">
            <v>45.123098692950002</v>
          </cell>
        </row>
        <row r="62">
          <cell r="A62">
            <v>46254</v>
          </cell>
          <cell r="B62">
            <v>232.45099999999999</v>
          </cell>
          <cell r="C62" t="str">
            <v/>
          </cell>
          <cell r="D62">
            <v>423.45929460712802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0</v>
          </cell>
          <cell r="J62" t="str">
            <v>0</v>
          </cell>
          <cell r="L62">
            <v>95.1555989174567</v>
          </cell>
          <cell r="M62">
            <v>53</v>
          </cell>
          <cell r="N62">
            <v>527.95559891745665</v>
          </cell>
          <cell r="O62">
            <v>1.9183723895382472</v>
          </cell>
          <cell r="P62">
            <v>425.37766699666628</v>
          </cell>
          <cell r="Q62">
            <v>232.624</v>
          </cell>
          <cell r="R62">
            <v>251.85</v>
          </cell>
          <cell r="S62">
            <v>2.0929388252833997E-3</v>
          </cell>
          <cell r="V62">
            <v>37.153462844700002</v>
          </cell>
        </row>
        <row r="63">
          <cell r="A63">
            <v>46255</v>
          </cell>
          <cell r="B63">
            <v>232.624</v>
          </cell>
          <cell r="C63" t="str">
            <v/>
          </cell>
          <cell r="D63">
            <v>425.375256377472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300</v>
          </cell>
          <cell r="J63" t="str">
            <v>0</v>
          </cell>
          <cell r="L63">
            <v>83.117827772127569</v>
          </cell>
          <cell r="M63">
            <v>53</v>
          </cell>
          <cell r="N63">
            <v>815.91782777212757</v>
          </cell>
          <cell r="O63">
            <v>0.92253159098572768</v>
          </cell>
          <cell r="P63">
            <v>426.29778796845773</v>
          </cell>
          <cell r="Q63">
            <v>232.70699999999999</v>
          </cell>
          <cell r="R63">
            <v>251.85</v>
          </cell>
          <cell r="S63">
            <v>1.3918762945303399E-2</v>
          </cell>
          <cell r="V63">
            <v>33.781690564649999</v>
          </cell>
        </row>
        <row r="64">
          <cell r="A64">
            <v>46256</v>
          </cell>
          <cell r="B64">
            <v>232.70699999999999</v>
          </cell>
          <cell r="C64" t="str">
            <v/>
          </cell>
          <cell r="D64">
            <v>426.29447503029598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300</v>
          </cell>
          <cell r="J64" t="str">
            <v>0</v>
          </cell>
          <cell r="L64">
            <v>85.529887155666401</v>
          </cell>
          <cell r="M64">
            <v>53</v>
          </cell>
          <cell r="N64">
            <v>818.32988715566637</v>
          </cell>
          <cell r="O64">
            <v>2.1755087976663727</v>
          </cell>
          <cell r="P64">
            <v>428.46998382796238</v>
          </cell>
          <cell r="Q64">
            <v>232.90299999999999</v>
          </cell>
          <cell r="R64">
            <v>251.85</v>
          </cell>
          <cell r="S64">
            <v>1.3918762945303399E-2</v>
          </cell>
          <cell r="V64">
            <v>48.352069098450002</v>
          </cell>
        </row>
        <row r="65">
          <cell r="A65">
            <v>46257</v>
          </cell>
          <cell r="B65">
            <v>232.90299999999999</v>
          </cell>
          <cell r="C65" t="str">
            <v/>
          </cell>
          <cell r="D65">
            <v>428.46516004178397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300</v>
          </cell>
          <cell r="J65" t="str">
            <v>0</v>
          </cell>
          <cell r="L65">
            <v>76.438916034818064</v>
          </cell>
          <cell r="M65">
            <v>53</v>
          </cell>
          <cell r="N65">
            <v>809.23891603481798</v>
          </cell>
          <cell r="O65">
            <v>1.2319272560354628</v>
          </cell>
          <cell r="P65">
            <v>429.69708729781945</v>
          </cell>
          <cell r="Q65">
            <v>233.01400000000001</v>
          </cell>
          <cell r="R65">
            <v>251.85</v>
          </cell>
          <cell r="S65">
            <v>1.3918762945303399E-2</v>
          </cell>
          <cell r="V65">
            <v>37.173539491349999</v>
          </cell>
        </row>
        <row r="66">
          <cell r="A66">
            <v>46258</v>
          </cell>
          <cell r="B66">
            <v>233.01400000000001</v>
          </cell>
          <cell r="C66" t="str">
            <v/>
          </cell>
          <cell r="D66">
            <v>429.69447655339201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300</v>
          </cell>
          <cell r="J66" t="str">
            <v>0</v>
          </cell>
          <cell r="L66">
            <v>68.250653547024527</v>
          </cell>
          <cell r="M66">
            <v>53</v>
          </cell>
          <cell r="N66">
            <v>801.05065354702447</v>
          </cell>
          <cell r="O66">
            <v>0.85765628024406293</v>
          </cell>
          <cell r="P66">
            <v>430.55213283363605</v>
          </cell>
          <cell r="Q66">
            <v>233.09100000000001</v>
          </cell>
          <cell r="R66">
            <v>251.85</v>
          </cell>
          <cell r="S66">
            <v>1.3918762945303399E-2</v>
          </cell>
          <cell r="V66">
            <v>32.609826044249999</v>
          </cell>
        </row>
        <row r="67">
          <cell r="A67">
            <v>46259</v>
          </cell>
          <cell r="B67">
            <v>233.09100000000001</v>
          </cell>
          <cell r="C67" t="str">
            <v/>
          </cell>
          <cell r="D67">
            <v>430.54724566504802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300</v>
          </cell>
          <cell r="J67" t="str">
            <v>0</v>
          </cell>
          <cell r="L67">
            <v>53.859511916700505</v>
          </cell>
          <cell r="M67">
            <v>53</v>
          </cell>
          <cell r="N67">
            <v>786.65951191670047</v>
          </cell>
          <cell r="O67">
            <v>0.86966929291598016</v>
          </cell>
          <cell r="P67">
            <v>431.41691495796402</v>
          </cell>
          <cell r="Q67">
            <v>233.16900000000001</v>
          </cell>
          <cell r="R67">
            <v>251.85</v>
          </cell>
          <cell r="S67">
            <v>1.3918762945303399E-2</v>
          </cell>
          <cell r="V67">
            <v>32.341353989400005</v>
          </cell>
        </row>
        <row r="68">
          <cell r="A68">
            <v>46260</v>
          </cell>
          <cell r="B68">
            <v>233.16900000000001</v>
          </cell>
          <cell r="C68" t="str">
            <v/>
          </cell>
          <cell r="D68">
            <v>431.41108970023203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300</v>
          </cell>
          <cell r="J68" t="str">
            <v>0</v>
          </cell>
          <cell r="L68">
            <v>22.111285794596423</v>
          </cell>
          <cell r="M68">
            <v>53</v>
          </cell>
          <cell r="N68">
            <v>754.91128579459632</v>
          </cell>
          <cell r="O68">
            <v>6.7691489166038794</v>
          </cell>
          <cell r="P68">
            <v>438.18023861683588</v>
          </cell>
          <cell r="Q68">
            <v>233.78</v>
          </cell>
          <cell r="R68">
            <v>251.85</v>
          </cell>
          <cell r="S68">
            <v>1.3918762945303399E-2</v>
          </cell>
          <cell r="V68">
            <v>99.723478961850006</v>
          </cell>
        </row>
        <row r="69">
          <cell r="A69">
            <v>46261</v>
          </cell>
          <cell r="B69">
            <v>233.78</v>
          </cell>
          <cell r="C69" t="str">
            <v/>
          </cell>
          <cell r="D69">
            <v>438.17786797584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300</v>
          </cell>
          <cell r="J69" t="str">
            <v>0</v>
          </cell>
          <cell r="L69">
            <v>18.520067769921013</v>
          </cell>
          <cell r="M69">
            <v>53</v>
          </cell>
          <cell r="N69">
            <v>751.32006776992102</v>
          </cell>
          <cell r="O69">
            <v>1.976685274636361</v>
          </cell>
          <cell r="P69">
            <v>440.15455325047634</v>
          </cell>
          <cell r="Q69">
            <v>233.958</v>
          </cell>
          <cell r="R69">
            <v>251.85</v>
          </cell>
          <cell r="S69">
            <v>1.3918762945303399E-2</v>
          </cell>
          <cell r="V69">
            <v>44.153359847849998</v>
          </cell>
        </row>
        <row r="70">
          <cell r="A70">
            <v>46262</v>
          </cell>
          <cell r="B70">
            <v>233.958</v>
          </cell>
          <cell r="C70" t="str">
            <v/>
          </cell>
          <cell r="D70">
            <v>440.14920436382403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300</v>
          </cell>
          <cell r="J70" t="str">
            <v>0</v>
          </cell>
          <cell r="L70">
            <v>51.679417140300735</v>
          </cell>
          <cell r="M70">
            <v>53</v>
          </cell>
          <cell r="N70">
            <v>784.47941714030071</v>
          </cell>
          <cell r="O70">
            <v>1.2461136982895402</v>
          </cell>
          <cell r="P70">
            <v>441.39531806211357</v>
          </cell>
          <cell r="Q70">
            <v>234.07</v>
          </cell>
          <cell r="R70">
            <v>251.85</v>
          </cell>
          <cell r="S70">
            <v>1.3918762945303399E-2</v>
          </cell>
          <cell r="V70">
            <v>36.636623698500003</v>
          </cell>
        </row>
        <row r="71">
          <cell r="A71">
            <v>46263</v>
          </cell>
          <cell r="B71">
            <v>234.07</v>
          </cell>
          <cell r="C71" t="str">
            <v/>
          </cell>
          <cell r="D71">
            <v>441.38959579895999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300</v>
          </cell>
          <cell r="J71" t="str">
            <v>0</v>
          </cell>
          <cell r="L71">
            <v>46.709857394452762</v>
          </cell>
          <cell r="M71">
            <v>53</v>
          </cell>
          <cell r="N71">
            <v>779.50985739445275</v>
          </cell>
          <cell r="O71">
            <v>3.6012166183295502</v>
          </cell>
          <cell r="P71">
            <v>444.99081241728953</v>
          </cell>
          <cell r="Q71">
            <v>234.39500000000001</v>
          </cell>
          <cell r="R71">
            <v>251.85</v>
          </cell>
          <cell r="S71">
            <v>1.3918762945303399E-2</v>
          </cell>
          <cell r="V71">
            <v>63.754085199900004</v>
          </cell>
        </row>
        <row r="72">
          <cell r="A72">
            <v>46264</v>
          </cell>
          <cell r="B72">
            <v>234.39500000000001</v>
          </cell>
          <cell r="C72" t="str">
            <v/>
          </cell>
          <cell r="D72">
            <v>444.98894594555998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300</v>
          </cell>
          <cell r="J72" t="str">
            <v>0</v>
          </cell>
          <cell r="L72">
            <v>42.842598737604028</v>
          </cell>
          <cell r="M72">
            <v>53</v>
          </cell>
          <cell r="N72">
            <v>775.64259873760398</v>
          </cell>
          <cell r="O72">
            <v>2.6767435037472298</v>
          </cell>
          <cell r="P72">
            <v>447.66568944930719</v>
          </cell>
          <cell r="Q72">
            <v>234.636</v>
          </cell>
          <cell r="R72">
            <v>251.85</v>
          </cell>
          <cell r="S72">
            <v>1.3918762945303399E-2</v>
          </cell>
          <cell r="V72">
            <v>52.944637415700001</v>
          </cell>
        </row>
        <row r="73">
          <cell r="A73">
            <v>46265</v>
          </cell>
          <cell r="B73">
            <v>234.636</v>
          </cell>
          <cell r="C73" t="str">
            <v/>
          </cell>
          <cell r="D73">
            <v>447.65800251580799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300</v>
          </cell>
          <cell r="J73" t="str">
            <v>0</v>
          </cell>
          <cell r="L73">
            <v>44.075632504176376</v>
          </cell>
          <cell r="M73">
            <v>53</v>
          </cell>
          <cell r="N73">
            <v>776.87563250417634</v>
          </cell>
          <cell r="O73">
            <v>2.0409210748027355</v>
          </cell>
          <cell r="P73">
            <v>449.69892359061072</v>
          </cell>
          <cell r="Q73">
            <v>234.82</v>
          </cell>
          <cell r="R73">
            <v>251.85</v>
          </cell>
          <cell r="S73">
            <v>1.3918762945303399E-2</v>
          </cell>
          <cell r="V73">
            <v>45.620484163199997</v>
          </cell>
        </row>
        <row r="74">
          <cell r="A74">
            <v>46266</v>
          </cell>
          <cell r="B74">
            <v>234.82</v>
          </cell>
          <cell r="C74" t="str">
            <v/>
          </cell>
          <cell r="D74">
            <v>449.69578844495999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300</v>
          </cell>
          <cell r="J74" t="str">
            <v>0</v>
          </cell>
          <cell r="L74">
            <v>70.858849652821448</v>
          </cell>
          <cell r="M74">
            <v>53</v>
          </cell>
          <cell r="N74">
            <v>803.65884965282135</v>
          </cell>
          <cell r="O74">
            <v>1.575726988148725</v>
          </cell>
          <cell r="P74">
            <v>451.27151543310873</v>
          </cell>
          <cell r="Q74">
            <v>234.96199999999999</v>
          </cell>
          <cell r="R74">
            <v>251.85</v>
          </cell>
          <cell r="S74">
            <v>1.3918762945303399E-2</v>
          </cell>
          <cell r="V74">
            <v>40.994700180899997</v>
          </cell>
        </row>
        <row r="75">
          <cell r="A75">
            <v>46267</v>
          </cell>
          <cell r="B75">
            <v>234.96199999999999</v>
          </cell>
          <cell r="C75" t="str">
            <v/>
          </cell>
          <cell r="D75">
            <v>451.26842758593602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300</v>
          </cell>
          <cell r="J75" t="str">
            <v>0</v>
          </cell>
          <cell r="L75">
            <v>77.626443972739139</v>
          </cell>
          <cell r="M75">
            <v>53</v>
          </cell>
          <cell r="N75">
            <v>810.42644397273909</v>
          </cell>
          <cell r="O75">
            <v>1.3815411525601411</v>
          </cell>
          <cell r="P75">
            <v>452.64996873849617</v>
          </cell>
          <cell r="Q75">
            <v>235.08</v>
          </cell>
          <cell r="R75">
            <v>251.85</v>
          </cell>
          <cell r="S75">
            <v>1.3918762945303399E-2</v>
          </cell>
          <cell r="V75">
            <v>38.938811920350005</v>
          </cell>
        </row>
        <row r="76">
          <cell r="A76">
            <v>46268</v>
          </cell>
          <cell r="B76">
            <v>235.08</v>
          </cell>
          <cell r="C76" t="str">
            <v/>
          </cell>
          <cell r="D76">
            <v>452.6443829136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300</v>
          </cell>
          <cell r="J76" t="str">
            <v>0</v>
          </cell>
          <cell r="L76">
            <v>45.458441030039936</v>
          </cell>
          <cell r="M76">
            <v>53</v>
          </cell>
          <cell r="N76">
            <v>778.25844103003988</v>
          </cell>
          <cell r="O76">
            <v>1.271509052219185</v>
          </cell>
          <cell r="P76">
            <v>453.91589196581918</v>
          </cell>
          <cell r="Q76">
            <v>235.18600000000001</v>
          </cell>
          <cell r="R76">
            <v>251.85</v>
          </cell>
          <cell r="S76">
            <v>1.3918762945303399E-2</v>
          </cell>
          <cell r="V76">
            <v>36.754393477650005</v>
          </cell>
        </row>
        <row r="77">
          <cell r="A77">
            <v>46269</v>
          </cell>
          <cell r="B77">
            <v>235.18600000000001</v>
          </cell>
          <cell r="C77" t="str">
            <v/>
          </cell>
          <cell r="D77">
            <v>453.90990132311998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300</v>
          </cell>
          <cell r="J77" t="str">
            <v>0</v>
          </cell>
          <cell r="L77">
            <v>55.626049861186019</v>
          </cell>
          <cell r="M77">
            <v>53</v>
          </cell>
          <cell r="N77">
            <v>788.42604986118602</v>
          </cell>
          <cell r="O77">
            <v>1.0912074745038425</v>
          </cell>
          <cell r="P77">
            <v>455.00110879762383</v>
          </cell>
          <cell r="Q77">
            <v>235.27699999999999</v>
          </cell>
          <cell r="R77">
            <v>251.85</v>
          </cell>
          <cell r="S77">
            <v>1.3918762945303399E-2</v>
          </cell>
          <cell r="V77">
            <v>34.955480630850005</v>
          </cell>
        </row>
        <row r="78">
          <cell r="A78">
            <v>46270</v>
          </cell>
          <cell r="B78">
            <v>235.27699999999999</v>
          </cell>
          <cell r="C78" t="str">
            <v/>
          </cell>
          <cell r="D78">
            <v>454.99633693883999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300</v>
          </cell>
          <cell r="J78" t="str">
            <v>0</v>
          </cell>
          <cell r="L78">
            <v>45.712214933288379</v>
          </cell>
          <cell r="M78">
            <v>53</v>
          </cell>
          <cell r="N78">
            <v>778.51221493328831</v>
          </cell>
          <cell r="O78">
            <v>0.92086942170617814</v>
          </cell>
          <cell r="P78">
            <v>455.91720636054617</v>
          </cell>
          <cell r="Q78">
            <v>235.35400000000001</v>
          </cell>
          <cell r="R78">
            <v>251.85</v>
          </cell>
          <cell r="S78">
            <v>1.3918762945303399E-2</v>
          </cell>
          <cell r="V78">
            <v>32.7032433324</v>
          </cell>
        </row>
        <row r="79">
          <cell r="A79">
            <v>46271</v>
          </cell>
          <cell r="B79">
            <v>235.35400000000001</v>
          </cell>
          <cell r="C79" t="str">
            <v/>
          </cell>
          <cell r="D79">
            <v>455.91562861367998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300</v>
          </cell>
          <cell r="J79" t="str">
            <v>0</v>
          </cell>
          <cell r="L79">
            <v>28.610733818124299</v>
          </cell>
          <cell r="M79">
            <v>53</v>
          </cell>
          <cell r="N79">
            <v>761.4107338181243</v>
          </cell>
          <cell r="O79">
            <v>3.0804543863497953</v>
          </cell>
          <cell r="P79">
            <v>458.99608300002978</v>
          </cell>
          <cell r="Q79">
            <v>235.61199999999999</v>
          </cell>
          <cell r="R79">
            <v>251.85</v>
          </cell>
          <cell r="S79">
            <v>1.3918762945303399E-2</v>
          </cell>
          <cell r="V79">
            <v>57.214223741849999</v>
          </cell>
        </row>
        <row r="80">
          <cell r="A80">
            <v>46272</v>
          </cell>
          <cell r="B80">
            <v>235.61199999999999</v>
          </cell>
          <cell r="C80" t="str">
            <v/>
          </cell>
          <cell r="D80">
            <v>458.99585266704003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300</v>
          </cell>
          <cell r="J80" t="str">
            <v>0</v>
          </cell>
          <cell r="L80">
            <v>31.540846760576208</v>
          </cell>
          <cell r="M80">
            <v>53</v>
          </cell>
          <cell r="N80">
            <v>764.34084676057614</v>
          </cell>
          <cell r="O80">
            <v>6.7622066207582492</v>
          </cell>
          <cell r="P80">
            <v>465.75805928779829</v>
          </cell>
          <cell r="Q80">
            <v>236.178</v>
          </cell>
          <cell r="R80">
            <v>251.85</v>
          </cell>
          <cell r="S80">
            <v>1.3918762945303399E-2</v>
          </cell>
          <cell r="V80">
            <v>99.910143637050012</v>
          </cell>
        </row>
        <row r="81">
          <cell r="A81">
            <v>46273</v>
          </cell>
          <cell r="B81">
            <v>236.178</v>
          </cell>
          <cell r="C81" t="str">
            <v/>
          </cell>
          <cell r="D81">
            <v>465.75324341976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300</v>
          </cell>
          <cell r="J81" t="str">
            <v>0</v>
          </cell>
          <cell r="L81">
            <v>30.30107435577904</v>
          </cell>
          <cell r="M81">
            <v>53</v>
          </cell>
          <cell r="N81">
            <v>763.10107435577902</v>
          </cell>
          <cell r="O81">
            <v>2.5559673370285489</v>
          </cell>
          <cell r="P81">
            <v>468.30921075678856</v>
          </cell>
          <cell r="Q81">
            <v>236.392</v>
          </cell>
          <cell r="R81">
            <v>251.85</v>
          </cell>
          <cell r="S81">
            <v>1.3918762945303399E-2</v>
          </cell>
          <cell r="V81">
            <v>51.191626182750007</v>
          </cell>
        </row>
        <row r="82">
          <cell r="A82">
            <v>46274</v>
          </cell>
          <cell r="B82">
            <v>236.392</v>
          </cell>
          <cell r="C82" t="str">
            <v/>
          </cell>
          <cell r="D82">
            <v>468.30815794464002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300</v>
          </cell>
          <cell r="J82" t="str">
            <v>0</v>
          </cell>
          <cell r="L82">
            <v>46.54355656862996</v>
          </cell>
          <cell r="M82">
            <v>53</v>
          </cell>
          <cell r="N82">
            <v>779.34355656862988</v>
          </cell>
          <cell r="O82">
            <v>1.6706571267476811</v>
          </cell>
          <cell r="P82">
            <v>469.97881507138771</v>
          </cell>
          <cell r="Q82">
            <v>236.53100000000001</v>
          </cell>
          <cell r="R82">
            <v>251.85</v>
          </cell>
          <cell r="S82">
            <v>1.3918762945303399E-2</v>
          </cell>
          <cell r="V82">
            <v>41.404898070000002</v>
          </cell>
        </row>
        <row r="83">
          <cell r="A83">
            <v>46275</v>
          </cell>
          <cell r="B83">
            <v>236.53100000000001</v>
          </cell>
          <cell r="C83" t="str">
            <v/>
          </cell>
          <cell r="D83">
            <v>469.96765850051997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300</v>
          </cell>
          <cell r="J83" t="str">
            <v>0</v>
          </cell>
          <cell r="L83">
            <v>35.065795977156512</v>
          </cell>
          <cell r="M83">
            <v>53</v>
          </cell>
          <cell r="N83">
            <v>767.86579597715649</v>
          </cell>
          <cell r="O83">
            <v>2.4699734757452783</v>
          </cell>
          <cell r="P83">
            <v>472.43763197626527</v>
          </cell>
          <cell r="Q83">
            <v>236.73699999999999</v>
          </cell>
          <cell r="R83">
            <v>251.85</v>
          </cell>
          <cell r="S83">
            <v>1.3918762945303399E-2</v>
          </cell>
          <cell r="V83">
            <v>50.331247012350005</v>
          </cell>
        </row>
        <row r="84">
          <cell r="A84">
            <v>46276</v>
          </cell>
          <cell r="B84">
            <v>236.73699999999999</v>
          </cell>
          <cell r="C84" t="str">
            <v/>
          </cell>
          <cell r="D84">
            <v>472.42706220204002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300</v>
          </cell>
          <cell r="J84" t="str">
            <v>0</v>
          </cell>
          <cell r="L84">
            <v>26.710851495942933</v>
          </cell>
          <cell r="M84">
            <v>53</v>
          </cell>
          <cell r="N84">
            <v>759.51085149594292</v>
          </cell>
          <cell r="O84">
            <v>1.3475010059677164</v>
          </cell>
          <cell r="P84">
            <v>473.77456320800775</v>
          </cell>
          <cell r="Q84">
            <v>236.84899999999999</v>
          </cell>
          <cell r="R84">
            <v>251.85</v>
          </cell>
          <cell r="S84">
            <v>1.3918762945303399E-2</v>
          </cell>
          <cell r="V84">
            <v>37.103058851699998</v>
          </cell>
        </row>
        <row r="85">
          <cell r="A85">
            <v>46277</v>
          </cell>
          <cell r="B85">
            <v>236.84899999999999</v>
          </cell>
          <cell r="C85" t="str">
            <v/>
          </cell>
          <cell r="D85">
            <v>473.76421372907998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300</v>
          </cell>
          <cell r="J85" t="str">
            <v>0</v>
          </cell>
          <cell r="L85">
            <v>76.031796925144761</v>
          </cell>
          <cell r="M85">
            <v>53</v>
          </cell>
          <cell r="N85">
            <v>808.83179692514477</v>
          </cell>
          <cell r="O85">
            <v>1.4196970184627573</v>
          </cell>
          <cell r="P85">
            <v>475.18391074754277</v>
          </cell>
          <cell r="Q85">
            <v>236.96700000000001</v>
          </cell>
          <cell r="R85">
            <v>251.85</v>
          </cell>
          <cell r="S85">
            <v>1.3918762945303399E-2</v>
          </cell>
          <cell r="V85">
            <v>39.335276137200005</v>
          </cell>
        </row>
        <row r="86">
          <cell r="A86">
            <v>46278</v>
          </cell>
          <cell r="B86">
            <v>236.96700000000001</v>
          </cell>
          <cell r="C86" t="str">
            <v/>
          </cell>
          <cell r="D86">
            <v>475.17299837363998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300</v>
          </cell>
          <cell r="J86" t="str">
            <v>0</v>
          </cell>
          <cell r="L86">
            <v>90.877528201926509</v>
          </cell>
          <cell r="M86">
            <v>53</v>
          </cell>
          <cell r="N86">
            <v>823.67752820192641</v>
          </cell>
          <cell r="O86">
            <v>0.9329791842960502</v>
          </cell>
          <cell r="P86">
            <v>476.10597755793606</v>
          </cell>
          <cell r="Q86">
            <v>237.04499999999999</v>
          </cell>
          <cell r="R86">
            <v>251.85</v>
          </cell>
          <cell r="S86">
            <v>1.3918762945303399E-2</v>
          </cell>
          <cell r="V86">
            <v>34.12234227015</v>
          </cell>
        </row>
        <row r="87">
          <cell r="A87">
            <v>46279</v>
          </cell>
          <cell r="B87">
            <v>237.04499999999999</v>
          </cell>
          <cell r="C87" t="str">
            <v/>
          </cell>
          <cell r="D87">
            <v>476.10422890140001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300</v>
          </cell>
          <cell r="J87" t="str">
            <v>0</v>
          </cell>
          <cell r="L87">
            <v>85.804083354581735</v>
          </cell>
          <cell r="M87">
            <v>53</v>
          </cell>
          <cell r="N87">
            <v>818.60408335458169</v>
          </cell>
          <cell r="O87">
            <v>2.0121189318315342</v>
          </cell>
          <cell r="P87">
            <v>478.11634783323154</v>
          </cell>
          <cell r="Q87">
            <v>237.21299999999999</v>
          </cell>
          <cell r="R87">
            <v>251.85</v>
          </cell>
          <cell r="S87">
            <v>1.3918762945303399E-2</v>
          </cell>
          <cell r="V87">
            <v>46.468743721800003</v>
          </cell>
        </row>
        <row r="88">
          <cell r="A88">
            <v>46280</v>
          </cell>
          <cell r="B88">
            <v>237.21299999999999</v>
          </cell>
          <cell r="C88" t="str">
            <v/>
          </cell>
          <cell r="D88">
            <v>478.10995619196001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300</v>
          </cell>
          <cell r="J88" t="str">
            <v>0</v>
          </cell>
          <cell r="L88">
            <v>85.196083030628031</v>
          </cell>
          <cell r="M88">
            <v>53</v>
          </cell>
          <cell r="N88">
            <v>817.99608303062803</v>
          </cell>
          <cell r="O88">
            <v>6.4859514195258701</v>
          </cell>
          <cell r="P88">
            <v>484.59590761148587</v>
          </cell>
          <cell r="Q88">
            <v>237.756</v>
          </cell>
          <cell r="R88">
            <v>251.85</v>
          </cell>
          <cell r="S88">
            <v>1.3918762945303399E-2</v>
          </cell>
          <cell r="V88">
            <v>98.232087106050002</v>
          </cell>
        </row>
        <row r="89">
          <cell r="A89">
            <v>46281</v>
          </cell>
          <cell r="B89">
            <v>237.756</v>
          </cell>
          <cell r="C89" t="str">
            <v/>
          </cell>
          <cell r="D89">
            <v>484.59275332751997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300</v>
          </cell>
          <cell r="J89" t="str">
            <v>0</v>
          </cell>
          <cell r="L89">
            <v>83.052905849650671</v>
          </cell>
          <cell r="M89">
            <v>53</v>
          </cell>
          <cell r="N89">
            <v>815.8529058496506</v>
          </cell>
          <cell r="O89">
            <v>1.5052411251679632</v>
          </cell>
          <cell r="P89">
            <v>486.09799445268794</v>
          </cell>
          <cell r="Q89">
            <v>237.88200000000001</v>
          </cell>
          <cell r="R89">
            <v>251.85</v>
          </cell>
          <cell r="S89">
            <v>1.3918762945303399E-2</v>
          </cell>
          <cell r="V89">
            <v>40.524187401299997</v>
          </cell>
        </row>
        <row r="90">
          <cell r="A90">
            <v>46282</v>
          </cell>
          <cell r="B90">
            <v>237.88200000000001</v>
          </cell>
          <cell r="C90" t="str">
            <v/>
          </cell>
          <cell r="D90">
            <v>486.09704879544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300</v>
          </cell>
          <cell r="J90" t="str">
            <v>0</v>
          </cell>
          <cell r="L90">
            <v>50.901056125465132</v>
          </cell>
          <cell r="M90">
            <v>53</v>
          </cell>
          <cell r="N90">
            <v>783.70105612546513</v>
          </cell>
          <cell r="O90">
            <v>0.96757241398615546</v>
          </cell>
          <cell r="P90">
            <v>487.06462120942615</v>
          </cell>
          <cell r="Q90">
            <v>237.96299999999999</v>
          </cell>
          <cell r="R90">
            <v>251.85</v>
          </cell>
          <cell r="S90">
            <v>1.3918762945303399E-2</v>
          </cell>
          <cell r="V90">
            <v>33.390719816699999</v>
          </cell>
        </row>
        <row r="91">
          <cell r="A91">
            <v>46283</v>
          </cell>
          <cell r="B91">
            <v>237.96299999999999</v>
          </cell>
          <cell r="C91" t="str">
            <v/>
          </cell>
          <cell r="D91">
            <v>487.06409588195999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300</v>
          </cell>
          <cell r="J91" t="str">
            <v>0</v>
          </cell>
          <cell r="L91">
            <v>37.272425313020534</v>
          </cell>
          <cell r="M91">
            <v>53</v>
          </cell>
          <cell r="N91">
            <v>770.07242531302052</v>
          </cell>
          <cell r="O91">
            <v>0.74016024138687708</v>
          </cell>
          <cell r="P91">
            <v>487.80425612334687</v>
          </cell>
          <cell r="Q91">
            <v>238.024</v>
          </cell>
          <cell r="R91">
            <v>251.85</v>
          </cell>
          <cell r="S91">
            <v>1.3918762945303399E-2</v>
          </cell>
          <cell r="V91">
            <v>30.372709943700002</v>
          </cell>
        </row>
        <row r="92">
          <cell r="A92">
            <v>46284</v>
          </cell>
          <cell r="B92">
            <v>238.024</v>
          </cell>
          <cell r="C92" t="str">
            <v/>
          </cell>
          <cell r="D92">
            <v>487.79236591007998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300</v>
          </cell>
          <cell r="J92" t="str">
            <v>0</v>
          </cell>
          <cell r="L92">
            <v>68.696140276928347</v>
          </cell>
          <cell r="M92">
            <v>53</v>
          </cell>
          <cell r="N92">
            <v>801.49614027692826</v>
          </cell>
          <cell r="O92">
            <v>1.1089815953880626</v>
          </cell>
          <cell r="P92">
            <v>488.90134750546804</v>
          </cell>
          <cell r="Q92">
            <v>238.11600000000001</v>
          </cell>
          <cell r="R92">
            <v>251.85</v>
          </cell>
          <cell r="S92">
            <v>1.3918762945303399E-2</v>
          </cell>
          <cell r="V92">
            <v>35.531303775600001</v>
          </cell>
        </row>
        <row r="93">
          <cell r="A93">
            <v>46285</v>
          </cell>
          <cell r="B93">
            <v>238.11600000000001</v>
          </cell>
          <cell r="C93" t="str">
            <v/>
          </cell>
          <cell r="D93">
            <v>488.89074037872001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300</v>
          </cell>
          <cell r="J93" t="str">
            <v>0</v>
          </cell>
          <cell r="L93">
            <v>67.2503751876595</v>
          </cell>
          <cell r="M93">
            <v>53</v>
          </cell>
          <cell r="N93">
            <v>800.05037518765948</v>
          </cell>
          <cell r="O93">
            <v>0.41807656312871766</v>
          </cell>
          <cell r="P93">
            <v>489.3088169418487</v>
          </cell>
          <cell r="Q93">
            <v>238.15100000000001</v>
          </cell>
          <cell r="R93">
            <v>251.85</v>
          </cell>
          <cell r="S93">
            <v>1.3918762945303399E-2</v>
          </cell>
          <cell r="V93">
            <v>27.493764121050003</v>
          </cell>
        </row>
        <row r="94">
          <cell r="A94">
            <v>46286</v>
          </cell>
          <cell r="B94">
            <v>238.15100000000001</v>
          </cell>
          <cell r="C94" t="str">
            <v/>
          </cell>
          <cell r="D94">
            <v>489.30860023091998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I94">
            <v>300</v>
          </cell>
          <cell r="J94" t="str">
            <v>0</v>
          </cell>
          <cell r="L94">
            <v>46.203698539186227</v>
          </cell>
          <cell r="M94">
            <v>53</v>
          </cell>
          <cell r="N94">
            <v>779.00369853918619</v>
          </cell>
          <cell r="O94">
            <v>0.18162931404720137</v>
          </cell>
          <cell r="P94">
            <v>489.49022954496718</v>
          </cell>
          <cell r="Q94">
            <v>238.166</v>
          </cell>
          <cell r="R94">
            <v>251.85</v>
          </cell>
          <cell r="S94">
            <v>1.3918762945303399E-2</v>
          </cell>
          <cell r="V94">
            <v>24.1611257277</v>
          </cell>
        </row>
        <row r="95">
          <cell r="A95">
            <v>46287</v>
          </cell>
          <cell r="B95">
            <v>238.166</v>
          </cell>
          <cell r="C95" t="str">
            <v/>
          </cell>
          <cell r="D95">
            <v>489.48768302472001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I95">
            <v>300</v>
          </cell>
          <cell r="J95" t="str">
            <v>0</v>
          </cell>
          <cell r="L95">
            <v>80.36161599755782</v>
          </cell>
          <cell r="M95">
            <v>53</v>
          </cell>
          <cell r="N95">
            <v>813.16161599755776</v>
          </cell>
          <cell r="O95">
            <v>8.1121911378078698E-2</v>
          </cell>
          <cell r="P95">
            <v>489.5688049360981</v>
          </cell>
          <cell r="Q95">
            <v>238.172</v>
          </cell>
          <cell r="R95">
            <v>251.85</v>
          </cell>
          <cell r="S95">
            <v>1.3918762945303399E-2</v>
          </cell>
          <cell r="V95">
            <v>23.965088175150001</v>
          </cell>
        </row>
        <row r="96">
          <cell r="A96">
            <v>46288</v>
          </cell>
          <cell r="B96">
            <v>238.172</v>
          </cell>
          <cell r="C96" t="str">
            <v/>
          </cell>
          <cell r="D96">
            <v>489.55931614223999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I96">
            <v>300</v>
          </cell>
          <cell r="J96" t="str">
            <v>0</v>
          </cell>
          <cell r="L96">
            <v>82.04737153643363</v>
          </cell>
          <cell r="M96">
            <v>53</v>
          </cell>
          <cell r="N96">
            <v>814.84737153643357</v>
          </cell>
          <cell r="O96">
            <v>4.3283339696169021</v>
          </cell>
          <cell r="P96">
            <v>493.88765011185689</v>
          </cell>
          <cell r="Q96">
            <v>238.53399999999999</v>
          </cell>
          <cell r="R96">
            <v>251.85</v>
          </cell>
          <cell r="S96">
            <v>1.3918762945303399E-2</v>
          </cell>
          <cell r="V96">
            <v>73.170457231499995</v>
          </cell>
        </row>
        <row r="97">
          <cell r="A97">
            <v>46289</v>
          </cell>
          <cell r="B97">
            <v>238.53399999999999</v>
          </cell>
          <cell r="C97" t="str">
            <v/>
          </cell>
          <cell r="D97">
            <v>493.88118089928003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I97">
            <v>300</v>
          </cell>
          <cell r="J97" t="str">
            <v>0</v>
          </cell>
          <cell r="L97">
            <v>64.021064082278329</v>
          </cell>
          <cell r="M97">
            <v>53</v>
          </cell>
          <cell r="N97">
            <v>796.82106408227833</v>
          </cell>
          <cell r="O97">
            <v>0.86635528416532304</v>
          </cell>
          <cell r="P97">
            <v>494.74753618344533</v>
          </cell>
          <cell r="Q97">
            <v>238.60599999999999</v>
          </cell>
          <cell r="R97">
            <v>251.85</v>
          </cell>
          <cell r="S97">
            <v>1.3918762945303399E-2</v>
          </cell>
          <cell r="V97">
            <v>32.590740487350004</v>
          </cell>
        </row>
        <row r="98">
          <cell r="A98">
            <v>46290</v>
          </cell>
          <cell r="B98">
            <v>238.60599999999999</v>
          </cell>
          <cell r="C98" t="str">
            <v/>
          </cell>
          <cell r="D98">
            <v>494.74077830952001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I98">
            <v>300</v>
          </cell>
          <cell r="J98" t="str">
            <v>0</v>
          </cell>
          <cell r="L98">
            <v>87.581107208644312</v>
          </cell>
          <cell r="M98">
            <v>53</v>
          </cell>
          <cell r="N98">
            <v>820.38110720864427</v>
          </cell>
          <cell r="O98">
            <v>0.3344607439195042</v>
          </cell>
          <cell r="P98">
            <v>495.07523905343953</v>
          </cell>
          <cell r="Q98">
            <v>238.63399999999999</v>
          </cell>
          <cell r="R98">
            <v>251.85</v>
          </cell>
          <cell r="S98">
            <v>1.3918762945303399E-2</v>
          </cell>
          <cell r="V98">
            <v>27.101689015950001</v>
          </cell>
        </row>
        <row r="99">
          <cell r="A99">
            <v>46291</v>
          </cell>
          <cell r="B99">
            <v>238.63399999999999</v>
          </cell>
          <cell r="C99" t="str">
            <v/>
          </cell>
          <cell r="D99">
            <v>495.07506619127997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I99">
            <v>300</v>
          </cell>
          <cell r="J99" t="str">
            <v>0</v>
          </cell>
          <cell r="L99">
            <v>81.071101934175076</v>
          </cell>
          <cell r="M99">
            <v>53</v>
          </cell>
          <cell r="N99">
            <v>813.87110193417504</v>
          </cell>
          <cell r="O99">
            <v>2.8837589218056312</v>
          </cell>
          <cell r="P99">
            <v>497.9588251130856</v>
          </cell>
          <cell r="Q99">
            <v>238.875</v>
          </cell>
          <cell r="R99">
            <v>251.85</v>
          </cell>
          <cell r="S99">
            <v>1.3918762945303399E-2</v>
          </cell>
          <cell r="V99">
            <v>56.423164220250001</v>
          </cell>
        </row>
        <row r="100">
          <cell r="A100">
            <v>46292</v>
          </cell>
          <cell r="B100">
            <v>238.875</v>
          </cell>
          <cell r="C100" t="str">
            <v/>
          </cell>
          <cell r="D100">
            <v>497.95232974499999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I100">
            <v>300</v>
          </cell>
          <cell r="J100" t="str">
            <v>0</v>
          </cell>
          <cell r="L100">
            <v>51.714640862581632</v>
          </cell>
          <cell r="M100">
            <v>53</v>
          </cell>
          <cell r="N100">
            <v>784.51464086258159</v>
          </cell>
          <cell r="O100">
            <v>2.1403864194989</v>
          </cell>
          <cell r="P100">
            <v>500.09271616449888</v>
          </cell>
          <cell r="Q100">
            <v>239.054</v>
          </cell>
          <cell r="R100">
            <v>251.85</v>
          </cell>
          <cell r="S100">
            <v>1.3918762945303399E-2</v>
          </cell>
          <cell r="V100">
            <v>46.988018117100005</v>
          </cell>
        </row>
        <row r="101">
          <cell r="A101">
            <v>46293</v>
          </cell>
          <cell r="B101">
            <v>239.054</v>
          </cell>
          <cell r="C101" t="str">
            <v/>
          </cell>
          <cell r="D101">
            <v>500.08938441767998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I101">
            <v>300</v>
          </cell>
          <cell r="J101" t="str">
            <v>0</v>
          </cell>
          <cell r="L101">
            <v>45.271996890706212</v>
          </cell>
          <cell r="M101">
            <v>53</v>
          </cell>
          <cell r="N101">
            <v>778.07199689070615</v>
          </cell>
          <cell r="O101">
            <v>1.5963169738330296</v>
          </cell>
          <cell r="P101">
            <v>501.68570139151302</v>
          </cell>
          <cell r="Q101">
            <v>239.18700000000001</v>
          </cell>
          <cell r="R101">
            <v>251.85</v>
          </cell>
          <cell r="S101">
            <v>1.3918762945303399E-2</v>
          </cell>
          <cell r="V101">
            <v>40.508471549549995</v>
          </cell>
        </row>
        <row r="102">
          <cell r="A102">
            <v>46294</v>
          </cell>
          <cell r="B102">
            <v>239.18700000000001</v>
          </cell>
          <cell r="C102" t="str">
            <v/>
          </cell>
          <cell r="D102">
            <v>501.67725185604002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I102">
            <v>300</v>
          </cell>
          <cell r="J102" t="str">
            <v>0</v>
          </cell>
          <cell r="L102">
            <v>39.441820120793743</v>
          </cell>
          <cell r="M102">
            <v>53</v>
          </cell>
          <cell r="N102">
            <v>772.2418201207937</v>
          </cell>
          <cell r="O102">
            <v>1.2570024022044628</v>
          </cell>
          <cell r="P102">
            <v>502.93425425824449</v>
          </cell>
          <cell r="Q102">
            <v>239.292</v>
          </cell>
          <cell r="R102">
            <v>251.85</v>
          </cell>
          <cell r="S102">
            <v>1.3918762945303399E-2</v>
          </cell>
          <cell r="V102">
            <v>36.416120387550002</v>
          </cell>
        </row>
        <row r="103">
          <cell r="A103">
            <v>46295</v>
          </cell>
          <cell r="B103">
            <v>239.292</v>
          </cell>
          <cell r="C103" t="str">
            <v/>
          </cell>
          <cell r="D103">
            <v>502.93083141263998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I103">
            <v>300</v>
          </cell>
          <cell r="J103" t="str">
            <v>0</v>
          </cell>
          <cell r="L103">
            <v>41.408922853972669</v>
          </cell>
          <cell r="M103">
            <v>53</v>
          </cell>
          <cell r="N103">
            <v>774.20892285397258</v>
          </cell>
          <cell r="O103">
            <v>1.0950440093794334</v>
          </cell>
          <cell r="P103">
            <v>504.0258754220194</v>
          </cell>
          <cell r="Q103">
            <v>239.38300000000001</v>
          </cell>
          <cell r="R103">
            <v>251.85</v>
          </cell>
          <cell r="S103">
            <v>1.3918762945303399E-2</v>
          </cell>
          <cell r="V103">
            <v>34.597300795199999</v>
          </cell>
        </row>
        <row r="104">
          <cell r="A104">
            <v>46296</v>
          </cell>
          <cell r="B104">
            <v>239.38300000000001</v>
          </cell>
          <cell r="C104" t="str">
            <v/>
          </cell>
          <cell r="D104">
            <v>504.01726702835998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I104">
            <v>300</v>
          </cell>
          <cell r="J104" t="str">
            <v>0</v>
          </cell>
          <cell r="L104">
            <v>68.985343507931901</v>
          </cell>
          <cell r="M104">
            <v>53</v>
          </cell>
          <cell r="N104">
            <v>801.78534350793188</v>
          </cell>
          <cell r="O104">
            <v>0.86060760402999703</v>
          </cell>
          <cell r="P104">
            <v>504.87787463238999</v>
          </cell>
          <cell r="Q104">
            <v>239.45500000000001</v>
          </cell>
          <cell r="R104">
            <v>251.85</v>
          </cell>
          <cell r="S104">
            <v>1.3918762945303399E-2</v>
          </cell>
          <cell r="V104">
            <v>32.664789050100005</v>
          </cell>
        </row>
        <row r="105">
          <cell r="A105">
            <v>46297</v>
          </cell>
          <cell r="B105">
            <v>239.45500000000001</v>
          </cell>
          <cell r="C105" t="str">
            <v/>
          </cell>
          <cell r="D105">
            <v>504.87686443860002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I105">
            <v>300</v>
          </cell>
          <cell r="J105" t="str">
            <v>0</v>
          </cell>
          <cell r="L105">
            <v>62.574572465989618</v>
          </cell>
          <cell r="M105">
            <v>53</v>
          </cell>
          <cell r="N105">
            <v>795.37457246598956</v>
          </cell>
          <cell r="O105">
            <v>0.73878980131541394</v>
          </cell>
          <cell r="P105">
            <v>505.61565423991544</v>
          </cell>
          <cell r="Q105">
            <v>239.51599999999999</v>
          </cell>
          <cell r="R105">
            <v>251.85</v>
          </cell>
          <cell r="S105">
            <v>1.3918762945303399E-2</v>
          </cell>
          <cell r="V105">
            <v>31.073325446400002</v>
          </cell>
        </row>
        <row r="106">
          <cell r="A106">
            <v>46298</v>
          </cell>
          <cell r="B106">
            <v>239.51599999999999</v>
          </cell>
          <cell r="C106" t="str">
            <v/>
          </cell>
          <cell r="D106">
            <v>505.60513446672002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I106">
            <v>300</v>
          </cell>
          <cell r="J106" t="str">
            <v>0</v>
          </cell>
          <cell r="L106">
            <v>17.084611398140435</v>
          </cell>
          <cell r="M106">
            <v>53</v>
          </cell>
          <cell r="N106">
            <v>749.88461139814035</v>
          </cell>
          <cell r="O106">
            <v>8.0458901748962336E-2</v>
          </cell>
          <cell r="P106">
            <v>505.68559336846897</v>
          </cell>
          <cell r="Q106">
            <v>239.52199999999999</v>
          </cell>
          <cell r="R106">
            <v>251.85</v>
          </cell>
          <cell r="S106">
            <v>1.3918762945303399E-2</v>
          </cell>
          <cell r="V106">
            <v>22.165608991349998</v>
          </cell>
        </row>
        <row r="107">
          <cell r="A107">
            <v>46299</v>
          </cell>
          <cell r="B107">
            <v>239.52199999999999</v>
          </cell>
          <cell r="C107" t="str">
            <v/>
          </cell>
          <cell r="D107">
            <v>505.67676758424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I107">
            <v>300</v>
          </cell>
          <cell r="J107" t="str">
            <v>0</v>
          </cell>
          <cell r="L107">
            <v>36.251926305303712</v>
          </cell>
          <cell r="M107">
            <v>53</v>
          </cell>
          <cell r="N107">
            <v>769.05192630530371</v>
          </cell>
          <cell r="O107">
            <v>1.4200343287947053</v>
          </cell>
          <cell r="P107">
            <v>507.09680191303471</v>
          </cell>
          <cell r="Q107">
            <v>239.64</v>
          </cell>
          <cell r="R107">
            <v>251.85</v>
          </cell>
          <cell r="S107">
            <v>1.3918762945303399E-2</v>
          </cell>
          <cell r="V107">
            <v>38.212739569500002</v>
          </cell>
        </row>
        <row r="108">
          <cell r="A108">
            <v>46300</v>
          </cell>
          <cell r="B108">
            <v>239.64</v>
          </cell>
          <cell r="C108" t="str">
            <v/>
          </cell>
          <cell r="D108">
            <v>507.0855522288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I108">
            <v>300</v>
          </cell>
          <cell r="J108" t="str">
            <v>0</v>
          </cell>
          <cell r="L108">
            <v>42.123844428916023</v>
          </cell>
          <cell r="M108">
            <v>53</v>
          </cell>
          <cell r="N108">
            <v>774.92384442891603</v>
          </cell>
          <cell r="O108">
            <v>3.8411959573044236</v>
          </cell>
          <cell r="P108">
            <v>510.92674818610442</v>
          </cell>
          <cell r="Q108">
            <v>239.96100000000001</v>
          </cell>
          <cell r="R108">
            <v>251.85</v>
          </cell>
          <cell r="S108">
            <v>1.3918762945303399E-2</v>
          </cell>
          <cell r="V108">
            <v>66.4017673086</v>
          </cell>
        </row>
        <row r="109">
          <cell r="A109">
            <v>46301</v>
          </cell>
          <cell r="B109">
            <v>239.96100000000001</v>
          </cell>
          <cell r="C109" t="str">
            <v/>
          </cell>
          <cell r="D109">
            <v>510.91792401612003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I109">
            <v>300</v>
          </cell>
          <cell r="J109" t="str">
            <v>0</v>
          </cell>
          <cell r="L109">
            <v>38.124386183921864</v>
          </cell>
          <cell r="M109">
            <v>53</v>
          </cell>
          <cell r="N109">
            <v>770.9243861839218</v>
          </cell>
          <cell r="O109">
            <v>1.0719032023734154</v>
          </cell>
          <cell r="P109">
            <v>511.98982721849342</v>
          </cell>
          <cell r="Q109">
            <v>240.04599999999999</v>
          </cell>
          <cell r="R109">
            <v>251.85</v>
          </cell>
          <cell r="S109">
            <v>1.3918762945303399E-2</v>
          </cell>
          <cell r="V109">
            <v>34.236459175649998</v>
          </cell>
        </row>
        <row r="110">
          <cell r="A110">
            <v>46302</v>
          </cell>
          <cell r="B110">
            <v>240.04599999999999</v>
          </cell>
          <cell r="C110" t="str">
            <v/>
          </cell>
          <cell r="D110">
            <v>511.98105771446399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I110">
            <v>300</v>
          </cell>
          <cell r="J110" t="str">
            <v>0</v>
          </cell>
          <cell r="L110">
            <v>80.791845420126904</v>
          </cell>
          <cell r="M110">
            <v>53</v>
          </cell>
          <cell r="N110">
            <v>813.5918454201269</v>
          </cell>
          <cell r="O110">
            <v>0.4092457360556751</v>
          </cell>
          <cell r="P110">
            <v>512.3903034505197</v>
          </cell>
          <cell r="Q110">
            <v>240.077</v>
          </cell>
          <cell r="R110">
            <v>251.85</v>
          </cell>
          <cell r="S110">
            <v>1.3918762945303399E-2</v>
          </cell>
          <cell r="V110">
            <v>27.775007075250002</v>
          </cell>
        </row>
        <row r="111">
          <cell r="A111">
            <v>46303</v>
          </cell>
          <cell r="B111">
            <v>240.077</v>
          </cell>
          <cell r="C111" t="str">
            <v/>
          </cell>
          <cell r="D111">
            <v>512.38373318116805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I111">
            <v>300</v>
          </cell>
          <cell r="J111" t="str">
            <v>0</v>
          </cell>
          <cell r="L111">
            <v>91.834204617990821</v>
          </cell>
          <cell r="M111">
            <v>53</v>
          </cell>
          <cell r="N111">
            <v>824.6342046179908</v>
          </cell>
          <cell r="O111">
            <v>0.89142006555705122</v>
          </cell>
          <cell r="P111">
            <v>513.27515324672515</v>
          </cell>
          <cell r="Q111">
            <v>240.14500000000001</v>
          </cell>
          <cell r="R111">
            <v>251.85</v>
          </cell>
          <cell r="S111">
            <v>1.3918762945303399E-2</v>
          </cell>
          <cell r="V111">
            <v>33.668423164650001</v>
          </cell>
        </row>
        <row r="112">
          <cell r="A112">
            <v>46304</v>
          </cell>
          <cell r="B112">
            <v>240.14500000000001</v>
          </cell>
          <cell r="C112" t="str">
            <v/>
          </cell>
          <cell r="D112">
            <v>513.26702130167996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I112">
            <v>300</v>
          </cell>
          <cell r="J112" t="str">
            <v>0</v>
          </cell>
          <cell r="L112">
            <v>48.162554137480207</v>
          </cell>
          <cell r="M112">
            <v>53</v>
          </cell>
          <cell r="N112">
            <v>780.9625541374802</v>
          </cell>
          <cell r="O112">
            <v>0.24368206079806271</v>
          </cell>
          <cell r="P112">
            <v>513.51070336247801</v>
          </cell>
          <cell r="Q112">
            <v>240.16300000000001</v>
          </cell>
          <cell r="R112">
            <v>251.85</v>
          </cell>
          <cell r="S112">
            <v>1.3918762945303399E-2</v>
          </cell>
          <cell r="V112">
            <v>24.934798703399998</v>
          </cell>
        </row>
        <row r="113">
          <cell r="A113">
            <v>46305</v>
          </cell>
          <cell r="B113">
            <v>240.16300000000001</v>
          </cell>
          <cell r="C113" t="str">
            <v/>
          </cell>
          <cell r="D113">
            <v>513.50083286299196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I113">
            <v>300</v>
          </cell>
          <cell r="J113" t="str">
            <v>0</v>
          </cell>
          <cell r="L113">
            <v>31.6970289897931</v>
          </cell>
          <cell r="M113">
            <v>53</v>
          </cell>
          <cell r="N113">
            <v>764.49702898979308</v>
          </cell>
          <cell r="O113">
            <v>0.53196042123951792</v>
          </cell>
          <cell r="P113">
            <v>514.0327932842315</v>
          </cell>
          <cell r="Q113">
            <v>240.203</v>
          </cell>
          <cell r="R113">
            <v>251.85</v>
          </cell>
          <cell r="S113">
            <v>1.3918762945303399E-2</v>
          </cell>
          <cell r="V113">
            <v>27.805107886800002</v>
          </cell>
        </row>
        <row r="114">
          <cell r="A114">
            <v>46306</v>
          </cell>
          <cell r="B114">
            <v>240.203</v>
          </cell>
          <cell r="C114" t="str">
            <v/>
          </cell>
          <cell r="D114">
            <v>514.02041411035202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I114">
            <v>300</v>
          </cell>
          <cell r="J114" t="str">
            <v>0</v>
          </cell>
          <cell r="L114">
            <v>36.432803136926793</v>
          </cell>
          <cell r="M114">
            <v>53</v>
          </cell>
          <cell r="N114">
            <v>769.2328031369268</v>
          </cell>
          <cell r="O114">
            <v>0.20647643849846808</v>
          </cell>
          <cell r="P114">
            <v>514.22689054885052</v>
          </cell>
          <cell r="Q114">
            <v>240.21799999999999</v>
          </cell>
          <cell r="R114">
            <v>251.85</v>
          </cell>
          <cell r="S114">
            <v>1.3918762945303399E-2</v>
          </cell>
          <cell r="V114">
            <v>24.172027714949998</v>
          </cell>
        </row>
        <row r="115">
          <cell r="A115">
            <v>46307</v>
          </cell>
          <cell r="B115">
            <v>240.21799999999999</v>
          </cell>
          <cell r="C115" t="str">
            <v/>
          </cell>
          <cell r="D115">
            <v>514.21525707811202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I115">
            <v>300</v>
          </cell>
          <cell r="J115" t="str">
            <v>0</v>
          </cell>
          <cell r="L115">
            <v>26.46906215545442</v>
          </cell>
          <cell r="M115">
            <v>53</v>
          </cell>
          <cell r="N115">
            <v>759.26906215545432</v>
          </cell>
          <cell r="O115">
            <v>0.97429313119879579</v>
          </cell>
          <cell r="P115">
            <v>515.18955020931082</v>
          </cell>
          <cell r="Q115">
            <v>240.29300000000001</v>
          </cell>
          <cell r="R115">
            <v>251.85</v>
          </cell>
          <cell r="S115">
            <v>1.3918762945303399E-2</v>
          </cell>
          <cell r="V115">
            <v>32.77666892445</v>
          </cell>
        </row>
        <row r="116">
          <cell r="A116">
            <v>46308</v>
          </cell>
          <cell r="B116">
            <v>240.29300000000001</v>
          </cell>
          <cell r="C116" t="str">
            <v/>
          </cell>
          <cell r="D116">
            <v>515.189471916912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I116">
            <v>300</v>
          </cell>
          <cell r="J116" t="str">
            <v>0</v>
          </cell>
          <cell r="L116">
            <v>49.462189882632373</v>
          </cell>
          <cell r="M116">
            <v>53</v>
          </cell>
          <cell r="N116">
            <v>782.26218988263236</v>
          </cell>
          <cell r="O116">
            <v>4.0349733627972793</v>
          </cell>
          <cell r="P116">
            <v>519.22444527970924</v>
          </cell>
          <cell r="Q116">
            <v>240.60300000000001</v>
          </cell>
          <cell r="R116">
            <v>251.85</v>
          </cell>
          <cell r="S116">
            <v>1.3918762945303399E-2</v>
          </cell>
          <cell r="V116">
            <v>68.852364141300001</v>
          </cell>
        </row>
        <row r="117">
          <cell r="A117">
            <v>46309</v>
          </cell>
          <cell r="B117">
            <v>240.60300000000001</v>
          </cell>
          <cell r="C117" t="str">
            <v/>
          </cell>
          <cell r="D117">
            <v>519.21622658395199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I117">
            <v>300</v>
          </cell>
          <cell r="J117" t="str">
            <v>0</v>
          </cell>
          <cell r="L117">
            <v>89.896446518785865</v>
          </cell>
          <cell r="M117">
            <v>53</v>
          </cell>
          <cell r="N117">
            <v>822.69644651878582</v>
          </cell>
          <cell r="O117">
            <v>0.46116051307921535</v>
          </cell>
          <cell r="P117">
            <v>519.67738709703121</v>
          </cell>
          <cell r="Q117">
            <v>240.63800000000001</v>
          </cell>
          <cell r="R117">
            <v>251.85</v>
          </cell>
          <cell r="S117">
            <v>1.3918762945303399E-2</v>
          </cell>
          <cell r="V117">
            <v>28.633687234650001</v>
          </cell>
        </row>
        <row r="118">
          <cell r="A118">
            <v>46310</v>
          </cell>
          <cell r="B118">
            <v>240.63800000000001</v>
          </cell>
          <cell r="C118" t="str">
            <v/>
          </cell>
          <cell r="D118">
            <v>519.67086017539202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I118">
            <v>300</v>
          </cell>
          <cell r="J118" t="str">
            <v>0</v>
          </cell>
          <cell r="L118">
            <v>27.141945863239972</v>
          </cell>
          <cell r="M118">
            <v>53</v>
          </cell>
          <cell r="N118">
            <v>759.94194586323988</v>
          </cell>
          <cell r="O118">
            <v>0.18515177194001547</v>
          </cell>
          <cell r="P118">
            <v>519.85601194733204</v>
          </cell>
          <cell r="Q118">
            <v>240.65199999999999</v>
          </cell>
          <cell r="R118">
            <v>251.85</v>
          </cell>
          <cell r="S118">
            <v>1.3918762945303399E-2</v>
          </cell>
          <cell r="V118">
            <v>23.662126197000003</v>
          </cell>
        </row>
        <row r="119">
          <cell r="A119">
            <v>46311</v>
          </cell>
          <cell r="B119">
            <v>240.65199999999999</v>
          </cell>
          <cell r="C119" t="str">
            <v/>
          </cell>
          <cell r="D119">
            <v>519.85271361196806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I119">
            <v>300</v>
          </cell>
          <cell r="J119" t="str">
            <v>0</v>
          </cell>
          <cell r="L119">
            <v>38.613555518975446</v>
          </cell>
          <cell r="M119">
            <v>53</v>
          </cell>
          <cell r="N119">
            <v>771.41355551897539</v>
          </cell>
          <cell r="O119">
            <v>-2.4643227466343981E-2</v>
          </cell>
          <cell r="P119">
            <v>519.82807038450176</v>
          </cell>
          <cell r="Q119">
            <v>240.65</v>
          </cell>
          <cell r="R119">
            <v>251.85</v>
          </cell>
          <cell r="S119">
            <v>1.3918762945303399E-2</v>
          </cell>
          <cell r="V119">
            <v>21.558778895850001</v>
          </cell>
        </row>
        <row r="120">
          <cell r="A120">
            <v>46312</v>
          </cell>
          <cell r="B120">
            <v>240.65</v>
          </cell>
          <cell r="C120" t="str">
            <v/>
          </cell>
          <cell r="D120">
            <v>519.82673454960002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I120">
            <v>300</v>
          </cell>
          <cell r="J120" t="str">
            <v>0</v>
          </cell>
          <cell r="L120">
            <v>83.014240069467036</v>
          </cell>
          <cell r="M120">
            <v>53</v>
          </cell>
          <cell r="N120">
            <v>815.81424006946702</v>
          </cell>
          <cell r="O120">
            <v>1.4497520654016787</v>
          </cell>
          <cell r="P120">
            <v>521.27648661500166</v>
          </cell>
          <cell r="Q120">
            <v>240.761</v>
          </cell>
          <cell r="R120">
            <v>251.85</v>
          </cell>
          <cell r="S120">
            <v>1.3918762945303399E-2</v>
          </cell>
          <cell r="V120">
            <v>39.880856886149999</v>
          </cell>
        </row>
        <row r="121">
          <cell r="A121">
            <v>46313</v>
          </cell>
          <cell r="B121">
            <v>240.761</v>
          </cell>
          <cell r="C121" t="str">
            <v/>
          </cell>
          <cell r="D121">
            <v>521.26857251102399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I121">
            <v>300</v>
          </cell>
          <cell r="J121" t="str">
            <v>0</v>
          </cell>
          <cell r="L121">
            <v>35.331780468622632</v>
          </cell>
          <cell r="M121">
            <v>53</v>
          </cell>
          <cell r="N121">
            <v>768.13178046862254</v>
          </cell>
          <cell r="O121">
            <v>0.78375483038817573</v>
          </cell>
          <cell r="P121">
            <v>522.05232734141214</v>
          </cell>
          <cell r="Q121">
            <v>240.821</v>
          </cell>
          <cell r="R121">
            <v>251.85</v>
          </cell>
          <cell r="S121">
            <v>1.3918762945303399E-2</v>
          </cell>
          <cell r="V121">
            <v>30.822324888000001</v>
          </cell>
        </row>
        <row r="122">
          <cell r="A122">
            <v>46314</v>
          </cell>
          <cell r="B122">
            <v>240.821</v>
          </cell>
          <cell r="C122" t="str">
            <v/>
          </cell>
          <cell r="D122">
            <v>522.04794438206397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I122">
            <v>300</v>
          </cell>
          <cell r="J122" t="str">
            <v>0</v>
          </cell>
          <cell r="L122">
            <v>31.511810821751844</v>
          </cell>
          <cell r="M122">
            <v>53</v>
          </cell>
          <cell r="N122">
            <v>764.31181082175181</v>
          </cell>
          <cell r="O122">
            <v>0.46858741292067435</v>
          </cell>
          <cell r="P122">
            <v>522.51653179498464</v>
          </cell>
          <cell r="Q122">
            <v>240.857</v>
          </cell>
          <cell r="R122">
            <v>251.85</v>
          </cell>
          <cell r="S122">
            <v>1.3918762945303399E-2</v>
          </cell>
          <cell r="V122">
            <v>27.066377904000003</v>
          </cell>
        </row>
        <row r="123">
          <cell r="A123">
            <v>46315</v>
          </cell>
          <cell r="B123">
            <v>240.857</v>
          </cell>
          <cell r="C123" t="str">
            <v/>
          </cell>
          <cell r="D123">
            <v>522.51556750468797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I123">
            <v>300</v>
          </cell>
          <cell r="J123" t="str">
            <v>0</v>
          </cell>
          <cell r="L123">
            <v>78.935654895420811</v>
          </cell>
          <cell r="M123">
            <v>53</v>
          </cell>
          <cell r="N123">
            <v>811.73565489542079</v>
          </cell>
          <cell r="O123">
            <v>0.33347098907055495</v>
          </cell>
          <cell r="P123">
            <v>522.84903849375848</v>
          </cell>
          <cell r="Q123">
            <v>240.88200000000001</v>
          </cell>
          <cell r="R123">
            <v>251.85</v>
          </cell>
          <cell r="S123">
            <v>1.3918762945303399E-2</v>
          </cell>
          <cell r="V123">
            <v>26.845421523450003</v>
          </cell>
        </row>
        <row r="124">
          <cell r="A124">
            <v>46316</v>
          </cell>
          <cell r="B124">
            <v>240.88200000000001</v>
          </cell>
          <cell r="C124" t="str">
            <v/>
          </cell>
          <cell r="D124">
            <v>522.84030578428803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I124">
            <v>300</v>
          </cell>
          <cell r="J124" t="str">
            <v>0</v>
          </cell>
          <cell r="L124">
            <v>35.078127139994059</v>
          </cell>
          <cell r="M124">
            <v>53</v>
          </cell>
          <cell r="N124">
            <v>767.87812713999404</v>
          </cell>
          <cell r="O124">
            <v>5.2321445718971518</v>
          </cell>
          <cell r="P124">
            <v>528.07245035618519</v>
          </cell>
          <cell r="Q124">
            <v>241.28399999999999</v>
          </cell>
          <cell r="R124">
            <v>251.85</v>
          </cell>
          <cell r="S124">
            <v>1.3918762945303399E-2</v>
          </cell>
          <cell r="V124">
            <v>82.301225514000009</v>
          </cell>
        </row>
        <row r="125">
          <cell r="A125">
            <v>46317</v>
          </cell>
          <cell r="B125">
            <v>241.28399999999999</v>
          </cell>
          <cell r="C125" t="str">
            <v/>
          </cell>
          <cell r="D125">
            <v>528.06209732025604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I125">
            <v>300</v>
          </cell>
          <cell r="J125" t="str">
            <v>0</v>
          </cell>
          <cell r="L125">
            <v>47.649787820774705</v>
          </cell>
          <cell r="M125">
            <v>53</v>
          </cell>
          <cell r="N125">
            <v>780.44978782077465</v>
          </cell>
          <cell r="O125">
            <v>1.24993678267901</v>
          </cell>
          <cell r="P125">
            <v>529.31203410293506</v>
          </cell>
          <cell r="Q125">
            <v>241.38</v>
          </cell>
          <cell r="R125">
            <v>251.85</v>
          </cell>
          <cell r="S125">
            <v>1.3918762945303399E-2</v>
          </cell>
          <cell r="V125">
            <v>36.566766029550003</v>
          </cell>
        </row>
        <row r="126">
          <cell r="A126">
            <v>46318</v>
          </cell>
          <cell r="B126">
            <v>241.38</v>
          </cell>
          <cell r="C126" t="str">
            <v/>
          </cell>
          <cell r="D126">
            <v>529.30909231392002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I126">
            <v>300</v>
          </cell>
          <cell r="J126" t="str">
            <v>0</v>
          </cell>
          <cell r="L126">
            <v>45.368532138550357</v>
          </cell>
          <cell r="M126">
            <v>53</v>
          </cell>
          <cell r="N126">
            <v>778.16853213855029</v>
          </cell>
          <cell r="O126">
            <v>0.72102289760113814</v>
          </cell>
          <cell r="P126">
            <v>530.03011521152121</v>
          </cell>
          <cell r="Q126">
            <v>241.435</v>
          </cell>
          <cell r="R126">
            <v>251.85</v>
          </cell>
          <cell r="S126">
            <v>1.3918762945303399E-2</v>
          </cell>
          <cell r="V126">
            <v>30.380468760599999</v>
          </cell>
        </row>
        <row r="127">
          <cell r="A127">
            <v>46319</v>
          </cell>
          <cell r="B127">
            <v>241.435</v>
          </cell>
          <cell r="C127" t="str">
            <v/>
          </cell>
          <cell r="D127">
            <v>530.02351652903997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I127">
            <v>300</v>
          </cell>
          <cell r="J127" t="str">
            <v>0</v>
          </cell>
          <cell r="L127">
            <v>69.536381223966828</v>
          </cell>
          <cell r="M127">
            <v>53</v>
          </cell>
          <cell r="N127">
            <v>802.33638122396678</v>
          </cell>
          <cell r="O127">
            <v>4.9131575089134198</v>
          </cell>
          <cell r="P127">
            <v>534.93667403795337</v>
          </cell>
          <cell r="Q127">
            <v>241.81299999999999</v>
          </cell>
          <cell r="R127">
            <v>251.85</v>
          </cell>
          <cell r="S127">
            <v>1.3918762945303399E-2</v>
          </cell>
          <cell r="V127">
            <v>79.584988311450005</v>
          </cell>
        </row>
        <row r="128">
          <cell r="A128">
            <v>46320</v>
          </cell>
          <cell r="B128">
            <v>241.81299999999999</v>
          </cell>
          <cell r="C128" t="str">
            <v/>
          </cell>
          <cell r="D128">
            <v>534.93355931659198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I128">
            <v>300</v>
          </cell>
          <cell r="J128" t="str">
            <v>0</v>
          </cell>
          <cell r="L128">
            <v>24.57247856423696</v>
          </cell>
          <cell r="M128">
            <v>53</v>
          </cell>
          <cell r="N128">
            <v>757.37247856423687</v>
          </cell>
          <cell r="O128">
            <v>3.8655010938982075</v>
          </cell>
          <cell r="P128">
            <v>538.79906041049014</v>
          </cell>
          <cell r="Q128">
            <v>242.11</v>
          </cell>
          <cell r="R128">
            <v>251.85</v>
          </cell>
          <cell r="S128">
            <v>1.3918762945303399E-2</v>
          </cell>
          <cell r="V128">
            <v>66.18607786215</v>
          </cell>
        </row>
        <row r="129">
          <cell r="A129">
            <v>46321</v>
          </cell>
          <cell r="B129">
            <v>242.11</v>
          </cell>
          <cell r="C129" t="str">
            <v/>
          </cell>
          <cell r="D129">
            <v>538.79145007824002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I129">
            <v>300</v>
          </cell>
          <cell r="J129" t="str">
            <v>0</v>
          </cell>
          <cell r="L129">
            <v>22.968036025224308</v>
          </cell>
          <cell r="M129">
            <v>53</v>
          </cell>
          <cell r="N129">
            <v>755.76803602522432</v>
          </cell>
          <cell r="O129">
            <v>3.0744032756095523</v>
          </cell>
          <cell r="P129">
            <v>541.86585335384962</v>
          </cell>
          <cell r="Q129">
            <v>242.346</v>
          </cell>
          <cell r="R129">
            <v>251.85</v>
          </cell>
          <cell r="S129">
            <v>1.3918762945303399E-2</v>
          </cell>
          <cell r="V129">
            <v>56.98440418725</v>
          </cell>
        </row>
        <row r="130">
          <cell r="A130">
            <v>46322</v>
          </cell>
          <cell r="B130">
            <v>242.346</v>
          </cell>
          <cell r="C130" t="str">
            <v/>
          </cell>
          <cell r="D130">
            <v>541.85697943766399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I130">
            <v>300</v>
          </cell>
          <cell r="J130" t="str">
            <v>0</v>
          </cell>
          <cell r="L130">
            <v>21.035947499899866</v>
          </cell>
          <cell r="M130">
            <v>53</v>
          </cell>
          <cell r="N130">
            <v>753.83594749989982</v>
          </cell>
          <cell r="O130">
            <v>2.5770106090340499</v>
          </cell>
          <cell r="P130">
            <v>544.433990046698</v>
          </cell>
          <cell r="Q130">
            <v>242.54400000000001</v>
          </cell>
          <cell r="R130">
            <v>251.85</v>
          </cell>
          <cell r="S130">
            <v>1.3918762945303399E-2</v>
          </cell>
          <cell r="V130">
            <v>51.172823794350002</v>
          </cell>
        </row>
        <row r="131">
          <cell r="A131">
            <v>46323</v>
          </cell>
          <cell r="B131">
            <v>242.54400000000001</v>
          </cell>
          <cell r="C131" t="str">
            <v/>
          </cell>
          <cell r="D131">
            <v>544.42890661209594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I131">
            <v>300</v>
          </cell>
          <cell r="J131" t="str">
            <v>0</v>
          </cell>
          <cell r="L131">
            <v>43.419255655434426</v>
          </cell>
          <cell r="M131">
            <v>53</v>
          </cell>
          <cell r="N131">
            <v>776.21925565543438</v>
          </cell>
          <cell r="O131">
            <v>2.2990842235805351</v>
          </cell>
          <cell r="P131">
            <v>546.72799083567645</v>
          </cell>
          <cell r="Q131">
            <v>242.72</v>
          </cell>
          <cell r="R131">
            <v>251.85</v>
          </cell>
          <cell r="S131">
            <v>1.3918762945303399E-2</v>
          </cell>
          <cell r="V131">
            <v>48.5899023216</v>
          </cell>
        </row>
        <row r="132">
          <cell r="A132">
            <v>46324</v>
          </cell>
          <cell r="B132">
            <v>242.72</v>
          </cell>
          <cell r="C132" t="str">
            <v/>
          </cell>
          <cell r="D132">
            <v>546.71506410048005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I132">
            <v>300</v>
          </cell>
          <cell r="J132" t="str">
            <v>0</v>
          </cell>
          <cell r="L132">
            <v>39.874197671629602</v>
          </cell>
          <cell r="M132">
            <v>53</v>
          </cell>
          <cell r="N132">
            <v>772.6741976716296</v>
          </cell>
          <cell r="O132">
            <v>2.0706455360481408</v>
          </cell>
          <cell r="P132">
            <v>548.78570963652817</v>
          </cell>
          <cell r="Q132">
            <v>242.87899999999999</v>
          </cell>
          <cell r="R132">
            <v>251.85</v>
          </cell>
          <cell r="S132">
            <v>1.3918762945303399E-2</v>
          </cell>
          <cell r="V132">
            <v>45.845546487</v>
          </cell>
        </row>
        <row r="133">
          <cell r="A133">
            <v>46325</v>
          </cell>
          <cell r="B133">
            <v>242.87899999999999</v>
          </cell>
          <cell r="C133" t="str">
            <v/>
          </cell>
          <cell r="D133">
            <v>548.78039955873601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I133">
            <v>300</v>
          </cell>
          <cell r="J133" t="str">
            <v>0</v>
          </cell>
          <cell r="L133">
            <v>31.807559561815665</v>
          </cell>
          <cell r="M133">
            <v>53</v>
          </cell>
          <cell r="N133">
            <v>764.60755956181561</v>
          </cell>
          <cell r="O133">
            <v>1.8951129303839984</v>
          </cell>
          <cell r="P133">
            <v>550.67551248912002</v>
          </cell>
          <cell r="Q133">
            <v>243.024</v>
          </cell>
          <cell r="R133">
            <v>251.85</v>
          </cell>
          <cell r="S133">
            <v>1.3918762945303399E-2</v>
          </cell>
          <cell r="V133">
            <v>43.585493737950003</v>
          </cell>
        </row>
        <row r="134">
          <cell r="A134">
            <v>46326</v>
          </cell>
          <cell r="B134">
            <v>243.024</v>
          </cell>
          <cell r="C134" t="str">
            <v/>
          </cell>
          <cell r="D134">
            <v>550.66388158041605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I134">
            <v>300</v>
          </cell>
          <cell r="J134" t="str">
            <v>0</v>
          </cell>
          <cell r="L134">
            <v>51.597440774489307</v>
          </cell>
          <cell r="M134">
            <v>53</v>
          </cell>
          <cell r="N134">
            <v>784.39744077448927</v>
          </cell>
          <cell r="O134">
            <v>1.2705353173794478</v>
          </cell>
          <cell r="P134">
            <v>551.93441689779547</v>
          </cell>
          <cell r="Q134">
            <v>243.12100000000001</v>
          </cell>
          <cell r="R134">
            <v>251.85</v>
          </cell>
          <cell r="S134">
            <v>1.3918762945303399E-2</v>
          </cell>
          <cell r="V134">
            <v>36.916960513500001</v>
          </cell>
        </row>
        <row r="135">
          <cell r="A135">
            <v>46327</v>
          </cell>
          <cell r="B135">
            <v>243.12100000000001</v>
          </cell>
          <cell r="C135" t="str">
            <v/>
          </cell>
          <cell r="D135">
            <v>551.92386610526398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I135">
            <v>300</v>
          </cell>
          <cell r="J135" t="str">
            <v>0</v>
          </cell>
          <cell r="L135">
            <v>50.752489108941383</v>
          </cell>
          <cell r="M135">
            <v>53</v>
          </cell>
          <cell r="N135">
            <v>783.55248910894136</v>
          </cell>
          <cell r="O135">
            <v>3.6388017510566337</v>
          </cell>
          <cell r="P135">
            <v>555.56266785632067</v>
          </cell>
          <cell r="Q135">
            <v>243.40100000000001</v>
          </cell>
          <cell r="R135">
            <v>251.85</v>
          </cell>
          <cell r="S135">
            <v>1.3918762945303399E-2</v>
          </cell>
          <cell r="V135">
            <v>64.303573674150002</v>
          </cell>
        </row>
        <row r="136">
          <cell r="A136">
            <v>46328</v>
          </cell>
          <cell r="B136">
            <v>243.40100000000001</v>
          </cell>
          <cell r="C136" t="str">
            <v/>
          </cell>
          <cell r="D136">
            <v>555.56093483678399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I136">
            <v>300</v>
          </cell>
          <cell r="J136" t="str">
            <v>0</v>
          </cell>
          <cell r="L136">
            <v>44.212676558155131</v>
          </cell>
          <cell r="M136">
            <v>53</v>
          </cell>
          <cell r="N136">
            <v>777.01267655815514</v>
          </cell>
          <cell r="O136">
            <v>7.8113556226631253</v>
          </cell>
          <cell r="P136">
            <v>563.37229045944707</v>
          </cell>
          <cell r="Q136">
            <v>244.00200000000001</v>
          </cell>
          <cell r="R136">
            <v>251.85</v>
          </cell>
          <cell r="S136">
            <v>1.3918762945303399E-2</v>
          </cell>
          <cell r="V136">
            <v>112.41191964465001</v>
          </cell>
        </row>
        <row r="137">
          <cell r="A137">
            <v>46329</v>
          </cell>
          <cell r="B137">
            <v>244.00200000000001</v>
          </cell>
          <cell r="C137" t="str">
            <v/>
          </cell>
          <cell r="D137">
            <v>563.36764307836802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I137">
            <v>300</v>
          </cell>
          <cell r="J137" t="str">
            <v>0</v>
          </cell>
          <cell r="L137">
            <v>61.305715003476145</v>
          </cell>
          <cell r="M137">
            <v>53</v>
          </cell>
          <cell r="N137">
            <v>794.10571500347612</v>
          </cell>
          <cell r="O137">
            <v>3.0266665575139786</v>
          </cell>
          <cell r="P137">
            <v>566.394309635882</v>
          </cell>
          <cell r="Q137">
            <v>244.23500000000001</v>
          </cell>
          <cell r="R137">
            <v>251.85</v>
          </cell>
          <cell r="S137">
            <v>1.3918762945303399E-2</v>
          </cell>
          <cell r="V137">
            <v>57.517497205350004</v>
          </cell>
        </row>
        <row r="138">
          <cell r="A138">
            <v>46330</v>
          </cell>
          <cell r="B138">
            <v>244.23500000000001</v>
          </cell>
          <cell r="C138" t="str">
            <v/>
          </cell>
          <cell r="D138">
            <v>566.39420384424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I138">
            <v>300</v>
          </cell>
          <cell r="J138" t="str">
            <v>0</v>
          </cell>
          <cell r="L138">
            <v>74.822123517742639</v>
          </cell>
          <cell r="M138">
            <v>53</v>
          </cell>
          <cell r="N138">
            <v>807.62212351774258</v>
          </cell>
          <cell r="O138">
            <v>2.0408366900712487</v>
          </cell>
          <cell r="P138">
            <v>568.43504053431127</v>
          </cell>
          <cell r="Q138">
            <v>244.392</v>
          </cell>
          <cell r="R138">
            <v>251.85</v>
          </cell>
          <cell r="S138">
            <v>1.3918762945303399E-2</v>
          </cell>
          <cell r="V138">
            <v>46.490151260400005</v>
          </cell>
        </row>
        <row r="139">
          <cell r="A139">
            <v>46331</v>
          </cell>
          <cell r="B139">
            <v>244.392</v>
          </cell>
          <cell r="C139" t="str">
            <v/>
          </cell>
          <cell r="D139">
            <v>568.43356024012803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I139">
            <v>300</v>
          </cell>
          <cell r="J139" t="str">
            <v>0</v>
          </cell>
          <cell r="L139">
            <v>36.068664024784432</v>
          </cell>
          <cell r="M139">
            <v>53</v>
          </cell>
          <cell r="N139">
            <v>768.86866402478438</v>
          </cell>
          <cell r="O139">
            <v>3.0046524317000345</v>
          </cell>
          <cell r="P139">
            <v>571.43821267182807</v>
          </cell>
          <cell r="Q139">
            <v>244.62299999999999</v>
          </cell>
          <cell r="R139">
            <v>251.85</v>
          </cell>
          <cell r="S139">
            <v>1.3918762945303399E-2</v>
          </cell>
          <cell r="V139">
            <v>56.548069845600004</v>
          </cell>
        </row>
        <row r="140">
          <cell r="A140">
            <v>46332</v>
          </cell>
          <cell r="B140">
            <v>244.62299999999999</v>
          </cell>
          <cell r="C140" t="str">
            <v/>
          </cell>
          <cell r="D140">
            <v>571.43414194363197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I140">
            <v>300</v>
          </cell>
          <cell r="J140" t="str">
            <v>0</v>
          </cell>
          <cell r="L140">
            <v>63.523501290239835</v>
          </cell>
          <cell r="M140">
            <v>53</v>
          </cell>
          <cell r="N140">
            <v>796.32350129023985</v>
          </cell>
          <cell r="O140">
            <v>1.649682804349256</v>
          </cell>
          <cell r="P140">
            <v>573.08382474798123</v>
          </cell>
          <cell r="Q140">
            <v>244.75</v>
          </cell>
          <cell r="R140">
            <v>251.85</v>
          </cell>
          <cell r="S140">
            <v>1.3918762945303399E-2</v>
          </cell>
          <cell r="V140">
            <v>41.642957827949999</v>
          </cell>
        </row>
        <row r="141">
          <cell r="A141">
            <v>46333</v>
          </cell>
          <cell r="B141">
            <v>244.75</v>
          </cell>
          <cell r="C141" t="str">
            <v/>
          </cell>
          <cell r="D141">
            <v>573.08381240400001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I141">
            <v>300</v>
          </cell>
          <cell r="J141" t="str">
            <v>0</v>
          </cell>
          <cell r="L141">
            <v>61.332652878219278</v>
          </cell>
          <cell r="M141">
            <v>53</v>
          </cell>
          <cell r="N141">
            <v>794.13265287821923</v>
          </cell>
          <cell r="O141">
            <v>2.2884675779213031</v>
          </cell>
          <cell r="P141">
            <v>575.37227998192134</v>
          </cell>
          <cell r="Q141">
            <v>244.92599999999999</v>
          </cell>
          <cell r="R141">
            <v>251.85</v>
          </cell>
          <cell r="S141">
            <v>1.3918762945303399E-2</v>
          </cell>
          <cell r="V141">
            <v>48.974275243500003</v>
          </cell>
        </row>
        <row r="142">
          <cell r="A142">
            <v>46334</v>
          </cell>
          <cell r="B142">
            <v>244.92599999999999</v>
          </cell>
          <cell r="C142" t="str">
            <v/>
          </cell>
          <cell r="D142">
            <v>575.36996989238401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I142">
            <v>300</v>
          </cell>
          <cell r="J142" t="str">
            <v>0</v>
          </cell>
          <cell r="L142">
            <v>40.118934003422886</v>
          </cell>
          <cell r="M142">
            <v>53</v>
          </cell>
          <cell r="N142">
            <v>772.91893400342281</v>
          </cell>
          <cell r="O142">
            <v>1.775861225257986</v>
          </cell>
          <cell r="P142">
            <v>577.14583111764205</v>
          </cell>
          <cell r="Q142">
            <v>245.05799999999999</v>
          </cell>
          <cell r="R142">
            <v>251.85</v>
          </cell>
          <cell r="S142">
            <v>1.3918762945303399E-2</v>
          </cell>
          <cell r="V142">
            <v>42.440615175600001</v>
          </cell>
        </row>
        <row r="143">
          <cell r="A143">
            <v>46335</v>
          </cell>
          <cell r="B143">
            <v>245.05799999999999</v>
          </cell>
          <cell r="C143" t="str">
            <v/>
          </cell>
          <cell r="D143">
            <v>577.13257827494397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I143">
            <v>300</v>
          </cell>
          <cell r="J143" t="str">
            <v>0</v>
          </cell>
          <cell r="L143">
            <v>26.240977060282429</v>
          </cell>
          <cell r="M143">
            <v>53</v>
          </cell>
          <cell r="N143">
            <v>759.04097706028233</v>
          </cell>
          <cell r="O143">
            <v>3.1468023642913399</v>
          </cell>
          <cell r="P143">
            <v>580.27938063923534</v>
          </cell>
          <cell r="Q143">
            <v>245.285</v>
          </cell>
          <cell r="R143">
            <v>251.85</v>
          </cell>
          <cell r="S143">
            <v>1.3918762945303399E-2</v>
          </cell>
          <cell r="V143">
            <v>57.915037462500003</v>
          </cell>
        </row>
        <row r="144">
          <cell r="A144">
            <v>46336</v>
          </cell>
          <cell r="B144">
            <v>245.285</v>
          </cell>
          <cell r="C144" t="str">
            <v/>
          </cell>
          <cell r="D144">
            <v>580.26902582688001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I144">
            <v>300</v>
          </cell>
          <cell r="J144" t="str">
            <v>0</v>
          </cell>
          <cell r="L144">
            <v>46.390811445123852</v>
          </cell>
          <cell r="M144">
            <v>53</v>
          </cell>
          <cell r="N144">
            <v>779.19081144512381</v>
          </cell>
          <cell r="O144">
            <v>8.7029520119715507</v>
          </cell>
          <cell r="P144">
            <v>588.97197783885156</v>
          </cell>
          <cell r="Q144">
            <v>245.91399999999999</v>
          </cell>
          <cell r="R144">
            <v>251.85</v>
          </cell>
          <cell r="S144">
            <v>1.3918762945303399E-2</v>
          </cell>
          <cell r="V144">
            <v>122.79301843890001</v>
          </cell>
        </row>
        <row r="145">
          <cell r="A145">
            <v>46337</v>
          </cell>
          <cell r="B145">
            <v>245.91399999999999</v>
          </cell>
          <cell r="C145" t="str">
            <v/>
          </cell>
          <cell r="D145">
            <v>588.95988710515201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I145">
            <v>300</v>
          </cell>
          <cell r="J145" t="str">
            <v>0</v>
          </cell>
          <cell r="L145">
            <v>21.505603374903963</v>
          </cell>
          <cell r="M145">
            <v>53</v>
          </cell>
          <cell r="N145">
            <v>754.30560337490397</v>
          </cell>
          <cell r="O145">
            <v>2.5146532360587042</v>
          </cell>
          <cell r="P145">
            <v>591.47454034121074</v>
          </cell>
          <cell r="Q145">
            <v>246.095</v>
          </cell>
          <cell r="R145">
            <v>251.85</v>
          </cell>
          <cell r="S145">
            <v>1.3918762945303399E-2</v>
          </cell>
          <cell r="V145">
            <v>50.46439284105</v>
          </cell>
        </row>
        <row r="146">
          <cell r="A146">
            <v>46338</v>
          </cell>
          <cell r="B146">
            <v>246.095</v>
          </cell>
          <cell r="C146" t="str">
            <v/>
          </cell>
          <cell r="D146">
            <v>591.46075497695995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I146">
            <v>300</v>
          </cell>
          <cell r="J146" t="str">
            <v>0</v>
          </cell>
          <cell r="L146">
            <v>45.884175852268683</v>
          </cell>
          <cell r="M146">
            <v>53</v>
          </cell>
          <cell r="N146">
            <v>778.6841758522686</v>
          </cell>
          <cell r="O146">
            <v>1.6825288232125279</v>
          </cell>
          <cell r="P146">
            <v>593.14328380017253</v>
          </cell>
          <cell r="Q146">
            <v>246.21600000000001</v>
          </cell>
          <cell r="R146">
            <v>251.85</v>
          </cell>
          <cell r="S146">
            <v>1.3918762945303399E-2</v>
          </cell>
          <cell r="V146">
            <v>41.52363062205</v>
          </cell>
        </row>
        <row r="147">
          <cell r="A147">
            <v>46339</v>
          </cell>
          <cell r="B147">
            <v>246.21600000000001</v>
          </cell>
          <cell r="C147" t="str">
            <v/>
          </cell>
          <cell r="D147">
            <v>593.13260587468801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I147">
            <v>300</v>
          </cell>
          <cell r="J147" t="str">
            <v>0</v>
          </cell>
          <cell r="L147">
            <v>32.689574292439822</v>
          </cell>
          <cell r="M147">
            <v>53</v>
          </cell>
          <cell r="N147">
            <v>765.48957429243978</v>
          </cell>
          <cell r="O147">
            <v>1.3879899962503923</v>
          </cell>
          <cell r="P147">
            <v>594.52059587093845</v>
          </cell>
          <cell r="Q147">
            <v>246.316</v>
          </cell>
          <cell r="R147">
            <v>251.85</v>
          </cell>
          <cell r="S147">
            <v>1.3918762945303399E-2</v>
          </cell>
          <cell r="V147">
            <v>37.740980848500001</v>
          </cell>
        </row>
        <row r="148">
          <cell r="A148">
            <v>46340</v>
          </cell>
          <cell r="B148">
            <v>246.316</v>
          </cell>
          <cell r="C148" t="str">
            <v/>
          </cell>
          <cell r="D148">
            <v>594.51430083148796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I148">
            <v>300</v>
          </cell>
          <cell r="J148" t="str">
            <v>0</v>
          </cell>
          <cell r="L148">
            <v>68.048926885165642</v>
          </cell>
          <cell r="M148">
            <v>53</v>
          </cell>
          <cell r="N148">
            <v>800.84892688516561</v>
          </cell>
          <cell r="O148">
            <v>2.1689934805075515</v>
          </cell>
          <cell r="P148">
            <v>596.6832943119955</v>
          </cell>
          <cell r="Q148">
            <v>246.47200000000001</v>
          </cell>
          <cell r="R148">
            <v>251.85</v>
          </cell>
          <cell r="S148">
            <v>1.3918762945303399E-2</v>
          </cell>
          <cell r="V148">
            <v>47.78165447205</v>
          </cell>
        </row>
        <row r="149">
          <cell r="A149">
            <v>46341</v>
          </cell>
          <cell r="B149">
            <v>246.47200000000001</v>
          </cell>
          <cell r="C149" t="str">
            <v/>
          </cell>
          <cell r="D149">
            <v>596.66974496409603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I149">
            <v>300</v>
          </cell>
          <cell r="J149" t="str">
            <v>0</v>
          </cell>
          <cell r="L149">
            <v>35.546006336128116</v>
          </cell>
          <cell r="M149">
            <v>53</v>
          </cell>
          <cell r="N149">
            <v>768.34600633612808</v>
          </cell>
          <cell r="O149">
            <v>1.3056251090038093</v>
          </cell>
          <cell r="P149">
            <v>597.97537007309984</v>
          </cell>
          <cell r="Q149">
            <v>246.566</v>
          </cell>
          <cell r="R149">
            <v>251.85</v>
          </cell>
          <cell r="S149">
            <v>1.3918762945303399E-2</v>
          </cell>
          <cell r="V149">
            <v>36.868567016850001</v>
          </cell>
        </row>
        <row r="150">
          <cell r="A150">
            <v>46342</v>
          </cell>
          <cell r="B150">
            <v>246.566</v>
          </cell>
          <cell r="C150" t="str">
            <v/>
          </cell>
          <cell r="D150">
            <v>597.96853822348805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I150">
            <v>300</v>
          </cell>
          <cell r="J150" t="str">
            <v>0</v>
          </cell>
          <cell r="L150">
            <v>33.647976072798926</v>
          </cell>
          <cell r="M150">
            <v>53</v>
          </cell>
          <cell r="N150">
            <v>766.44797607279884</v>
          </cell>
          <cell r="O150">
            <v>0.91931398660872876</v>
          </cell>
          <cell r="P150">
            <v>598.88785221009675</v>
          </cell>
          <cell r="Q150">
            <v>246.63200000000001</v>
          </cell>
          <cell r="R150">
            <v>251.85</v>
          </cell>
          <cell r="S150">
            <v>1.3918762945303399E-2</v>
          </cell>
          <cell r="V150">
            <v>32.3436193374</v>
          </cell>
        </row>
        <row r="151">
          <cell r="A151">
            <v>46343</v>
          </cell>
          <cell r="B151">
            <v>246.63200000000001</v>
          </cell>
          <cell r="C151" t="str">
            <v/>
          </cell>
          <cell r="D151">
            <v>598.88045689497596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I151">
            <v>300</v>
          </cell>
          <cell r="J151" t="str">
            <v>0</v>
          </cell>
          <cell r="L151">
            <v>49.688761036332586</v>
          </cell>
          <cell r="M151">
            <v>53</v>
          </cell>
          <cell r="N151">
            <v>782.48876103633256</v>
          </cell>
          <cell r="O151">
            <v>0.85707128667050314</v>
          </cell>
          <cell r="P151">
            <v>599.73752818164644</v>
          </cell>
          <cell r="Q151">
            <v>246.69399999999999</v>
          </cell>
          <cell r="R151">
            <v>251.85</v>
          </cell>
          <cell r="S151">
            <v>1.3918762945303399E-2</v>
          </cell>
          <cell r="V151">
            <v>32.077440947400007</v>
          </cell>
        </row>
        <row r="152">
          <cell r="A152">
            <v>46344</v>
          </cell>
          <cell r="B152">
            <v>246.69399999999999</v>
          </cell>
          <cell r="C152" t="str">
            <v/>
          </cell>
          <cell r="D152">
            <v>599.737107768192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I152">
            <v>300</v>
          </cell>
          <cell r="J152" t="str">
            <v>0</v>
          </cell>
          <cell r="L152">
            <v>61.77806202736101</v>
          </cell>
          <cell r="M152">
            <v>53</v>
          </cell>
          <cell r="N152">
            <v>794.57806202736094</v>
          </cell>
          <cell r="O152">
            <v>6.5998173560241851</v>
          </cell>
          <cell r="P152">
            <v>606.33692512421624</v>
          </cell>
          <cell r="Q152">
            <v>247.17099999999999</v>
          </cell>
          <cell r="R152">
            <v>251.85</v>
          </cell>
          <cell r="S152">
            <v>1.3918762945303399E-2</v>
          </cell>
          <cell r="V152">
            <v>98.886857628599998</v>
          </cell>
        </row>
        <row r="153">
          <cell r="A153">
            <v>46345</v>
          </cell>
          <cell r="B153">
            <v>247.17099999999999</v>
          </cell>
          <cell r="C153" t="str">
            <v/>
          </cell>
          <cell r="D153">
            <v>606.32779271212803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I153">
            <v>300</v>
          </cell>
          <cell r="J153" t="str">
            <v>0</v>
          </cell>
          <cell r="L153">
            <v>60.511816580056191</v>
          </cell>
          <cell r="M153">
            <v>53</v>
          </cell>
          <cell r="N153">
            <v>793.31181658005619</v>
          </cell>
          <cell r="O153">
            <v>1.8424743153176906</v>
          </cell>
          <cell r="P153">
            <v>608.17026702744568</v>
          </cell>
          <cell r="Q153">
            <v>247.304</v>
          </cell>
          <cell r="R153">
            <v>251.85</v>
          </cell>
          <cell r="S153">
            <v>1.3918762945303399E-2</v>
          </cell>
          <cell r="V153">
            <v>43.7890635726</v>
          </cell>
        </row>
        <row r="154">
          <cell r="A154">
            <v>46346</v>
          </cell>
          <cell r="B154">
            <v>247.304</v>
          </cell>
          <cell r="C154" t="str">
            <v/>
          </cell>
          <cell r="D154">
            <v>608.16544700467205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I154">
            <v>300</v>
          </cell>
          <cell r="J154" t="str">
            <v>0</v>
          </cell>
          <cell r="L154">
            <v>79.302665111958419</v>
          </cell>
          <cell r="M154">
            <v>53</v>
          </cell>
          <cell r="N154">
            <v>812.10266511195834</v>
          </cell>
          <cell r="O154">
            <v>1.1525757692565051</v>
          </cell>
          <cell r="P154">
            <v>609.31802277392853</v>
          </cell>
          <cell r="Q154">
            <v>247.387</v>
          </cell>
          <cell r="R154">
            <v>251.85</v>
          </cell>
          <cell r="S154">
            <v>1.3918762945303399E-2</v>
          </cell>
          <cell r="V154">
            <v>36.33621023685</v>
          </cell>
        </row>
        <row r="155">
          <cell r="A155">
            <v>46347</v>
          </cell>
          <cell r="B155">
            <v>247.387</v>
          </cell>
          <cell r="C155" t="str">
            <v/>
          </cell>
          <cell r="D155">
            <v>609.31225381881598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I155">
            <v>300</v>
          </cell>
          <cell r="J155" t="str">
            <v>0</v>
          </cell>
          <cell r="L155">
            <v>78.976166050719513</v>
          </cell>
          <cell r="M155">
            <v>53</v>
          </cell>
          <cell r="N155">
            <v>811.77616605071944</v>
          </cell>
          <cell r="O155">
            <v>4.5424437323536786</v>
          </cell>
          <cell r="P155">
            <v>613.85469755116969</v>
          </cell>
          <cell r="Q155">
            <v>247.715</v>
          </cell>
          <cell r="R155">
            <v>251.85</v>
          </cell>
          <cell r="S155">
            <v>1.3918762945303399E-2</v>
          </cell>
          <cell r="V155">
            <v>75.561616996050006</v>
          </cell>
        </row>
        <row r="156">
          <cell r="A156">
            <v>46348</v>
          </cell>
          <cell r="B156">
            <v>247.715</v>
          </cell>
          <cell r="C156" t="str">
            <v/>
          </cell>
          <cell r="D156">
            <v>613.84421327712005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I156">
            <v>300</v>
          </cell>
          <cell r="J156" t="str">
            <v>0</v>
          </cell>
          <cell r="L156">
            <v>90.835358961324829</v>
          </cell>
          <cell r="M156">
            <v>53</v>
          </cell>
          <cell r="N156">
            <v>823.63535896132476</v>
          </cell>
          <cell r="O156">
            <v>3.4152563831181659</v>
          </cell>
          <cell r="P156">
            <v>617.25946966023821</v>
          </cell>
          <cell r="Q156">
            <v>247.96199999999999</v>
          </cell>
          <cell r="R156">
            <v>251.85</v>
          </cell>
          <cell r="S156">
            <v>1.3918762945303399E-2</v>
          </cell>
          <cell r="V156">
            <v>62.85125907135</v>
          </cell>
        </row>
        <row r="157">
          <cell r="A157">
            <v>46349</v>
          </cell>
          <cell r="B157">
            <v>247.96199999999999</v>
          </cell>
          <cell r="C157" t="str">
            <v/>
          </cell>
          <cell r="D157">
            <v>617.25699982041601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I157">
            <v>300</v>
          </cell>
          <cell r="J157" t="str">
            <v>0</v>
          </cell>
          <cell r="L157">
            <v>45.562047176188337</v>
          </cell>
          <cell r="M157">
            <v>53</v>
          </cell>
          <cell r="N157">
            <v>778.3620471761883</v>
          </cell>
          <cell r="O157">
            <v>2.7718504278786411</v>
          </cell>
          <cell r="P157">
            <v>620.0288502482947</v>
          </cell>
          <cell r="Q157">
            <v>248.16200000000001</v>
          </cell>
          <cell r="R157">
            <v>251.85</v>
          </cell>
          <cell r="S157">
            <v>1.3918762945303399E-2</v>
          </cell>
          <cell r="V157">
            <v>54.122420157750007</v>
          </cell>
        </row>
        <row r="158">
          <cell r="A158">
            <v>46350</v>
          </cell>
          <cell r="B158">
            <v>248.16200000000001</v>
          </cell>
          <cell r="C158" t="str">
            <v/>
          </cell>
          <cell r="D158">
            <v>620.02038973401602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I158">
            <v>300</v>
          </cell>
          <cell r="J158" t="str">
            <v>0</v>
          </cell>
          <cell r="L158">
            <v>76.580227725407525</v>
          </cell>
          <cell r="M158">
            <v>53</v>
          </cell>
          <cell r="N158">
            <v>809.38022772540751</v>
          </cell>
          <cell r="O158">
            <v>2.219646561230463</v>
          </cell>
          <cell r="P158">
            <v>622.24003629524645</v>
          </cell>
          <cell r="Q158">
            <v>248.322</v>
          </cell>
          <cell r="R158">
            <v>251.85</v>
          </cell>
          <cell r="S158">
            <v>1.3918762945303399E-2</v>
          </cell>
          <cell r="V158">
            <v>48.609497581799999</v>
          </cell>
        </row>
        <row r="159">
          <cell r="A159">
            <v>46351</v>
          </cell>
          <cell r="B159">
            <v>248.322</v>
          </cell>
          <cell r="C159" t="str">
            <v/>
          </cell>
          <cell r="D159">
            <v>622.23110166489596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I159">
            <v>300</v>
          </cell>
          <cell r="J159" t="str">
            <v>0</v>
          </cell>
          <cell r="L159">
            <v>28.977757359953479</v>
          </cell>
          <cell r="M159">
            <v>53</v>
          </cell>
          <cell r="N159">
            <v>761.7777573599534</v>
          </cell>
          <cell r="O159">
            <v>2.1244124690256672</v>
          </cell>
          <cell r="P159">
            <v>624.35551413392159</v>
          </cell>
          <cell r="Q159">
            <v>248.47499999999999</v>
          </cell>
          <cell r="R159">
            <v>251.85</v>
          </cell>
          <cell r="S159">
            <v>1.3918762945303399E-2</v>
          </cell>
          <cell r="V159">
            <v>46.159297185</v>
          </cell>
        </row>
        <row r="160">
          <cell r="A160">
            <v>46352</v>
          </cell>
          <cell r="B160">
            <v>248.47499999999999</v>
          </cell>
          <cell r="C160" t="str">
            <v/>
          </cell>
          <cell r="D160">
            <v>624.34509494880001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I160">
            <v>300</v>
          </cell>
          <cell r="J160" t="str">
            <v>0</v>
          </cell>
          <cell r="L160">
            <v>36.348728398054973</v>
          </cell>
          <cell r="M160">
            <v>53</v>
          </cell>
          <cell r="N160">
            <v>769.14872839805491</v>
          </cell>
          <cell r="O160">
            <v>1.8814508619463837</v>
          </cell>
          <cell r="P160">
            <v>626.22654581074642</v>
          </cell>
          <cell r="Q160">
            <v>248.61099999999999</v>
          </cell>
          <cell r="R160">
            <v>251.85</v>
          </cell>
          <cell r="S160">
            <v>1.3918762945303399E-2</v>
          </cell>
          <cell r="V160">
            <v>43.555959263399998</v>
          </cell>
        </row>
        <row r="161">
          <cell r="A161">
            <v>46353</v>
          </cell>
          <cell r="B161">
            <v>248.61099999999999</v>
          </cell>
          <cell r="C161" t="str">
            <v/>
          </cell>
          <cell r="D161">
            <v>626.22420009004804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I161">
            <v>300</v>
          </cell>
          <cell r="J161" t="str">
            <v>0</v>
          </cell>
          <cell r="L161">
            <v>66.147911217072206</v>
          </cell>
          <cell r="M161">
            <v>53</v>
          </cell>
          <cell r="N161">
            <v>798.94791121707215</v>
          </cell>
          <cell r="O161">
            <v>1.6233102070198626</v>
          </cell>
          <cell r="P161">
            <v>627.84751029706786</v>
          </cell>
          <cell r="Q161">
            <v>248.72800000000001</v>
          </cell>
          <cell r="R161">
            <v>251.85</v>
          </cell>
          <cell r="S161">
            <v>1.3918762945303399E-2</v>
          </cell>
          <cell r="V161">
            <v>41.412033916200002</v>
          </cell>
        </row>
        <row r="162">
          <cell r="A162">
            <v>46354</v>
          </cell>
          <cell r="B162">
            <v>248.72800000000001</v>
          </cell>
          <cell r="C162" t="str">
            <v/>
          </cell>
          <cell r="D162">
            <v>627.84078318950401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I162">
            <v>300</v>
          </cell>
          <cell r="J162" t="str">
            <v>0</v>
          </cell>
          <cell r="L162">
            <v>33.616624018276852</v>
          </cell>
          <cell r="M162">
            <v>53</v>
          </cell>
          <cell r="N162">
            <v>766.41662401827682</v>
          </cell>
          <cell r="O162">
            <v>1.1143922280824956</v>
          </cell>
          <cell r="P162">
            <v>628.95517541758647</v>
          </cell>
          <cell r="Q162">
            <v>248.80799999999999</v>
          </cell>
          <cell r="R162">
            <v>251.85</v>
          </cell>
          <cell r="S162">
            <v>1.3918762945303399E-2</v>
          </cell>
          <cell r="V162">
            <v>34.600585549800002</v>
          </cell>
        </row>
        <row r="163">
          <cell r="A163">
            <v>46355</v>
          </cell>
          <cell r="B163">
            <v>248.80799999999999</v>
          </cell>
          <cell r="C163" t="str">
            <v/>
          </cell>
          <cell r="D163">
            <v>628.94613915494403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I163">
            <v>300</v>
          </cell>
          <cell r="J163" t="str">
            <v>0</v>
          </cell>
          <cell r="L163">
            <v>36.181077159093121</v>
          </cell>
          <cell r="M163">
            <v>53</v>
          </cell>
          <cell r="N163">
            <v>768.98107715909305</v>
          </cell>
          <cell r="O163">
            <v>3.3204744453111594</v>
          </cell>
          <cell r="P163">
            <v>632.26661360025514</v>
          </cell>
          <cell r="Q163">
            <v>249.048</v>
          </cell>
          <cell r="R163">
            <v>251.85</v>
          </cell>
          <cell r="S163">
            <v>1.3918762945303399E-2</v>
          </cell>
          <cell r="V163">
            <v>60.206606865600001</v>
          </cell>
        </row>
        <row r="164">
          <cell r="A164">
            <v>46356</v>
          </cell>
          <cell r="B164">
            <v>249.048</v>
          </cell>
          <cell r="C164" t="str">
            <v/>
          </cell>
          <cell r="D164">
            <v>632.262207051264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I164">
            <v>300</v>
          </cell>
          <cell r="J164" t="str">
            <v>0</v>
          </cell>
          <cell r="L164">
            <v>55.611317053017856</v>
          </cell>
          <cell r="M164">
            <v>53</v>
          </cell>
          <cell r="N164">
            <v>788.4113170530178</v>
          </cell>
          <cell r="O164">
            <v>7.1592424361343161</v>
          </cell>
          <cell r="P164">
            <v>639.42144948739826</v>
          </cell>
          <cell r="Q164">
            <v>249.566</v>
          </cell>
          <cell r="R164">
            <v>251.85</v>
          </cell>
          <cell r="S164">
            <v>1.3918762945303399E-2</v>
          </cell>
          <cell r="V164">
            <v>105.18707358510001</v>
          </cell>
        </row>
        <row r="165">
          <cell r="A165">
            <v>46357</v>
          </cell>
          <cell r="B165">
            <v>249.566</v>
          </cell>
          <cell r="C165" t="str">
            <v/>
          </cell>
          <cell r="D165">
            <v>639.41938692748795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I165">
            <v>300</v>
          </cell>
          <cell r="J165" t="str">
            <v>0</v>
          </cell>
          <cell r="L165">
            <v>89.819617525276939</v>
          </cell>
          <cell r="M165">
            <v>53</v>
          </cell>
          <cell r="N165">
            <v>822.61961752527691</v>
          </cell>
          <cell r="O165">
            <v>2.6410504258765641</v>
          </cell>
          <cell r="P165">
            <v>642.06043735336448</v>
          </cell>
          <cell r="Q165">
            <v>249.75700000000001</v>
          </cell>
          <cell r="R165">
            <v>251.85</v>
          </cell>
          <cell r="S165">
            <v>1.3918762945303399E-2</v>
          </cell>
          <cell r="V165">
            <v>53.861763553499998</v>
          </cell>
        </row>
        <row r="166">
          <cell r="A166">
            <v>46358</v>
          </cell>
          <cell r="B166">
            <v>249.75700000000001</v>
          </cell>
          <cell r="C166" t="str">
            <v/>
          </cell>
          <cell r="D166">
            <v>642.05842429497602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I166">
            <v>300</v>
          </cell>
          <cell r="J166" t="str">
            <v>0</v>
          </cell>
          <cell r="L166">
            <v>51.548635480526372</v>
          </cell>
          <cell r="M166">
            <v>53</v>
          </cell>
          <cell r="N166">
            <v>784.34863548052635</v>
          </cell>
          <cell r="O166">
            <v>1.8438668575855226</v>
          </cell>
          <cell r="P166">
            <v>643.90229115256159</v>
          </cell>
          <cell r="Q166">
            <v>249.89</v>
          </cell>
          <cell r="R166">
            <v>251.85</v>
          </cell>
          <cell r="S166">
            <v>1.3918762945303399E-2</v>
          </cell>
          <cell r="V166">
            <v>43.551371933699997</v>
          </cell>
        </row>
        <row r="167">
          <cell r="A167">
            <v>46359</v>
          </cell>
          <cell r="B167">
            <v>249.89</v>
          </cell>
          <cell r="C167" t="str">
            <v/>
          </cell>
          <cell r="D167">
            <v>643.89607858752004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I167">
            <v>300</v>
          </cell>
          <cell r="J167" t="str">
            <v>0</v>
          </cell>
          <cell r="L167">
            <v>35.370076294852929</v>
          </cell>
          <cell r="M167">
            <v>53</v>
          </cell>
          <cell r="N167">
            <v>768.17007629485283</v>
          </cell>
          <cell r="O167">
            <v>2.6959503683727859</v>
          </cell>
          <cell r="P167">
            <v>646.59202895589283</v>
          </cell>
          <cell r="Q167">
            <v>250.08</v>
          </cell>
          <cell r="R167">
            <v>251.85</v>
          </cell>
          <cell r="S167">
            <v>1.3918762945303399E-2</v>
          </cell>
          <cell r="V167">
            <v>52.955341185000002</v>
          </cell>
        </row>
        <row r="168">
          <cell r="A168">
            <v>46360</v>
          </cell>
          <cell r="B168">
            <v>250.08</v>
          </cell>
          <cell r="C168" t="str">
            <v/>
          </cell>
          <cell r="D168">
            <v>646.58859767423996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I168">
            <v>300</v>
          </cell>
          <cell r="J168" t="str">
            <v>0</v>
          </cell>
          <cell r="L168">
            <v>51.583043973472535</v>
          </cell>
          <cell r="M168">
            <v>53</v>
          </cell>
          <cell r="N168">
            <v>784.38304397347247</v>
          </cell>
          <cell r="O168">
            <v>1.4522137961136745</v>
          </cell>
          <cell r="P168">
            <v>648.04081147035367</v>
          </cell>
          <cell r="Q168">
            <v>250.179</v>
          </cell>
          <cell r="R168">
            <v>251.85</v>
          </cell>
          <cell r="S168">
            <v>1.3918762945303399E-2</v>
          </cell>
          <cell r="V168">
            <v>39.019316724900001</v>
          </cell>
        </row>
        <row r="169">
          <cell r="A169">
            <v>46361</v>
          </cell>
          <cell r="B169">
            <v>250.179</v>
          </cell>
          <cell r="C169" t="str">
            <v/>
          </cell>
          <cell r="D169">
            <v>648.039757784112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I169">
            <v>300</v>
          </cell>
          <cell r="J169" t="str">
            <v>0</v>
          </cell>
          <cell r="L169">
            <v>43.99414033790822</v>
          </cell>
          <cell r="M169">
            <v>53</v>
          </cell>
          <cell r="N169">
            <v>776.79414033790817</v>
          </cell>
          <cell r="O169">
            <v>0.53953718081583069</v>
          </cell>
          <cell r="P169">
            <v>648.57929496492784</v>
          </cell>
          <cell r="Q169">
            <v>250.215</v>
          </cell>
          <cell r="R169">
            <v>251.85</v>
          </cell>
          <cell r="S169">
            <v>1.3918762945303399E-2</v>
          </cell>
          <cell r="V169">
            <v>28.241017475700001</v>
          </cell>
        </row>
        <row r="170">
          <cell r="A170">
            <v>46362</v>
          </cell>
          <cell r="B170">
            <v>250.215</v>
          </cell>
          <cell r="C170" t="str">
            <v/>
          </cell>
          <cell r="D170">
            <v>648.56745236951997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I170">
            <v>300</v>
          </cell>
          <cell r="J170" t="str">
            <v>0</v>
          </cell>
          <cell r="L170">
            <v>82.429937982242123</v>
          </cell>
          <cell r="M170">
            <v>53</v>
          </cell>
          <cell r="N170">
            <v>815.22993798224206</v>
          </cell>
          <cell r="O170">
            <v>0.12644630759904033</v>
          </cell>
          <cell r="P170">
            <v>648.69389867711902</v>
          </cell>
          <cell r="Q170">
            <v>250.22300000000001</v>
          </cell>
          <cell r="R170">
            <v>251.85</v>
          </cell>
          <cell r="S170">
            <v>1.3918762945303399E-2</v>
          </cell>
          <cell r="V170">
            <v>24.548245384050002</v>
          </cell>
        </row>
        <row r="171">
          <cell r="A171">
            <v>46363</v>
          </cell>
          <cell r="B171">
            <v>250.22300000000001</v>
          </cell>
          <cell r="C171" t="str">
            <v/>
          </cell>
          <cell r="D171">
            <v>648.68471783294399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I171">
            <v>300</v>
          </cell>
          <cell r="J171" t="str">
            <v>0</v>
          </cell>
          <cell r="L171">
            <v>45.044546617335051</v>
          </cell>
          <cell r="M171">
            <v>53</v>
          </cell>
          <cell r="N171">
            <v>777.84454661733503</v>
          </cell>
          <cell r="O171">
            <v>0.9735726539012759</v>
          </cell>
          <cell r="P171">
            <v>649.65829048684532</v>
          </cell>
          <cell r="Q171">
            <v>250.28899999999999</v>
          </cell>
          <cell r="R171">
            <v>251.85</v>
          </cell>
          <cell r="S171">
            <v>1.3918762945303399E-2</v>
          </cell>
          <cell r="V171">
            <v>33.2943292593</v>
          </cell>
        </row>
        <row r="172">
          <cell r="A172">
            <v>46364</v>
          </cell>
          <cell r="B172">
            <v>250.28899999999999</v>
          </cell>
          <cell r="C172" t="str">
            <v/>
          </cell>
          <cell r="D172">
            <v>649.65215790619197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I172">
            <v>300</v>
          </cell>
          <cell r="J172" t="str">
            <v>0</v>
          </cell>
          <cell r="L172">
            <v>63.209652604877974</v>
          </cell>
          <cell r="M172">
            <v>53</v>
          </cell>
          <cell r="N172">
            <v>796.00965260487794</v>
          </cell>
          <cell r="O172">
            <v>4.0973084264722921</v>
          </cell>
          <cell r="P172">
            <v>653.74946633266427</v>
          </cell>
          <cell r="Q172">
            <v>250.56800000000001</v>
          </cell>
          <cell r="R172">
            <v>251.85</v>
          </cell>
          <cell r="S172">
            <v>1.3918762945303399E-2</v>
          </cell>
          <cell r="V172">
            <v>69.96312089940001</v>
          </cell>
        </row>
        <row r="173">
          <cell r="A173">
            <v>46365</v>
          </cell>
          <cell r="B173">
            <v>250.56800000000001</v>
          </cell>
          <cell r="C173" t="str">
            <v/>
          </cell>
          <cell r="D173">
            <v>653.74179094310398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I173">
            <v>300</v>
          </cell>
          <cell r="J173" t="str">
            <v>0</v>
          </cell>
          <cell r="L173">
            <v>52.750707510234783</v>
          </cell>
          <cell r="M173">
            <v>53</v>
          </cell>
          <cell r="N173">
            <v>785.5507075102347</v>
          </cell>
          <cell r="O173">
            <v>0.59088198967840977</v>
          </cell>
          <cell r="P173">
            <v>654.33267293278243</v>
          </cell>
          <cell r="Q173">
            <v>250.608</v>
          </cell>
          <cell r="R173">
            <v>251.85</v>
          </cell>
          <cell r="S173">
            <v>1.3918762945303399E-2</v>
          </cell>
          <cell r="V173">
            <v>29.083245545250001</v>
          </cell>
        </row>
        <row r="174">
          <cell r="A174">
            <v>46366</v>
          </cell>
          <cell r="B174">
            <v>250.608</v>
          </cell>
          <cell r="C174" t="str">
            <v/>
          </cell>
          <cell r="D174">
            <v>654.32811826022396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I174">
            <v>300</v>
          </cell>
          <cell r="J174" t="str">
            <v>0</v>
          </cell>
          <cell r="L174">
            <v>25.359075002943019</v>
          </cell>
          <cell r="M174">
            <v>53</v>
          </cell>
          <cell r="N174">
            <v>758.15907500294293</v>
          </cell>
          <cell r="O174">
            <v>0.22129221048393599</v>
          </cell>
          <cell r="P174">
            <v>654.54941047070793</v>
          </cell>
          <cell r="Q174">
            <v>250.62299999999999</v>
          </cell>
          <cell r="R174">
            <v>251.85</v>
          </cell>
          <cell r="S174">
            <v>1.3918762945303399E-2</v>
          </cell>
          <cell r="V174">
            <v>24.029933761650003</v>
          </cell>
        </row>
        <row r="175">
          <cell r="A175">
            <v>46367</v>
          </cell>
          <cell r="B175">
            <v>250.62299999999999</v>
          </cell>
          <cell r="C175" t="str">
            <v/>
          </cell>
          <cell r="D175">
            <v>654.54799100414402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I175">
            <v>300</v>
          </cell>
          <cell r="J175" t="str">
            <v>0</v>
          </cell>
          <cell r="L175">
            <v>36.0302492792623</v>
          </cell>
          <cell r="M175">
            <v>53</v>
          </cell>
          <cell r="N175">
            <v>768.83024927926226</v>
          </cell>
          <cell r="O175">
            <v>1.0468269654536516E-2</v>
          </cell>
          <cell r="P175">
            <v>654.55845927379858</v>
          </cell>
          <cell r="Q175">
            <v>250.62299999999999</v>
          </cell>
          <cell r="R175">
            <v>251.85</v>
          </cell>
          <cell r="S175">
            <v>1.3918762945303399E-2</v>
          </cell>
          <cell r="V175">
            <v>21.892011586650003</v>
          </cell>
        </row>
        <row r="176">
          <cell r="A176">
            <v>46368</v>
          </cell>
          <cell r="B176">
            <v>250.62299999999999</v>
          </cell>
          <cell r="C176" t="str">
            <v/>
          </cell>
          <cell r="D176">
            <v>654.54799100414402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I176">
            <v>300</v>
          </cell>
          <cell r="J176" t="str">
            <v>0</v>
          </cell>
          <cell r="L176">
            <v>51.07070243624996</v>
          </cell>
          <cell r="M176">
            <v>53</v>
          </cell>
          <cell r="N176">
            <v>783.87070243624987</v>
          </cell>
          <cell r="O176">
            <v>1.0447430381959564</v>
          </cell>
          <cell r="P176">
            <v>655.59273404234</v>
          </cell>
          <cell r="Q176">
            <v>250.69399999999999</v>
          </cell>
          <cell r="R176">
            <v>251.85</v>
          </cell>
          <cell r="S176">
            <v>1.3918762945303399E-2</v>
          </cell>
          <cell r="V176">
            <v>34.288703763900003</v>
          </cell>
        </row>
        <row r="177">
          <cell r="A177">
            <v>46369</v>
          </cell>
          <cell r="B177">
            <v>250.69399999999999</v>
          </cell>
          <cell r="C177" t="str">
            <v/>
          </cell>
          <cell r="D177">
            <v>655.58872199203199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I177">
            <v>300</v>
          </cell>
          <cell r="J177" t="str">
            <v>0</v>
          </cell>
          <cell r="L177">
            <v>27.24891480356974</v>
          </cell>
          <cell r="M177">
            <v>53</v>
          </cell>
          <cell r="N177">
            <v>760.04891480356969</v>
          </cell>
          <cell r="O177">
            <v>0.43378467864971992</v>
          </cell>
          <cell r="P177">
            <v>656.02250667068176</v>
          </cell>
          <cell r="Q177">
            <v>250.72300000000001</v>
          </cell>
          <cell r="R177">
            <v>251.85</v>
          </cell>
          <cell r="S177">
            <v>1.3918762945303399E-2</v>
          </cell>
          <cell r="V177">
            <v>26.542855981199999</v>
          </cell>
        </row>
        <row r="178">
          <cell r="A178">
            <v>46370</v>
          </cell>
          <cell r="B178">
            <v>250.72300000000001</v>
          </cell>
          <cell r="C178" t="str">
            <v/>
          </cell>
          <cell r="D178">
            <v>656.01380929694403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I178">
            <v>300</v>
          </cell>
          <cell r="J178" t="str">
            <v>0</v>
          </cell>
          <cell r="L178">
            <v>82.764411336069443</v>
          </cell>
          <cell r="M178">
            <v>53</v>
          </cell>
          <cell r="N178">
            <v>815.56441133606938</v>
          </cell>
          <cell r="O178">
            <v>2.0471904116247538E-2</v>
          </cell>
          <cell r="P178">
            <v>656.03428120106025</v>
          </cell>
          <cell r="Q178">
            <v>250.72399999999999</v>
          </cell>
          <cell r="R178">
            <v>251.85</v>
          </cell>
          <cell r="S178">
            <v>1.3918762945303399E-2</v>
          </cell>
          <cell r="V178">
            <v>23.331158854200002</v>
          </cell>
        </row>
        <row r="179">
          <cell r="A179">
            <v>46371</v>
          </cell>
          <cell r="B179">
            <v>250.72399999999999</v>
          </cell>
          <cell r="C179" t="str">
            <v/>
          </cell>
          <cell r="D179">
            <v>656.02846747987201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I179">
            <v>300</v>
          </cell>
          <cell r="J179" t="str">
            <v>0</v>
          </cell>
          <cell r="L179">
            <v>68.066960845746678</v>
          </cell>
          <cell r="M179">
            <v>53</v>
          </cell>
          <cell r="N179">
            <v>800.86696084574669</v>
          </cell>
          <cell r="O179">
            <v>4.0106742721041019E-2</v>
          </cell>
          <cell r="P179">
            <v>656.06857422259304</v>
          </cell>
          <cell r="Q179">
            <v>250.726</v>
          </cell>
          <cell r="R179">
            <v>251.85</v>
          </cell>
          <cell r="S179">
            <v>1.3918762945303399E-2</v>
          </cell>
          <cell r="V179">
            <v>23.142228831000001</v>
          </cell>
        </row>
        <row r="180">
          <cell r="A180">
            <v>46372</v>
          </cell>
          <cell r="B180">
            <v>250.726</v>
          </cell>
          <cell r="C180" t="str">
            <v/>
          </cell>
          <cell r="D180">
            <v>656.05778384572795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I180">
            <v>300</v>
          </cell>
          <cell r="J180" t="str">
            <v>0</v>
          </cell>
          <cell r="L180">
            <v>46.429464107221499</v>
          </cell>
          <cell r="M180">
            <v>53</v>
          </cell>
          <cell r="N180">
            <v>779.22946410722147</v>
          </cell>
          <cell r="O180">
            <v>4.1901048988273697</v>
          </cell>
          <cell r="P180">
            <v>660.24788874455533</v>
          </cell>
          <cell r="Q180">
            <v>251.011</v>
          </cell>
          <cell r="R180">
            <v>251.85</v>
          </cell>
          <cell r="S180">
            <v>1.3918762945303399E-2</v>
          </cell>
          <cell r="V180">
            <v>70.561993960050003</v>
          </cell>
        </row>
        <row r="181">
          <cell r="A181">
            <v>46373</v>
          </cell>
          <cell r="B181">
            <v>251.011</v>
          </cell>
          <cell r="C181" t="str">
            <v/>
          </cell>
          <cell r="D181">
            <v>660.23536598020803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I181">
            <v>300</v>
          </cell>
          <cell r="J181" t="str">
            <v>0</v>
          </cell>
          <cell r="L181">
            <v>35.431640628095721</v>
          </cell>
          <cell r="M181">
            <v>53</v>
          </cell>
          <cell r="N181">
            <v>768.23164062809565</v>
          </cell>
          <cell r="O181">
            <v>0.83816202997978606</v>
          </cell>
          <cell r="P181">
            <v>661.07352801018783</v>
          </cell>
          <cell r="Q181">
            <v>251.06800000000001</v>
          </cell>
          <cell r="R181">
            <v>251.85</v>
          </cell>
          <cell r="S181">
            <v>1.3918762945303399E-2</v>
          </cell>
          <cell r="V181">
            <v>31.454866683300001</v>
          </cell>
        </row>
        <row r="182">
          <cell r="A182">
            <v>46374</v>
          </cell>
          <cell r="B182">
            <v>251.06800000000001</v>
          </cell>
          <cell r="C182" t="str">
            <v/>
          </cell>
          <cell r="D182">
            <v>661.07088240710402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I182">
            <v>300</v>
          </cell>
          <cell r="J182" t="str">
            <v>0</v>
          </cell>
          <cell r="L182">
            <v>65.408708491884951</v>
          </cell>
          <cell r="M182">
            <v>53</v>
          </cell>
          <cell r="N182">
            <v>798.20870849188486</v>
          </cell>
          <cell r="O182">
            <v>0.3077794104114524</v>
          </cell>
          <cell r="P182">
            <v>661.37866181751542</v>
          </cell>
          <cell r="Q182">
            <v>251.08799999999999</v>
          </cell>
          <cell r="R182">
            <v>251.85</v>
          </cell>
          <cell r="S182">
            <v>1.3918762945303399E-2</v>
          </cell>
          <cell r="V182">
            <v>26.165024251650003</v>
          </cell>
        </row>
        <row r="183">
          <cell r="A183">
            <v>46375</v>
          </cell>
          <cell r="B183">
            <v>251.08799999999999</v>
          </cell>
          <cell r="C183" t="str">
            <v/>
          </cell>
          <cell r="D183">
            <v>661.36404606566396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I183">
            <v>300</v>
          </cell>
          <cell r="J183" t="str">
            <v>0</v>
          </cell>
          <cell r="L183">
            <v>35.634358053746844</v>
          </cell>
          <cell r="M183">
            <v>53</v>
          </cell>
          <cell r="N183">
            <v>768.43435805374679</v>
          </cell>
          <cell r="O183">
            <v>1.9439739032138208</v>
          </cell>
          <cell r="P183">
            <v>663.30801996887783</v>
          </cell>
          <cell r="Q183">
            <v>251.22</v>
          </cell>
          <cell r="R183">
            <v>251.85</v>
          </cell>
          <cell r="S183">
            <v>1.3918762945303399E-2</v>
          </cell>
          <cell r="V183">
            <v>44.259378134250007</v>
          </cell>
        </row>
        <row r="184">
          <cell r="A184">
            <v>46376</v>
          </cell>
          <cell r="B184">
            <v>251.22</v>
          </cell>
          <cell r="C184" t="str">
            <v/>
          </cell>
          <cell r="D184">
            <v>663.29892621216004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I184">
            <v>300</v>
          </cell>
          <cell r="J184" t="str">
            <v>0</v>
          </cell>
          <cell r="L184">
            <v>40.244302021950986</v>
          </cell>
          <cell r="M184">
            <v>53</v>
          </cell>
          <cell r="N184">
            <v>773.0443020219509</v>
          </cell>
          <cell r="O184">
            <v>1.2973525272781763</v>
          </cell>
          <cell r="P184">
            <v>664.59627873943816</v>
          </cell>
          <cell r="Q184">
            <v>251.30799999999999</v>
          </cell>
          <cell r="R184">
            <v>251.85</v>
          </cell>
          <cell r="S184">
            <v>1.3918762945303399E-2</v>
          </cell>
          <cell r="V184">
            <v>36.905860308299999</v>
          </cell>
        </row>
        <row r="185">
          <cell r="A185">
            <v>46377</v>
          </cell>
          <cell r="B185">
            <v>251.30799999999999</v>
          </cell>
          <cell r="C185" t="str">
            <v/>
          </cell>
          <cell r="D185">
            <v>664.58884630982402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I185">
            <v>300</v>
          </cell>
          <cell r="J185" t="str">
            <v>0</v>
          </cell>
          <cell r="L185">
            <v>29.424984302423397</v>
          </cell>
          <cell r="M185">
            <v>53</v>
          </cell>
          <cell r="N185">
            <v>762.22498430242331</v>
          </cell>
          <cell r="O185">
            <v>0.88750364357132416</v>
          </cell>
          <cell r="P185">
            <v>665.47634995339536</v>
          </cell>
          <cell r="Q185">
            <v>251.36799999999999</v>
          </cell>
          <cell r="R185">
            <v>251.85</v>
          </cell>
          <cell r="S185">
            <v>1.3918762945303399E-2</v>
          </cell>
          <cell r="V185">
            <v>31.855861596150003</v>
          </cell>
        </row>
        <row r="186">
          <cell r="A186">
            <v>46378</v>
          </cell>
          <cell r="B186">
            <v>251.36799999999999</v>
          </cell>
          <cell r="C186" t="str">
            <v/>
          </cell>
          <cell r="D186">
            <v>665.46833728550405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I186">
            <v>300</v>
          </cell>
          <cell r="J186" t="str">
            <v>0</v>
          </cell>
          <cell r="L186">
            <v>60.723376329605777</v>
          </cell>
          <cell r="M186">
            <v>53</v>
          </cell>
          <cell r="N186">
            <v>793.52337632960575</v>
          </cell>
          <cell r="O186">
            <v>0.53536030586062444</v>
          </cell>
          <cell r="P186">
            <v>666.0036975913647</v>
          </cell>
          <cell r="Q186">
            <v>251.404</v>
          </cell>
          <cell r="R186">
            <v>251.85</v>
          </cell>
          <cell r="S186">
            <v>1.3918762945303399E-2</v>
          </cell>
          <cell r="V186">
            <v>28.666393196400001</v>
          </cell>
        </row>
        <row r="187">
          <cell r="A187">
            <v>46379</v>
          </cell>
          <cell r="B187">
            <v>251.404</v>
          </cell>
          <cell r="C187" t="str">
            <v/>
          </cell>
          <cell r="D187">
            <v>665.99603187091202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I187">
            <v>300</v>
          </cell>
          <cell r="J187" t="str">
            <v>0</v>
          </cell>
          <cell r="L187">
            <v>69.752153921057015</v>
          </cell>
          <cell r="M187">
            <v>53</v>
          </cell>
          <cell r="N187">
            <v>802.55215392105697</v>
          </cell>
          <cell r="O187">
            <v>0.39079538545376563</v>
          </cell>
          <cell r="P187">
            <v>666.38682725636579</v>
          </cell>
          <cell r="Q187">
            <v>251.43</v>
          </cell>
          <cell r="R187">
            <v>251.85</v>
          </cell>
          <cell r="S187">
            <v>1.3918762945303399E-2</v>
          </cell>
          <cell r="V187">
            <v>27.248851685400002</v>
          </cell>
        </row>
        <row r="188">
          <cell r="A188">
            <v>46380</v>
          </cell>
          <cell r="B188">
            <v>251.43</v>
          </cell>
          <cell r="C188" t="str">
            <v/>
          </cell>
          <cell r="D188">
            <v>666.37714462704002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I188">
            <v>300</v>
          </cell>
          <cell r="J188" t="str">
            <v>0</v>
          </cell>
          <cell r="L188">
            <v>67.500046077365056</v>
          </cell>
          <cell r="M188">
            <v>53</v>
          </cell>
          <cell r="N188">
            <v>800.30004607736498</v>
          </cell>
          <cell r="O188">
            <v>0.26617463578683115</v>
          </cell>
          <cell r="P188">
            <v>666.64331926282682</v>
          </cell>
          <cell r="Q188">
            <v>251.44800000000001</v>
          </cell>
          <cell r="R188">
            <v>251.85</v>
          </cell>
          <cell r="S188">
            <v>1.3918762945303399E-2</v>
          </cell>
          <cell r="V188">
            <v>25.742706750750003</v>
          </cell>
        </row>
        <row r="189">
          <cell r="A189">
            <v>46381</v>
          </cell>
          <cell r="B189">
            <v>251.44800000000001</v>
          </cell>
          <cell r="C189" t="str">
            <v/>
          </cell>
          <cell r="D189">
            <v>666.64099191974401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I189">
            <v>300</v>
          </cell>
          <cell r="J189" t="str">
            <v>0</v>
          </cell>
          <cell r="L189">
            <v>83.35178390841827</v>
          </cell>
          <cell r="M189">
            <v>53</v>
          </cell>
          <cell r="N189">
            <v>816.15178390841822</v>
          </cell>
          <cell r="O189">
            <v>0.12022749974782969</v>
          </cell>
          <cell r="P189">
            <v>666.76121941949179</v>
          </cell>
          <cell r="Q189">
            <v>251.45599999999999</v>
          </cell>
          <cell r="R189">
            <v>251.85</v>
          </cell>
          <cell r="S189">
            <v>1.3918762945303399E-2</v>
          </cell>
          <cell r="V189">
            <v>24.502372087050002</v>
          </cell>
        </row>
        <row r="190">
          <cell r="A190">
            <v>46382</v>
          </cell>
          <cell r="B190">
            <v>251.45599999999999</v>
          </cell>
          <cell r="C190" t="str">
            <v/>
          </cell>
          <cell r="D190">
            <v>666.75825738316803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I190">
            <v>300</v>
          </cell>
          <cell r="J190" t="str">
            <v>0</v>
          </cell>
          <cell r="L190">
            <v>24.241084030800081</v>
          </cell>
          <cell r="M190">
            <v>53</v>
          </cell>
          <cell r="N190">
            <v>757.04108403079999</v>
          </cell>
          <cell r="O190">
            <v>-0.39706163728272187</v>
          </cell>
          <cell r="P190">
            <v>666.36119574588531</v>
          </cell>
          <cell r="Q190">
            <v>251.428</v>
          </cell>
          <cell r="R190">
            <v>251.85</v>
          </cell>
          <cell r="S190">
            <v>1.3918762945303399E-2</v>
          </cell>
          <cell r="V190">
            <v>16.841389903800003</v>
          </cell>
        </row>
        <row r="191">
          <cell r="A191">
            <v>46383</v>
          </cell>
          <cell r="B191">
            <v>251.428</v>
          </cell>
          <cell r="C191" t="str">
            <v/>
          </cell>
          <cell r="D191">
            <v>666.34782826118396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I191">
            <v>300</v>
          </cell>
          <cell r="J191" t="str">
            <v>0</v>
          </cell>
          <cell r="L191">
            <v>52.330781834224815</v>
          </cell>
          <cell r="M191">
            <v>53</v>
          </cell>
          <cell r="N191">
            <v>785.13078183422476</v>
          </cell>
          <cell r="O191">
            <v>0.56707177380681228</v>
          </cell>
          <cell r="P191">
            <v>666.91490003499075</v>
          </cell>
          <cell r="Q191">
            <v>251.46600000000001</v>
          </cell>
          <cell r="R191">
            <v>251.85</v>
          </cell>
          <cell r="S191">
            <v>1.3918762945303399E-2</v>
          </cell>
          <cell r="V191">
            <v>28.795772884050002</v>
          </cell>
        </row>
        <row r="192">
          <cell r="A192">
            <v>46384</v>
          </cell>
          <cell r="B192">
            <v>251.46600000000001</v>
          </cell>
          <cell r="C192" t="str">
            <v/>
          </cell>
          <cell r="D192">
            <v>666.904839212448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I192">
            <v>300</v>
          </cell>
          <cell r="J192" t="str">
            <v>0</v>
          </cell>
          <cell r="L192">
            <v>29.55722646173561</v>
          </cell>
          <cell r="M192">
            <v>53</v>
          </cell>
          <cell r="N192">
            <v>762.35722646173554</v>
          </cell>
          <cell r="O192">
            <v>2.4371418793070871</v>
          </cell>
          <cell r="P192">
            <v>669.34198109175509</v>
          </cell>
          <cell r="Q192">
            <v>251.63200000000001</v>
          </cell>
          <cell r="R192">
            <v>251.85</v>
          </cell>
          <cell r="S192">
            <v>1.3918762945303399E-2</v>
          </cell>
          <cell r="V192">
            <v>49.795265675549999</v>
          </cell>
        </row>
        <row r="193">
          <cell r="A193">
            <v>46385</v>
          </cell>
          <cell r="B193">
            <v>251.63200000000001</v>
          </cell>
          <cell r="C193" t="str">
            <v/>
          </cell>
          <cell r="D193">
            <v>669.33809757849599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I193">
            <v>300</v>
          </cell>
          <cell r="J193" t="str">
            <v>0</v>
          </cell>
          <cell r="L193">
            <v>44.288852312479406</v>
          </cell>
          <cell r="M193">
            <v>53</v>
          </cell>
          <cell r="N193">
            <v>777.08885231247939</v>
          </cell>
          <cell r="O193">
            <v>0.33081842254792188</v>
          </cell>
          <cell r="P193">
            <v>669.66891600104395</v>
          </cell>
          <cell r="Q193">
            <v>251.654</v>
          </cell>
          <cell r="R193">
            <v>251.85</v>
          </cell>
          <cell r="S193">
            <v>1.3918762945303399E-2</v>
          </cell>
          <cell r="V193">
            <v>25.833632156100002</v>
          </cell>
        </row>
        <row r="194">
          <cell r="A194">
            <v>46386</v>
          </cell>
          <cell r="B194">
            <v>251.654</v>
          </cell>
          <cell r="C194" t="str">
            <v/>
          </cell>
          <cell r="D194">
            <v>669.66057760291199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I194">
            <v>300</v>
          </cell>
          <cell r="J194" t="str">
            <v>0</v>
          </cell>
          <cell r="L194">
            <v>34.422492879505455</v>
          </cell>
          <cell r="M194">
            <v>53</v>
          </cell>
          <cell r="N194">
            <v>767.22249287950535</v>
          </cell>
          <cell r="O194">
            <v>-6.0928176427520686E-2</v>
          </cell>
          <cell r="P194">
            <v>669.59964942648446</v>
          </cell>
          <cell r="Q194">
            <v>251.649</v>
          </cell>
          <cell r="R194">
            <v>251.85</v>
          </cell>
          <cell r="S194">
            <v>1.3918762945303399E-2</v>
          </cell>
          <cell r="V194">
            <v>21.020135775149999</v>
          </cell>
        </row>
        <row r="195">
          <cell r="A195">
            <v>46387</v>
          </cell>
          <cell r="B195">
            <v>251.649</v>
          </cell>
          <cell r="C195" t="str">
            <v/>
          </cell>
          <cell r="D195">
            <v>669.587286688272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 t="str">
            <v>0</v>
          </cell>
          <cell r="L195">
            <v>55.501092746648354</v>
          </cell>
          <cell r="M195">
            <v>53</v>
          </cell>
          <cell r="N195">
            <v>488.30109274664835</v>
          </cell>
          <cell r="O195">
            <v>1.0007967656314116</v>
          </cell>
          <cell r="P195">
            <v>670.58808345390344</v>
          </cell>
          <cell r="Q195">
            <v>251.71700000000001</v>
          </cell>
          <cell r="R195">
            <v>251.85</v>
          </cell>
          <cell r="S195">
            <v>2.0929388252833997E-3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D38">
            <v>30.384994337485846</v>
          </cell>
        </row>
        <row r="39">
          <cell r="A39">
            <v>46230</v>
          </cell>
          <cell r="B39">
            <v>84.864000000000004</v>
          </cell>
          <cell r="C39">
            <v>84.864000000000004</v>
          </cell>
          <cell r="D39">
            <v>181816.52235904001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3218.0946448749182</v>
          </cell>
          <cell r="O39">
            <v>333.53444781923503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3962.7900926941534</v>
          </cell>
          <cell r="Y39">
            <v>-244.28451680877484</v>
          </cell>
          <cell r="Z39">
            <v>181572.23784223123</v>
          </cell>
          <cell r="AA39">
            <v>84.810260785938823</v>
          </cell>
          <cell r="AD39">
            <v>23.766223103057758</v>
          </cell>
        </row>
        <row r="40">
          <cell r="A40">
            <v>46231</v>
          </cell>
          <cell r="B40">
            <v>84.811999999999998</v>
          </cell>
          <cell r="C40">
            <v>84.811999999999998</v>
          </cell>
          <cell r="D40">
            <v>181580.14129256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2960.6970832297652</v>
          </cell>
          <cell r="O40">
            <v>256.19455287680154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3628.0526361065668</v>
          </cell>
          <cell r="Y40">
            <v>-52.589574959607376</v>
          </cell>
          <cell r="Z40">
            <v>181527.55171760041</v>
          </cell>
          <cell r="AA40">
            <v>84.800426555580714</v>
          </cell>
          <cell r="AD40">
            <v>77.105804077010191</v>
          </cell>
        </row>
        <row r="41">
          <cell r="A41">
            <v>46232</v>
          </cell>
          <cell r="B41">
            <v>84.747</v>
          </cell>
          <cell r="C41">
            <v>84.747</v>
          </cell>
          <cell r="D41">
            <v>181284.88067528501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3206.919009385324</v>
          </cell>
          <cell r="O41">
            <v>464.09773206502507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4082.177741450349</v>
          </cell>
          <cell r="Y41">
            <v>-173.21279686131015</v>
          </cell>
          <cell r="Z41">
            <v>181111.6678784237</v>
          </cell>
          <cell r="AA41">
            <v>84.708843577551505</v>
          </cell>
          <cell r="AD41">
            <v>50.43601359003398</v>
          </cell>
        </row>
        <row r="42">
          <cell r="A42">
            <v>46233</v>
          </cell>
          <cell r="B42">
            <v>84.715999999999994</v>
          </cell>
          <cell r="C42">
            <v>84.715999999999994</v>
          </cell>
          <cell r="D42">
            <v>181144.14848743993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2952.3263567113372</v>
          </cell>
          <cell r="O42">
            <v>421.66878786881927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3785.1561445801567</v>
          </cell>
          <cell r="Y42">
            <v>-164.77794529172556</v>
          </cell>
          <cell r="Z42">
            <v>180979.37054214822</v>
          </cell>
          <cell r="AA42">
            <v>84.679688011731557</v>
          </cell>
          <cell r="AD42">
            <v>44.790600226500565</v>
          </cell>
        </row>
        <row r="43">
          <cell r="A43">
            <v>46234</v>
          </cell>
          <cell r="B43">
            <v>84.653000000000006</v>
          </cell>
          <cell r="C43">
            <v>84.653000000000006</v>
          </cell>
          <cell r="D43">
            <v>180858.312341285</v>
          </cell>
          <cell r="E43">
            <v>1351.6659999999999</v>
          </cell>
          <cell r="F43">
            <v>0</v>
          </cell>
          <cell r="G43">
            <v>0</v>
          </cell>
          <cell r="H43">
            <v>0</v>
          </cell>
          <cell r="I43">
            <v>1351.6659999999999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3197.9402936928304</v>
          </cell>
          <cell r="O43">
            <v>629.16772515601951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4238.2690188488505</v>
          </cell>
          <cell r="Y43">
            <v>-249.40250082854067</v>
          </cell>
          <cell r="Z43">
            <v>180608.90984045644</v>
          </cell>
          <cell r="AA43">
            <v>84.597989608298136</v>
          </cell>
          <cell r="AD43">
            <v>38.269139297848241</v>
          </cell>
        </row>
        <row r="44">
          <cell r="A44">
            <v>46235</v>
          </cell>
          <cell r="B44">
            <v>84.594999999999999</v>
          </cell>
          <cell r="C44">
            <v>84.594999999999999</v>
          </cell>
          <cell r="D44">
            <v>180595.36066912499</v>
          </cell>
          <cell r="E44">
            <v>2338.67</v>
          </cell>
          <cell r="F44">
            <v>0</v>
          </cell>
          <cell r="G44">
            <v>0</v>
          </cell>
          <cell r="H44">
            <v>0</v>
          </cell>
          <cell r="I44">
            <v>2338.67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2513.5436836868826</v>
          </cell>
          <cell r="O44">
            <v>591.22371249355899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3515.9283961804417</v>
          </cell>
          <cell r="Y44">
            <v>-101.71512542999015</v>
          </cell>
          <cell r="Z44">
            <v>180493.64554369499</v>
          </cell>
          <cell r="AA44">
            <v>84.572553106826931</v>
          </cell>
          <cell r="AD44">
            <v>66.213759909399769</v>
          </cell>
        </row>
        <row r="45">
          <cell r="A45">
            <v>46236</v>
          </cell>
          <cell r="B45">
            <v>84.548000000000002</v>
          </cell>
          <cell r="C45">
            <v>84.548000000000002</v>
          </cell>
          <cell r="D45">
            <v>180382.41912296001</v>
          </cell>
          <cell r="E45">
            <v>1628.4949999999999</v>
          </cell>
          <cell r="F45">
            <v>0</v>
          </cell>
          <cell r="G45">
            <v>0</v>
          </cell>
          <cell r="H45">
            <v>0</v>
          </cell>
          <cell r="I45">
            <v>1628.4949999999999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2509.988960543119</v>
          </cell>
          <cell r="O45">
            <v>593.63633720282076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3514.7862977459399</v>
          </cell>
          <cell r="Y45">
            <v>-162.9755681252492</v>
          </cell>
          <cell r="Z45">
            <v>180219.44355483475</v>
          </cell>
          <cell r="AA45">
            <v>84.512009683544974</v>
          </cell>
          <cell r="AD45">
            <v>46.106879954699885</v>
          </cell>
        </row>
        <row r="46">
          <cell r="A46">
            <v>46237</v>
          </cell>
          <cell r="B46">
            <v>84.53</v>
          </cell>
          <cell r="C46">
            <v>84.53</v>
          </cell>
          <cell r="D46">
            <v>180300.90022849999</v>
          </cell>
          <cell r="E46">
            <v>1146.501</v>
          </cell>
          <cell r="F46">
            <v>0</v>
          </cell>
          <cell r="G46">
            <v>0</v>
          </cell>
          <cell r="H46">
            <v>0</v>
          </cell>
          <cell r="I46">
            <v>1146.501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2508.627577211465</v>
          </cell>
          <cell r="O46">
            <v>548.70815957732191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3468.4967367887871</v>
          </cell>
          <cell r="Y46">
            <v>-200.62043165855121</v>
          </cell>
          <cell r="Z46">
            <v>180100.27979684144</v>
          </cell>
          <cell r="AA46">
            <v>84.485684166563928</v>
          </cell>
          <cell r="AD46">
            <v>32.460390713476784</v>
          </cell>
        </row>
        <row r="47">
          <cell r="A47">
            <v>46238</v>
          </cell>
          <cell r="B47">
            <v>84.485684166563928</v>
          </cell>
          <cell r="C47" t="str">
            <v/>
          </cell>
          <cell r="D47">
            <v>180100.27979684141</v>
          </cell>
          <cell r="E47">
            <v>1122.4010000000001</v>
          </cell>
          <cell r="F47">
            <v>0</v>
          </cell>
          <cell r="G47">
            <v>0</v>
          </cell>
          <cell r="H47">
            <v>0</v>
          </cell>
          <cell r="I47">
            <v>1122.4010000000001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2505.275864046564</v>
          </cell>
          <cell r="O47">
            <v>516.29163928651849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3432.7285033330827</v>
          </cell>
          <cell r="Y47">
            <v>-199.61229628797835</v>
          </cell>
          <cell r="Z47">
            <v>179900.66750055342</v>
          </cell>
          <cell r="AA47">
            <v>84.441566578836941</v>
          </cell>
          <cell r="AD47">
            <v>31.778057757644397</v>
          </cell>
        </row>
        <row r="48">
          <cell r="A48">
            <v>46239</v>
          </cell>
          <cell r="B48">
            <v>84.441566578836941</v>
          </cell>
          <cell r="C48" t="str">
            <v/>
          </cell>
          <cell r="D48">
            <v>179900.66750055342</v>
          </cell>
          <cell r="E48">
            <v>995.87699999999995</v>
          </cell>
          <cell r="F48">
            <v>0</v>
          </cell>
          <cell r="G48">
            <v>0</v>
          </cell>
          <cell r="H48">
            <v>0</v>
          </cell>
          <cell r="I48">
            <v>995.87699999999995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2501.9391446818809</v>
          </cell>
          <cell r="O48">
            <v>726.77231385580342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3639.8724585376845</v>
          </cell>
          <cell r="Y48">
            <v>-228.44120761765595</v>
          </cell>
          <cell r="Z48">
            <v>179672.22629293575</v>
          </cell>
          <cell r="AA48">
            <v>84.391047356830981</v>
          </cell>
          <cell r="AD48">
            <v>28.19583805209513</v>
          </cell>
        </row>
        <row r="49">
          <cell r="A49">
            <v>46240</v>
          </cell>
          <cell r="B49">
            <v>84.391047356830981</v>
          </cell>
          <cell r="C49" t="str">
            <v/>
          </cell>
          <cell r="D49">
            <v>179672.22629293578</v>
          </cell>
          <cell r="E49">
            <v>977.2</v>
          </cell>
          <cell r="F49">
            <v>0</v>
          </cell>
          <cell r="G49">
            <v>0</v>
          </cell>
          <cell r="H49">
            <v>0</v>
          </cell>
          <cell r="I49">
            <v>977.2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2498.118254305934</v>
          </cell>
          <cell r="O49">
            <v>661.03452294833937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3570.3137772542732</v>
          </cell>
          <cell r="Y49">
            <v>-224.04503035476921</v>
          </cell>
          <cell r="Z49">
            <v>179448.18126258103</v>
          </cell>
          <cell r="AA49">
            <v>84.34146920890521</v>
          </cell>
          <cell r="AD49">
            <v>27.66704416761042</v>
          </cell>
        </row>
        <row r="50">
          <cell r="A50">
            <v>46241</v>
          </cell>
          <cell r="B50">
            <v>84.34146920890521</v>
          </cell>
          <cell r="C50" t="str">
            <v/>
          </cell>
          <cell r="D50">
            <v>179448.18126258103</v>
          </cell>
          <cell r="E50">
            <v>907.91399999999999</v>
          </cell>
          <cell r="F50">
            <v>0</v>
          </cell>
          <cell r="G50">
            <v>0</v>
          </cell>
          <cell r="H50">
            <v>0</v>
          </cell>
          <cell r="I50">
            <v>907.91399999999999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2494.368539628133</v>
          </cell>
          <cell r="O50">
            <v>541.15306937834328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3446.6826090064765</v>
          </cell>
          <cell r="Y50">
            <v>-219.34960781815954</v>
          </cell>
          <cell r="Z50">
            <v>179228.83165476288</v>
          </cell>
          <cell r="AA50">
            <v>84.292900173822034</v>
          </cell>
          <cell r="AD50">
            <v>25.70537938844847</v>
          </cell>
        </row>
        <row r="51">
          <cell r="A51">
            <v>46242</v>
          </cell>
          <cell r="B51">
            <v>84.292900173822034</v>
          </cell>
          <cell r="C51" t="str">
            <v/>
          </cell>
          <cell r="D51">
            <v>179228.83165476288</v>
          </cell>
          <cell r="E51">
            <v>1091.203</v>
          </cell>
          <cell r="F51">
            <v>0</v>
          </cell>
          <cell r="G51">
            <v>0</v>
          </cell>
          <cell r="H51">
            <v>0</v>
          </cell>
          <cell r="I51">
            <v>1091.203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2490.6951465838683</v>
          </cell>
          <cell r="O51">
            <v>730.79198012097982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3632.6481267048484</v>
          </cell>
          <cell r="Y51">
            <v>-219.58085894729891</v>
          </cell>
          <cell r="Z51">
            <v>179009.25079581558</v>
          </cell>
          <cell r="AA51">
            <v>84.244250228800638</v>
          </cell>
          <cell r="AD51">
            <v>30.894762174405436</v>
          </cell>
        </row>
        <row r="52">
          <cell r="A52">
            <v>46243</v>
          </cell>
          <cell r="B52">
            <v>84.244250228800638</v>
          </cell>
          <cell r="C52" t="str">
            <v/>
          </cell>
          <cell r="D52">
            <v>179009.25079581561</v>
          </cell>
          <cell r="E52">
            <v>1289.846</v>
          </cell>
          <cell r="F52">
            <v>0</v>
          </cell>
          <cell r="G52">
            <v>0</v>
          </cell>
          <cell r="H52">
            <v>0</v>
          </cell>
          <cell r="I52">
            <v>1289.846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2487.0156341262018</v>
          </cell>
          <cell r="O52">
            <v>596.06294085970728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3494.2395749859093</v>
          </cell>
          <cell r="Y52">
            <v>-190.45960487878256</v>
          </cell>
          <cell r="Z52">
            <v>178818.79119093681</v>
          </cell>
          <cell r="AA52">
            <v>84.202028224757129</v>
          </cell>
          <cell r="AD52">
            <v>36.518856172140431</v>
          </cell>
        </row>
        <row r="53">
          <cell r="A53">
            <v>46244</v>
          </cell>
          <cell r="B53">
            <v>84.202028224757129</v>
          </cell>
          <cell r="C53" t="str">
            <v/>
          </cell>
          <cell r="D53">
            <v>178818.79119093681</v>
          </cell>
          <cell r="E53">
            <v>2484.681</v>
          </cell>
          <cell r="F53">
            <v>0</v>
          </cell>
          <cell r="G53">
            <v>0</v>
          </cell>
          <cell r="H53">
            <v>0</v>
          </cell>
          <cell r="I53">
            <v>2484.681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2483.8222823187652</v>
          </cell>
          <cell r="O53">
            <v>526.63622810822687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3421.6195104269923</v>
          </cell>
          <cell r="Y53">
            <v>-80.951487300892126</v>
          </cell>
          <cell r="Z53">
            <v>178737.83970363592</v>
          </cell>
          <cell r="AA53">
            <v>84.184075715598212</v>
          </cell>
          <cell r="AD53">
            <v>70.347706681766709</v>
          </cell>
        </row>
        <row r="54">
          <cell r="A54">
            <v>46245</v>
          </cell>
          <cell r="B54">
            <v>84.184075715598212</v>
          </cell>
          <cell r="C54" t="str">
            <v/>
          </cell>
          <cell r="D54">
            <v>178737.83970363592</v>
          </cell>
          <cell r="E54">
            <v>2130.7440000000001</v>
          </cell>
          <cell r="F54">
            <v>0</v>
          </cell>
          <cell r="G54">
            <v>0</v>
          </cell>
          <cell r="H54">
            <v>0</v>
          </cell>
          <cell r="I54">
            <v>2130.7440000000001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2482.4644908337477</v>
          </cell>
          <cell r="O54">
            <v>552.24509328304248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3445.8705841167903</v>
          </cell>
          <cell r="Y54">
            <v>-113.62693686769066</v>
          </cell>
          <cell r="Z54">
            <v>178624.21276676824</v>
          </cell>
          <cell r="AA54">
            <v>84.158869970233141</v>
          </cell>
          <cell r="AD54">
            <v>60.326840317100796</v>
          </cell>
        </row>
        <row r="55">
          <cell r="A55">
            <v>46246</v>
          </cell>
          <cell r="B55">
            <v>84.158869970233141</v>
          </cell>
          <cell r="C55" t="str">
            <v/>
          </cell>
          <cell r="D55">
            <v>178624.21276676818</v>
          </cell>
          <cell r="E55">
            <v>3867.1750000000002</v>
          </cell>
          <cell r="F55">
            <v>0</v>
          </cell>
          <cell r="G55">
            <v>0</v>
          </cell>
          <cell r="H55">
            <v>0</v>
          </cell>
          <cell r="I55">
            <v>3867.1750000000002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2480.5581196336411</v>
          </cell>
          <cell r="O55">
            <v>661.82777780710353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3553.5468974407449</v>
          </cell>
          <cell r="Y55">
            <v>27.097468061119649</v>
          </cell>
          <cell r="Z55">
            <v>178651.31023482929</v>
          </cell>
          <cell r="AA55">
            <v>84.164881699472801</v>
          </cell>
          <cell r="AD55">
            <v>109.48966591166479</v>
          </cell>
        </row>
        <row r="56">
          <cell r="A56">
            <v>46247</v>
          </cell>
          <cell r="B56">
            <v>84.164881699472801</v>
          </cell>
          <cell r="C56" t="str">
            <v/>
          </cell>
          <cell r="D56">
            <v>178651.31023482932</v>
          </cell>
          <cell r="E56">
            <v>1118.816</v>
          </cell>
          <cell r="F56">
            <v>0</v>
          </cell>
          <cell r="G56">
            <v>0</v>
          </cell>
          <cell r="H56">
            <v>0</v>
          </cell>
          <cell r="I56">
            <v>1118.816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2481.012801188157</v>
          </cell>
          <cell r="O56">
            <v>882.6700504177021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3774.8438516058591</v>
          </cell>
          <cell r="Y56">
            <v>-229.48080637874619</v>
          </cell>
          <cell r="Z56">
            <v>178421.82942845058</v>
          </cell>
          <cell r="AA56">
            <v>84.113955667995242</v>
          </cell>
          <cell r="AD56">
            <v>31.67655719139298</v>
          </cell>
        </row>
        <row r="57">
          <cell r="A57">
            <v>46248</v>
          </cell>
          <cell r="B57">
            <v>84.113955667995242</v>
          </cell>
          <cell r="C57" t="str">
            <v/>
          </cell>
          <cell r="D57">
            <v>178421.8294284505</v>
          </cell>
          <cell r="E57">
            <v>793.38400000000001</v>
          </cell>
          <cell r="F57">
            <v>0</v>
          </cell>
          <cell r="G57">
            <v>0</v>
          </cell>
          <cell r="H57">
            <v>0</v>
          </cell>
          <cell r="I57">
            <v>793.38400000000001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2477.1611428325559</v>
          </cell>
          <cell r="O57">
            <v>840.91415818006988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3729.236301012626</v>
          </cell>
          <cell r="Y57">
            <v>-253.65763880749088</v>
          </cell>
          <cell r="Z57">
            <v>178168.17178964301</v>
          </cell>
          <cell r="AA57">
            <v>84.057626320314654</v>
          </cell>
          <cell r="AD57">
            <v>22.462740656851643</v>
          </cell>
        </row>
        <row r="58">
          <cell r="A58">
            <v>46249</v>
          </cell>
          <cell r="B58">
            <v>84.057626320314654</v>
          </cell>
          <cell r="C58" t="str">
            <v/>
          </cell>
          <cell r="D58">
            <v>178168.17178964298</v>
          </cell>
          <cell r="E58">
            <v>1600.626</v>
          </cell>
          <cell r="F58">
            <v>0</v>
          </cell>
          <cell r="G58">
            <v>0</v>
          </cell>
          <cell r="H58">
            <v>0</v>
          </cell>
          <cell r="I58">
            <v>1600.626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2472.9008186650394</v>
          </cell>
          <cell r="O58">
            <v>738.10712367855547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3622.1689423435951</v>
          </cell>
          <cell r="Y58">
            <v>-174.66131021848662</v>
          </cell>
          <cell r="Z58">
            <v>177993.5104794245</v>
          </cell>
          <cell r="AA58">
            <v>84.018816303385407</v>
          </cell>
          <cell r="AD58">
            <v>45.317836919592295</v>
          </cell>
        </row>
        <row r="59">
          <cell r="A59">
            <v>46250</v>
          </cell>
          <cell r="B59">
            <v>84.018816303385407</v>
          </cell>
          <cell r="C59" t="str">
            <v/>
          </cell>
          <cell r="D59">
            <v>177993.51047942447</v>
          </cell>
          <cell r="E59">
            <v>939.63400000000001</v>
          </cell>
          <cell r="F59">
            <v>0</v>
          </cell>
          <cell r="G59">
            <v>0</v>
          </cell>
          <cell r="H59">
            <v>0</v>
          </cell>
          <cell r="I59">
            <v>939.63400000000001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2469.9655236567792</v>
          </cell>
          <cell r="O59">
            <v>796.57814977501198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3677.704673431791</v>
          </cell>
          <cell r="Y59">
            <v>-236.56930618450673</v>
          </cell>
          <cell r="Z59">
            <v>177756.94117323996</v>
          </cell>
          <cell r="AA59">
            <v>83.966219931336838</v>
          </cell>
          <cell r="AD59">
            <v>26.603454133635335</v>
          </cell>
        </row>
        <row r="60">
          <cell r="A60">
            <v>46251</v>
          </cell>
          <cell r="B60">
            <v>83.966219931336838</v>
          </cell>
          <cell r="C60" t="str">
            <v/>
          </cell>
          <cell r="D60">
            <v>177756.94117323996</v>
          </cell>
          <cell r="E60">
            <v>3355.1509999999998</v>
          </cell>
          <cell r="F60">
            <v>0</v>
          </cell>
          <cell r="G60">
            <v>0</v>
          </cell>
          <cell r="H60">
            <v>0</v>
          </cell>
          <cell r="I60">
            <v>3355.1509999999998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2465.9875334227572</v>
          </cell>
          <cell r="O60">
            <v>614.90837050204061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3492.056903924798</v>
          </cell>
          <cell r="Y60">
            <v>-11.828670099102562</v>
          </cell>
          <cell r="Z60">
            <v>177745.11250314084</v>
          </cell>
          <cell r="AA60">
            <v>83.963589150946277</v>
          </cell>
          <cell r="AD60">
            <v>94.992950169875414</v>
          </cell>
        </row>
        <row r="61">
          <cell r="A61">
            <v>46252</v>
          </cell>
          <cell r="B61">
            <v>83.963589150946277</v>
          </cell>
          <cell r="C61" t="str">
            <v/>
          </cell>
          <cell r="D61">
            <v>177745.11250314082</v>
          </cell>
          <cell r="E61">
            <v>3434.2620000000002</v>
          </cell>
          <cell r="F61">
            <v>0</v>
          </cell>
          <cell r="G61">
            <v>0</v>
          </cell>
          <cell r="H61">
            <v>0</v>
          </cell>
          <cell r="I61">
            <v>3434.2620000000002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2465.7885611687043</v>
          </cell>
          <cell r="O61">
            <v>348.68280841130951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3225.6323695800138</v>
          </cell>
          <cell r="Y61">
            <v>18.02560006828682</v>
          </cell>
          <cell r="Z61">
            <v>177763.13810320912</v>
          </cell>
          <cell r="AA61">
            <v>83.967598137796656</v>
          </cell>
          <cell r="AD61">
            <v>97.232785956964904</v>
          </cell>
        </row>
        <row r="62">
          <cell r="A62">
            <v>46253</v>
          </cell>
          <cell r="B62">
            <v>83.967598137796656</v>
          </cell>
          <cell r="C62" t="str">
            <v/>
          </cell>
          <cell r="D62">
            <v>177763.13810320912</v>
          </cell>
          <cell r="E62">
            <v>1295.633</v>
          </cell>
          <cell r="F62">
            <v>0</v>
          </cell>
          <cell r="G62">
            <v>0</v>
          </cell>
          <cell r="H62">
            <v>0</v>
          </cell>
          <cell r="I62">
            <v>1295.633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2466.0917704950893</v>
          </cell>
          <cell r="O62">
            <v>689.25062678450115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3566.5033972795904</v>
          </cell>
          <cell r="Y62">
            <v>-196.20320232495661</v>
          </cell>
          <cell r="Z62">
            <v>177566.93490088417</v>
          </cell>
          <cell r="AA62">
            <v>83.923950614494601</v>
          </cell>
          <cell r="AD62">
            <v>36.682701019252548</v>
          </cell>
        </row>
        <row r="63">
          <cell r="A63">
            <v>46254</v>
          </cell>
          <cell r="B63">
            <v>83.923950614494601</v>
          </cell>
          <cell r="C63" t="str">
            <v/>
          </cell>
          <cell r="D63">
            <v>177566.93490088411</v>
          </cell>
          <cell r="E63">
            <v>905.35299999999995</v>
          </cell>
          <cell r="F63">
            <v>0</v>
          </cell>
          <cell r="G63">
            <v>0</v>
          </cell>
          <cell r="H63">
            <v>0</v>
          </cell>
          <cell r="I63">
            <v>905.35299999999995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2462.7906032344563</v>
          </cell>
          <cell r="O63">
            <v>950.88240362402917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3824.8340068584857</v>
          </cell>
          <cell r="Y63">
            <v>-252.24315899257314</v>
          </cell>
          <cell r="Z63">
            <v>177314.69174189153</v>
          </cell>
          <cell r="AA63">
            <v>83.86780103798354</v>
          </cell>
          <cell r="AD63">
            <v>25.632870894677236</v>
          </cell>
        </row>
        <row r="64">
          <cell r="A64">
            <v>46255</v>
          </cell>
          <cell r="B64">
            <v>83.86780103798354</v>
          </cell>
          <cell r="C64" t="str">
            <v/>
          </cell>
          <cell r="D64">
            <v>177314.6917418915</v>
          </cell>
          <cell r="E64">
            <v>934.36</v>
          </cell>
          <cell r="F64">
            <v>0</v>
          </cell>
          <cell r="G64">
            <v>0</v>
          </cell>
          <cell r="H64">
            <v>300</v>
          </cell>
          <cell r="I64">
            <v>1234.3600000000001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2458.5438755932564</v>
          </cell>
          <cell r="O64">
            <v>828.01751523811186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3697.7223908313681</v>
          </cell>
          <cell r="Y64">
            <v>-212.83451056783019</v>
          </cell>
          <cell r="Z64">
            <v>177101.85723132367</v>
          </cell>
          <cell r="AA64">
            <v>83.820392866706996</v>
          </cell>
          <cell r="AD64">
            <v>26.454133635334088</v>
          </cell>
        </row>
        <row r="65">
          <cell r="A65">
            <v>46256</v>
          </cell>
          <cell r="B65">
            <v>83.820392866706996</v>
          </cell>
          <cell r="C65" t="str">
            <v/>
          </cell>
          <cell r="D65">
            <v>177101.85723132361</v>
          </cell>
          <cell r="E65">
            <v>1131.1880000000001</v>
          </cell>
          <cell r="F65">
            <v>0</v>
          </cell>
          <cell r="G65">
            <v>0</v>
          </cell>
          <cell r="H65">
            <v>300</v>
          </cell>
          <cell r="I65">
            <v>1431.1880000000001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2454.9582814732521</v>
          </cell>
          <cell r="O65">
            <v>850.55623251142003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3716.6755139846723</v>
          </cell>
          <cell r="Y65">
            <v>-197.46612120827569</v>
          </cell>
          <cell r="Z65">
            <v>176904.39111011534</v>
          </cell>
          <cell r="AA65">
            <v>83.776382532042078</v>
          </cell>
          <cell r="AD65">
            <v>32.026840317100799</v>
          </cell>
        </row>
        <row r="66">
          <cell r="A66">
            <v>46257</v>
          </cell>
          <cell r="B66">
            <v>83.776382532042078</v>
          </cell>
          <cell r="C66" t="str">
            <v/>
          </cell>
          <cell r="D66">
            <v>176904.39111011536</v>
          </cell>
          <cell r="E66">
            <v>1061.816</v>
          </cell>
          <cell r="F66">
            <v>0</v>
          </cell>
          <cell r="G66">
            <v>0</v>
          </cell>
          <cell r="H66">
            <v>300</v>
          </cell>
          <cell r="I66">
            <v>1361.816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2451.6296739158452</v>
          </cell>
          <cell r="O66">
            <v>757.67851542926769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3620.4691893451127</v>
          </cell>
          <cell r="Y66">
            <v>-195.14763555941778</v>
          </cell>
          <cell r="Z66">
            <v>176709.24347455596</v>
          </cell>
          <cell r="AA66">
            <v>83.732864850654792</v>
          </cell>
          <cell r="AD66">
            <v>30.062740656851641</v>
          </cell>
        </row>
        <row r="67">
          <cell r="A67">
            <v>46258</v>
          </cell>
          <cell r="B67">
            <v>83.732864850654792</v>
          </cell>
          <cell r="C67" t="str">
            <v/>
          </cell>
          <cell r="D67">
            <v>176709.24347455599</v>
          </cell>
          <cell r="E67">
            <v>831.85299999999995</v>
          </cell>
          <cell r="F67">
            <v>0</v>
          </cell>
          <cell r="G67">
            <v>0</v>
          </cell>
          <cell r="H67">
            <v>300</v>
          </cell>
          <cell r="I67">
            <v>1131.8530000000001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2448.3383269117962</v>
          </cell>
          <cell r="O67">
            <v>675.10740631333738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3534.6067332251337</v>
          </cell>
          <cell r="Y67">
            <v>-207.59792255065156</v>
          </cell>
          <cell r="Z67">
            <v>176501.64555200533</v>
          </cell>
          <cell r="AA67">
            <v>83.686544448717171</v>
          </cell>
          <cell r="AD67">
            <v>23.551896942242355</v>
          </cell>
        </row>
        <row r="68">
          <cell r="A68">
            <v>46259</v>
          </cell>
          <cell r="B68">
            <v>83.686544448717171</v>
          </cell>
          <cell r="C68" t="str">
            <v/>
          </cell>
          <cell r="D68">
            <v>176501.6455520053</v>
          </cell>
          <cell r="E68">
            <v>2685.0790000000002</v>
          </cell>
          <cell r="F68">
            <v>0</v>
          </cell>
          <cell r="G68">
            <v>0</v>
          </cell>
          <cell r="H68">
            <v>300</v>
          </cell>
          <cell r="I68">
            <v>2985.0790000000002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2444.835003405497</v>
          </cell>
          <cell r="O68">
            <v>531.87686693425053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3387.8728703397474</v>
          </cell>
          <cell r="Y68">
            <v>-34.801390397354155</v>
          </cell>
          <cell r="Z68">
            <v>176466.84416160794</v>
          </cell>
          <cell r="AA68">
            <v>83.678776710063971</v>
          </cell>
          <cell r="AD68">
            <v>76.021489241223108</v>
          </cell>
        </row>
        <row r="69">
          <cell r="A69">
            <v>46260</v>
          </cell>
          <cell r="B69">
            <v>83.678776710063971</v>
          </cell>
          <cell r="C69" t="str">
            <v/>
          </cell>
          <cell r="D69">
            <v>176466.84416160791</v>
          </cell>
          <cell r="E69">
            <v>1758.4659999999999</v>
          </cell>
          <cell r="F69">
            <v>0</v>
          </cell>
          <cell r="G69">
            <v>0</v>
          </cell>
          <cell r="H69">
            <v>300</v>
          </cell>
          <cell r="I69">
            <v>2058.4659999999999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2444.2475106317684</v>
          </cell>
          <cell r="O69">
            <v>218.09980355003287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3073.5083141818013</v>
          </cell>
          <cell r="Y69">
            <v>-87.69965594530764</v>
          </cell>
          <cell r="Z69">
            <v>176379.14450566261</v>
          </cell>
          <cell r="AA69">
            <v>83.65919858513746</v>
          </cell>
          <cell r="AD69">
            <v>49.786693091732722</v>
          </cell>
        </row>
        <row r="70">
          <cell r="A70">
            <v>46261</v>
          </cell>
          <cell r="B70">
            <v>83.65919858513746</v>
          </cell>
          <cell r="C70" t="str">
            <v/>
          </cell>
          <cell r="D70">
            <v>176379.14450566258</v>
          </cell>
          <cell r="E70">
            <v>1562.3219999999999</v>
          </cell>
          <cell r="F70">
            <v>0</v>
          </cell>
          <cell r="G70">
            <v>0</v>
          </cell>
          <cell r="H70">
            <v>300</v>
          </cell>
          <cell r="I70">
            <v>1862.3219999999999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2442.7667699128797</v>
          </cell>
          <cell r="O70">
            <v>181.11306195860777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3035.0408318714876</v>
          </cell>
          <cell r="Y70">
            <v>-101.32290707369654</v>
          </cell>
          <cell r="Z70">
            <v>176277.8215985889</v>
          </cell>
          <cell r="AA70">
            <v>83.63657315081079</v>
          </cell>
          <cell r="AD70">
            <v>44.233352208380516</v>
          </cell>
        </row>
        <row r="71">
          <cell r="A71">
            <v>46262</v>
          </cell>
          <cell r="B71">
            <v>83.63657315081079</v>
          </cell>
          <cell r="C71" t="str">
            <v/>
          </cell>
          <cell r="D71">
            <v>176277.82159858881</v>
          </cell>
          <cell r="E71">
            <v>1335.741</v>
          </cell>
          <cell r="F71">
            <v>0</v>
          </cell>
          <cell r="G71">
            <v>0</v>
          </cell>
          <cell r="H71">
            <v>300</v>
          </cell>
          <cell r="I71">
            <v>1635.741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2441.0555538482267</v>
          </cell>
          <cell r="O71">
            <v>504.01734038972313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3356.2338942379502</v>
          </cell>
          <cell r="Y71">
            <v>-148.65058606215891</v>
          </cell>
          <cell r="Z71">
            <v>176129.17101252664</v>
          </cell>
          <cell r="AA71">
            <v>83.603367689756155</v>
          </cell>
          <cell r="AD71">
            <v>37.818261608154017</v>
          </cell>
        </row>
        <row r="72">
          <cell r="A72">
            <v>46263</v>
          </cell>
          <cell r="B72">
            <v>83.603367689756155</v>
          </cell>
          <cell r="C72" t="str">
            <v/>
          </cell>
          <cell r="D72">
            <v>176129.17101252661</v>
          </cell>
          <cell r="E72">
            <v>2858.4940000000001</v>
          </cell>
          <cell r="F72">
            <v>0</v>
          </cell>
          <cell r="G72">
            <v>0</v>
          </cell>
          <cell r="H72">
            <v>300</v>
          </cell>
          <cell r="I72">
            <v>3158.4940000000001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2438.5441448926895</v>
          </cell>
          <cell r="O72">
            <v>454.66220332141768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3304.3673482141071</v>
          </cell>
          <cell r="Y72">
            <v>-12.603457285698839</v>
          </cell>
          <cell r="Z72">
            <v>176116.56755524091</v>
          </cell>
          <cell r="AA72">
            <v>83.60055169581257</v>
          </cell>
          <cell r="AD72">
            <v>80.93131370328426</v>
          </cell>
        </row>
        <row r="73">
          <cell r="A73">
            <v>46264</v>
          </cell>
          <cell r="B73">
            <v>83.60055169581257</v>
          </cell>
          <cell r="C73" t="str">
            <v/>
          </cell>
          <cell r="D73">
            <v>176116.56755524094</v>
          </cell>
          <cell r="E73">
            <v>1978.8409999999999</v>
          </cell>
          <cell r="F73">
            <v>0</v>
          </cell>
          <cell r="G73">
            <v>0</v>
          </cell>
          <cell r="H73">
            <v>300</v>
          </cell>
          <cell r="I73">
            <v>2278.8409999999999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2438.3311644917549</v>
          </cell>
          <cell r="O73">
            <v>415.16786843471857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3264.6600329264734</v>
          </cell>
          <cell r="Y73">
            <v>-85.174764444847298</v>
          </cell>
          <cell r="Z73">
            <v>176031.39279079609</v>
          </cell>
          <cell r="AA73">
            <v>83.581518439090075</v>
          </cell>
          <cell r="AD73">
            <v>56.026075877689692</v>
          </cell>
        </row>
        <row r="74">
          <cell r="A74">
            <v>46265</v>
          </cell>
          <cell r="B74">
            <v>83.581518439090075</v>
          </cell>
          <cell r="C74" t="str">
            <v/>
          </cell>
          <cell r="D74">
            <v>176031.39279079606</v>
          </cell>
          <cell r="E74">
            <v>1362.098</v>
          </cell>
          <cell r="F74">
            <v>0</v>
          </cell>
          <cell r="G74">
            <v>0</v>
          </cell>
          <cell r="H74">
            <v>300</v>
          </cell>
          <cell r="I74">
            <v>1662.098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2436.8916334668056</v>
          </cell>
          <cell r="O74">
            <v>425.61970125506497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3273.6723347218708</v>
          </cell>
          <cell r="Y74">
            <v>-139.24002251996964</v>
          </cell>
          <cell r="Z74">
            <v>175892.15276827608</v>
          </cell>
          <cell r="AA74">
            <v>83.550393798580416</v>
          </cell>
          <cell r="AD74">
            <v>38.564496036240087</v>
          </cell>
        </row>
        <row r="75">
          <cell r="A75">
            <v>46266</v>
          </cell>
          <cell r="B75">
            <v>83.550393798580416</v>
          </cell>
          <cell r="C75" t="str">
            <v/>
          </cell>
          <cell r="D75">
            <v>175892.15276827605</v>
          </cell>
          <cell r="E75">
            <v>1331.261</v>
          </cell>
          <cell r="F75">
            <v>0</v>
          </cell>
          <cell r="G75">
            <v>0</v>
          </cell>
          <cell r="H75">
            <v>300</v>
          </cell>
          <cell r="I75">
            <v>1631.261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2434.5376019782734</v>
          </cell>
          <cell r="O75">
            <v>682.27883259005262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3527.9774345683263</v>
          </cell>
          <cell r="Y75">
            <v>-163.8762999467034</v>
          </cell>
          <cell r="Z75">
            <v>175728.27646832934</v>
          </cell>
          <cell r="AA75">
            <v>83.51374640698225</v>
          </cell>
          <cell r="AD75">
            <v>37.691421291053224</v>
          </cell>
        </row>
        <row r="76">
          <cell r="A76">
            <v>46267</v>
          </cell>
          <cell r="B76">
            <v>83.51374640698225</v>
          </cell>
          <cell r="C76" t="str">
            <v/>
          </cell>
          <cell r="D76">
            <v>175728.27646832936</v>
          </cell>
          <cell r="E76">
            <v>1169.366</v>
          </cell>
          <cell r="F76">
            <v>0</v>
          </cell>
          <cell r="G76">
            <v>0</v>
          </cell>
          <cell r="H76">
            <v>300</v>
          </cell>
          <cell r="I76">
            <v>1469.366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2431.7658715299208</v>
          </cell>
          <cell r="O76">
            <v>745.65660571442243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3588.5834772443432</v>
          </cell>
          <cell r="Y76">
            <v>-183.10039003391125</v>
          </cell>
          <cell r="Z76">
            <v>175545.17607829545</v>
          </cell>
          <cell r="AA76">
            <v>83.472779794456457</v>
          </cell>
          <cell r="AD76">
            <v>33.107757644394113</v>
          </cell>
        </row>
        <row r="77">
          <cell r="A77">
            <v>46268</v>
          </cell>
          <cell r="B77">
            <v>83.472779794456457</v>
          </cell>
          <cell r="C77" t="str">
            <v/>
          </cell>
          <cell r="D77">
            <v>175545.17607829545</v>
          </cell>
          <cell r="E77">
            <v>1145.4680000000001</v>
          </cell>
          <cell r="F77">
            <v>0</v>
          </cell>
          <cell r="G77">
            <v>0</v>
          </cell>
          <cell r="H77">
            <v>300</v>
          </cell>
          <cell r="I77">
            <v>1445.4680000000001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2428.667468005091</v>
          </cell>
          <cell r="O77">
            <v>435.73482561136296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3275.5632936164538</v>
          </cell>
          <cell r="Y77">
            <v>-158.12023336846161</v>
          </cell>
          <cell r="Z77">
            <v>175387.055844927</v>
          </cell>
          <cell r="AA77">
            <v>83.437385052682757</v>
          </cell>
          <cell r="AD77">
            <v>32.431143827859572</v>
          </cell>
        </row>
        <row r="78">
          <cell r="A78">
            <v>46269</v>
          </cell>
          <cell r="B78">
            <v>83.437385052682757</v>
          </cell>
          <cell r="C78" t="str">
            <v/>
          </cell>
          <cell r="D78">
            <v>175387.05584492697</v>
          </cell>
          <cell r="E78">
            <v>1056.8109999999999</v>
          </cell>
          <cell r="F78">
            <v>0</v>
          </cell>
          <cell r="G78">
            <v>0</v>
          </cell>
          <cell r="H78">
            <v>300</v>
          </cell>
          <cell r="I78">
            <v>1356.8109999999999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2425.9904784784849</v>
          </cell>
          <cell r="O78">
            <v>532.18979027087562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3369.3412687493606</v>
          </cell>
          <cell r="Y78">
            <v>-173.88261521994474</v>
          </cell>
          <cell r="Z78">
            <v>175213.17322970703</v>
          </cell>
          <cell r="AA78">
            <v>83.39844356876273</v>
          </cell>
          <cell r="AD78">
            <v>29.921036240090597</v>
          </cell>
        </row>
        <row r="79">
          <cell r="A79">
            <v>46270</v>
          </cell>
          <cell r="B79">
            <v>83.39844356876273</v>
          </cell>
          <cell r="C79" t="str">
            <v/>
          </cell>
          <cell r="D79">
            <v>175213.173229707</v>
          </cell>
          <cell r="E79">
            <v>1092.8510000000001</v>
          </cell>
          <cell r="F79">
            <v>0</v>
          </cell>
          <cell r="G79">
            <v>0</v>
          </cell>
          <cell r="H79">
            <v>300</v>
          </cell>
          <cell r="I79">
            <v>1392.8510000000001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2423.0452403052295</v>
          </cell>
          <cell r="O79">
            <v>436.58560034782931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3270.7918406530589</v>
          </cell>
          <cell r="Y79">
            <v>-162.25408863242427</v>
          </cell>
          <cell r="Z79">
            <v>175050.91914107458</v>
          </cell>
          <cell r="AA79">
            <v>83.362088936079488</v>
          </cell>
          <cell r="AD79">
            <v>30.941421291053231</v>
          </cell>
        </row>
        <row r="80">
          <cell r="A80">
            <v>46271</v>
          </cell>
          <cell r="B80">
            <v>83.362088936079488</v>
          </cell>
          <cell r="C80" t="str">
            <v/>
          </cell>
          <cell r="D80">
            <v>175050.91914107456</v>
          </cell>
          <cell r="E80">
            <v>1284.9670000000001</v>
          </cell>
          <cell r="F80">
            <v>0</v>
          </cell>
          <cell r="G80">
            <v>0</v>
          </cell>
          <cell r="H80">
            <v>300</v>
          </cell>
          <cell r="I80">
            <v>1584.9670000000001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2420.2956519183754</v>
          </cell>
          <cell r="O80">
            <v>272.84224058504674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3104.2988925034224</v>
          </cell>
          <cell r="Y80">
            <v>-131.27027551229568</v>
          </cell>
          <cell r="Z80">
            <v>174919.64886556225</v>
          </cell>
          <cell r="AA80">
            <v>83.332664231818455</v>
          </cell>
          <cell r="AD80">
            <v>36.380719139297852</v>
          </cell>
        </row>
        <row r="81">
          <cell r="A81">
            <v>46272</v>
          </cell>
          <cell r="B81">
            <v>83.332664231818455</v>
          </cell>
          <cell r="C81" t="str">
            <v/>
          </cell>
          <cell r="D81">
            <v>174919.64886556222</v>
          </cell>
          <cell r="E81">
            <v>2473.4290000000001</v>
          </cell>
          <cell r="F81">
            <v>0</v>
          </cell>
          <cell r="G81">
            <v>0</v>
          </cell>
          <cell r="H81">
            <v>300</v>
          </cell>
          <cell r="I81">
            <v>2773.4290000000001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2418.0701907006082</v>
          </cell>
          <cell r="O81">
            <v>299.62888640907988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3128.8600771096881</v>
          </cell>
          <cell r="Y81">
            <v>-30.709245062277041</v>
          </cell>
          <cell r="Z81">
            <v>174888.93962049994</v>
          </cell>
          <cell r="AA81">
            <v>83.325779054588352</v>
          </cell>
          <cell r="AD81">
            <v>70.029133635334091</v>
          </cell>
        </row>
        <row r="82">
          <cell r="A82">
            <v>46273</v>
          </cell>
          <cell r="B82">
            <v>83.325779054588352</v>
          </cell>
          <cell r="C82" t="str">
            <v/>
          </cell>
          <cell r="D82">
            <v>174888.93962049991</v>
          </cell>
          <cell r="E82">
            <v>2121.3789999999999</v>
          </cell>
          <cell r="F82">
            <v>0</v>
          </cell>
          <cell r="G82">
            <v>0</v>
          </cell>
          <cell r="H82">
            <v>300</v>
          </cell>
          <cell r="I82">
            <v>2421.3789999999999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2417.5494481719111</v>
          </cell>
          <cell r="O82">
            <v>285.64995436470412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3114.3604025366153</v>
          </cell>
          <cell r="Y82">
            <v>-59.873593179163578</v>
          </cell>
          <cell r="Z82">
            <v>174829.06602732075</v>
          </cell>
          <cell r="AA82">
            <v>83.312353340114242</v>
          </cell>
          <cell r="AD82">
            <v>60.061693091732728</v>
          </cell>
        </row>
        <row r="83">
          <cell r="A83">
            <v>46274</v>
          </cell>
          <cell r="B83">
            <v>83.312353340114242</v>
          </cell>
          <cell r="C83" t="str">
            <v/>
          </cell>
          <cell r="D83">
            <v>174829.06602732075</v>
          </cell>
          <cell r="E83">
            <v>3848.547</v>
          </cell>
          <cell r="F83">
            <v>0</v>
          </cell>
          <cell r="G83">
            <v>0</v>
          </cell>
          <cell r="H83">
            <v>300</v>
          </cell>
          <cell r="I83">
            <v>4148.5470000000005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2416.5340290663225</v>
          </cell>
          <cell r="O83">
            <v>437.43941847209106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3265.1344475384135</v>
          </cell>
          <cell r="Y83">
            <v>76.326844532681108</v>
          </cell>
          <cell r="Z83">
            <v>174905.39287185343</v>
          </cell>
          <cell r="AA83">
            <v>83.329468036653935</v>
          </cell>
          <cell r="AD83">
            <v>108.96225934314836</v>
          </cell>
        </row>
        <row r="84">
          <cell r="A84">
            <v>46275</v>
          </cell>
          <cell r="B84">
            <v>83.329468036653935</v>
          </cell>
          <cell r="C84" t="str">
            <v/>
          </cell>
          <cell r="D84">
            <v>174905.39287185343</v>
          </cell>
          <cell r="E84">
            <v>1114.8499999999999</v>
          </cell>
          <cell r="F84">
            <v>0</v>
          </cell>
          <cell r="G84">
            <v>0</v>
          </cell>
          <cell r="H84">
            <v>300</v>
          </cell>
          <cell r="I84">
            <v>1414.85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2417.8284547660701</v>
          </cell>
          <cell r="O84">
            <v>329.02767220061151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3158.0171269666816</v>
          </cell>
          <cell r="Y84">
            <v>-150.6096397699213</v>
          </cell>
          <cell r="Z84">
            <v>174754.78323208352</v>
          </cell>
          <cell r="AA84">
            <v>83.295693400013633</v>
          </cell>
          <cell r="AD84">
            <v>31.564269535673837</v>
          </cell>
        </row>
        <row r="85">
          <cell r="A85">
            <v>46276</v>
          </cell>
          <cell r="B85">
            <v>83.295693400013633</v>
          </cell>
          <cell r="C85" t="str">
            <v/>
          </cell>
          <cell r="D85">
            <v>174754.78323208343</v>
          </cell>
          <cell r="E85">
            <v>791.15300000000002</v>
          </cell>
          <cell r="F85">
            <v>0</v>
          </cell>
          <cell r="G85">
            <v>0</v>
          </cell>
          <cell r="H85">
            <v>300</v>
          </cell>
          <cell r="I85">
            <v>1091.153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2415.2739976908042</v>
          </cell>
          <cell r="O85">
            <v>249.83533603432005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3076.2703337251241</v>
          </cell>
          <cell r="Y85">
            <v>-171.51413763385071</v>
          </cell>
          <cell r="Z85">
            <v>174583.26909444958</v>
          </cell>
          <cell r="AA85">
            <v>83.257213184928204</v>
          </cell>
          <cell r="AD85">
            <v>22.39957531143828</v>
          </cell>
        </row>
        <row r="86">
          <cell r="A86">
            <v>46277</v>
          </cell>
          <cell r="B86">
            <v>83.257213184928204</v>
          </cell>
          <cell r="C86" t="str">
            <v/>
          </cell>
          <cell r="D86">
            <v>174583.26909444953</v>
          </cell>
          <cell r="E86">
            <v>2095.9749999999999</v>
          </cell>
          <cell r="F86">
            <v>0</v>
          </cell>
          <cell r="G86">
            <v>0</v>
          </cell>
          <cell r="H86">
            <v>300</v>
          </cell>
          <cell r="I86">
            <v>2395.9749999999999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2412.3636463899288</v>
          </cell>
          <cell r="O86">
            <v>709.73669475932581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3533.2613411492548</v>
          </cell>
          <cell r="Y86">
            <v>-98.261539875295625</v>
          </cell>
          <cell r="Z86">
            <v>174485.00755457423</v>
          </cell>
          <cell r="AA86">
            <v>83.23515912914786</v>
          </cell>
          <cell r="AD86">
            <v>59.342440543601356</v>
          </cell>
        </row>
        <row r="87">
          <cell r="A87">
            <v>46278</v>
          </cell>
          <cell r="B87">
            <v>83.23515912914786</v>
          </cell>
          <cell r="C87" t="str">
            <v/>
          </cell>
          <cell r="D87">
            <v>174485.00755457426</v>
          </cell>
          <cell r="E87">
            <v>1168.893</v>
          </cell>
          <cell r="F87">
            <v>0</v>
          </cell>
          <cell r="G87">
            <v>0</v>
          </cell>
          <cell r="H87">
            <v>300</v>
          </cell>
          <cell r="I87">
            <v>1468.893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2410.695645060222</v>
          </cell>
          <cell r="O87">
            <v>846.74497289735189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3668.601617957574</v>
          </cell>
          <cell r="Y87">
            <v>-190.05482459153438</v>
          </cell>
          <cell r="Z87">
            <v>174294.95272998273</v>
          </cell>
          <cell r="AA87">
            <v>83.192485183282201</v>
          </cell>
          <cell r="AD87">
            <v>33.094365798414493</v>
          </cell>
        </row>
        <row r="88">
          <cell r="A88">
            <v>46279</v>
          </cell>
          <cell r="B88">
            <v>83.192485183282201</v>
          </cell>
          <cell r="C88" t="str">
            <v/>
          </cell>
          <cell r="D88">
            <v>174294.95272998267</v>
          </cell>
          <cell r="E88">
            <v>4565.723</v>
          </cell>
          <cell r="F88">
            <v>0</v>
          </cell>
          <cell r="G88">
            <v>0</v>
          </cell>
          <cell r="H88">
            <v>300</v>
          </cell>
          <cell r="I88">
            <v>4865.723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2407.4681118048102</v>
          </cell>
          <cell r="O88">
            <v>798.2032826775694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3616.8323944823796</v>
          </cell>
          <cell r="Y88">
            <v>107.9041483167224</v>
          </cell>
          <cell r="Z88">
            <v>174402.85687829938</v>
          </cell>
          <cell r="AA88">
            <v>83.216716279392656</v>
          </cell>
          <cell r="AD88">
            <v>129.26735560588901</v>
          </cell>
        </row>
        <row r="89">
          <cell r="A89">
            <v>46280</v>
          </cell>
          <cell r="B89">
            <v>83.216716279392656</v>
          </cell>
          <cell r="C89" t="str">
            <v/>
          </cell>
          <cell r="D89">
            <v>174402.85687829935</v>
          </cell>
          <cell r="E89">
            <v>4676.973</v>
          </cell>
          <cell r="F89">
            <v>0</v>
          </cell>
          <cell r="G89">
            <v>0</v>
          </cell>
          <cell r="H89">
            <v>300</v>
          </cell>
          <cell r="I89">
            <v>4976.973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2409.3007679355032</v>
          </cell>
          <cell r="O89">
            <v>791.02925628261676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3611.4910242181199</v>
          </cell>
          <cell r="Y89">
            <v>117.97764270755442</v>
          </cell>
          <cell r="Z89">
            <v>174520.83452100691</v>
          </cell>
          <cell r="AA89">
            <v>83.243200936837837</v>
          </cell>
          <cell r="AD89">
            <v>132.41712910532277</v>
          </cell>
        </row>
        <row r="90">
          <cell r="A90">
            <v>46281</v>
          </cell>
          <cell r="B90">
            <v>83.243200936837837</v>
          </cell>
          <cell r="C90" t="str">
            <v/>
          </cell>
          <cell r="D90">
            <v>174520.83452100694</v>
          </cell>
          <cell r="E90">
            <v>1669.5170000000001</v>
          </cell>
          <cell r="F90">
            <v>0</v>
          </cell>
          <cell r="G90">
            <v>0</v>
          </cell>
          <cell r="H90">
            <v>300</v>
          </cell>
          <cell r="I90">
            <v>1969.5170000000001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2411.3038663349721</v>
          </cell>
          <cell r="O90">
            <v>765.86644617949526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3588.3313125144673</v>
          </cell>
          <cell r="Y90">
            <v>-139.86555660124998</v>
          </cell>
          <cell r="Z90">
            <v>174380.96896440568</v>
          </cell>
          <cell r="AA90">
            <v>83.211801705625362</v>
          </cell>
          <cell r="AD90">
            <v>47.268318233295581</v>
          </cell>
        </row>
        <row r="91">
          <cell r="A91">
            <v>46282</v>
          </cell>
          <cell r="B91">
            <v>83.211801705625362</v>
          </cell>
          <cell r="C91" t="str">
            <v/>
          </cell>
          <cell r="D91">
            <v>174380.96896440562</v>
          </cell>
          <cell r="E91">
            <v>1120.684</v>
          </cell>
          <cell r="F91">
            <v>0</v>
          </cell>
          <cell r="G91">
            <v>0</v>
          </cell>
          <cell r="H91">
            <v>300</v>
          </cell>
          <cell r="I91">
            <v>1420.684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2408.9290668905605</v>
          </cell>
          <cell r="O91">
            <v>468.40901156830472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3288.4990784588654</v>
          </cell>
          <cell r="Y91">
            <v>-161.37922277884599</v>
          </cell>
          <cell r="Z91">
            <v>174219.58974162678</v>
          </cell>
          <cell r="AA91">
            <v>83.175557134405835</v>
          </cell>
          <cell r="AD91">
            <v>31.729445073612684</v>
          </cell>
        </row>
        <row r="92">
          <cell r="A92">
            <v>46283</v>
          </cell>
          <cell r="B92">
            <v>83.175557134405835</v>
          </cell>
          <cell r="C92" t="str">
            <v/>
          </cell>
          <cell r="D92">
            <v>174219.58974162675</v>
          </cell>
          <cell r="E92">
            <v>1161.4760000000001</v>
          </cell>
          <cell r="F92">
            <v>0</v>
          </cell>
          <cell r="G92">
            <v>0</v>
          </cell>
          <cell r="H92">
            <v>300</v>
          </cell>
          <cell r="I92">
            <v>1461.4760000000001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2406.1878027171597</v>
          </cell>
          <cell r="O92">
            <v>342.46608158598247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3159.8148843031422</v>
          </cell>
          <cell r="Y92">
            <v>-146.73647960379148</v>
          </cell>
          <cell r="Z92">
            <v>174072.85326202295</v>
          </cell>
          <cell r="AA92">
            <v>83.142586676258489</v>
          </cell>
          <cell r="AD92">
            <v>32.884371460928655</v>
          </cell>
        </row>
        <row r="93">
          <cell r="A93">
            <v>46284</v>
          </cell>
          <cell r="B93">
            <v>83.142586676258489</v>
          </cell>
          <cell r="C93" t="str">
            <v/>
          </cell>
          <cell r="D93">
            <v>174072.85326202298</v>
          </cell>
          <cell r="E93">
            <v>1412.231</v>
          </cell>
          <cell r="F93">
            <v>0</v>
          </cell>
          <cell r="G93">
            <v>0</v>
          </cell>
          <cell r="H93">
            <v>300</v>
          </cell>
          <cell r="I93">
            <v>1712.231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2403.6941675972271</v>
          </cell>
          <cell r="O93">
            <v>630.41556668887381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3445.2707342861008</v>
          </cell>
          <cell r="Y93">
            <v>-149.7346330423191</v>
          </cell>
          <cell r="Z93">
            <v>173923.11862898065</v>
          </cell>
          <cell r="AA93">
            <v>83.108928265064137</v>
          </cell>
          <cell r="AD93">
            <v>39.983890147225367</v>
          </cell>
        </row>
        <row r="94">
          <cell r="A94">
            <v>46285</v>
          </cell>
          <cell r="B94">
            <v>83.108928265064137</v>
          </cell>
          <cell r="C94" t="str">
            <v/>
          </cell>
          <cell r="D94">
            <v>173923.11862898062</v>
          </cell>
          <cell r="E94">
            <v>1327.7760000000001</v>
          </cell>
          <cell r="F94">
            <v>0</v>
          </cell>
          <cell r="G94">
            <v>0</v>
          </cell>
          <cell r="H94">
            <v>300</v>
          </cell>
          <cell r="I94">
            <v>1627.7760000000001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2401.14850093223</v>
          </cell>
          <cell r="O94">
            <v>616.13044713596173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3428.4399480681918</v>
          </cell>
          <cell r="Y94">
            <v>-155.57736511309176</v>
          </cell>
          <cell r="Z94">
            <v>173767.54126386752</v>
          </cell>
          <cell r="AA94">
            <v>83.073941169689689</v>
          </cell>
          <cell r="AD94">
            <v>37.592751981879957</v>
          </cell>
        </row>
        <row r="95">
          <cell r="A95">
            <v>46286</v>
          </cell>
          <cell r="B95">
            <v>83.073941169689689</v>
          </cell>
          <cell r="C95" t="str">
            <v/>
          </cell>
          <cell r="D95">
            <v>173767.54126386749</v>
          </cell>
          <cell r="E95">
            <v>1008.723</v>
          </cell>
          <cell r="F95">
            <v>0</v>
          </cell>
          <cell r="G95">
            <v>0</v>
          </cell>
          <cell r="H95">
            <v>300</v>
          </cell>
          <cell r="I95">
            <v>1308.723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2398.5023426841321</v>
          </cell>
          <cell r="O95">
            <v>422.91886687650828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3232.5822095606404</v>
          </cell>
          <cell r="Y95">
            <v>-166.22143570603933</v>
          </cell>
          <cell r="Z95">
            <v>173601.31982816145</v>
          </cell>
          <cell r="AA95">
            <v>83.036543109019888</v>
          </cell>
          <cell r="AD95">
            <v>28.559541336353341</v>
          </cell>
        </row>
        <row r="96">
          <cell r="A96">
            <v>46287</v>
          </cell>
          <cell r="B96">
            <v>83.036543109019888</v>
          </cell>
          <cell r="C96" t="str">
            <v/>
          </cell>
          <cell r="D96">
            <v>173601.31982816145</v>
          </cell>
          <cell r="E96">
            <v>3579.91</v>
          </cell>
          <cell r="F96">
            <v>0</v>
          </cell>
          <cell r="G96">
            <v>0</v>
          </cell>
          <cell r="H96">
            <v>300</v>
          </cell>
          <cell r="I96">
            <v>3879.91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2395.6738373267954</v>
          </cell>
          <cell r="O96">
            <v>735.07585800477295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3541.9106953315686</v>
          </cell>
          <cell r="Y96">
            <v>29.20313992335246</v>
          </cell>
          <cell r="Z96">
            <v>173630.52296808478</v>
          </cell>
          <cell r="AA96">
            <v>83.043114798714669</v>
          </cell>
          <cell r="AD96">
            <v>101.35645526613816</v>
          </cell>
        </row>
        <row r="97">
          <cell r="A97">
            <v>46288</v>
          </cell>
          <cell r="B97">
            <v>83.043114798714669</v>
          </cell>
          <cell r="C97" t="str">
            <v/>
          </cell>
          <cell r="D97">
            <v>173630.52296808481</v>
          </cell>
          <cell r="E97">
            <v>2294.317</v>
          </cell>
          <cell r="F97">
            <v>0</v>
          </cell>
          <cell r="G97">
            <v>0</v>
          </cell>
          <cell r="H97">
            <v>300</v>
          </cell>
          <cell r="I97">
            <v>2594.317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2396.1708700385334</v>
          </cell>
          <cell r="O97">
            <v>750.5003670288138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3557.8322370673473</v>
          </cell>
          <cell r="Y97">
            <v>-83.247716482618799</v>
          </cell>
          <cell r="Z97">
            <v>173547.2752516022</v>
          </cell>
          <cell r="AA97">
            <v>83.024379805147376</v>
          </cell>
          <cell r="AD97">
            <v>64.95801245753114</v>
          </cell>
        </row>
        <row r="98">
          <cell r="A98">
            <v>46289</v>
          </cell>
          <cell r="B98">
            <v>83.024379805147376</v>
          </cell>
          <cell r="C98" t="str">
            <v/>
          </cell>
          <cell r="D98">
            <v>173547.27525160217</v>
          </cell>
          <cell r="E98">
            <v>2022.184</v>
          </cell>
          <cell r="F98">
            <v>0</v>
          </cell>
          <cell r="G98">
            <v>0</v>
          </cell>
          <cell r="H98">
            <v>300</v>
          </cell>
          <cell r="I98">
            <v>2322.1840000000002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2394.7538973740247</v>
          </cell>
          <cell r="O98">
            <v>582.6857501643758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3388.6006475384006</v>
          </cell>
          <cell r="Y98">
            <v>-92.138398347317789</v>
          </cell>
          <cell r="Z98">
            <v>173455.13685325487</v>
          </cell>
          <cell r="AA98">
            <v>83.0036387267631</v>
          </cell>
          <cell r="AD98">
            <v>57.253227633069081</v>
          </cell>
        </row>
        <row r="99">
          <cell r="A99">
            <v>46290</v>
          </cell>
          <cell r="B99">
            <v>83.0036387267631</v>
          </cell>
          <cell r="C99" t="str">
            <v/>
          </cell>
          <cell r="D99">
            <v>173455.13685325487</v>
          </cell>
          <cell r="E99">
            <v>1707.8230000000001</v>
          </cell>
          <cell r="F99">
            <v>0</v>
          </cell>
          <cell r="G99">
            <v>0</v>
          </cell>
          <cell r="H99">
            <v>300</v>
          </cell>
          <cell r="I99">
            <v>2007.8230000000001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2393.1851996855312</v>
          </cell>
          <cell r="O99">
            <v>796.1483981290786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3600.4945978146097</v>
          </cell>
          <cell r="Y99">
            <v>-137.60682605118225</v>
          </cell>
          <cell r="Z99">
            <v>173317.53002720367</v>
          </cell>
          <cell r="AA99">
            <v>82.97265211297568</v>
          </cell>
          <cell r="AD99">
            <v>48.352859569648928</v>
          </cell>
        </row>
        <row r="100">
          <cell r="A100">
            <v>46291</v>
          </cell>
          <cell r="B100">
            <v>82.97265211297568</v>
          </cell>
          <cell r="C100" t="str">
            <v/>
          </cell>
          <cell r="D100">
            <v>173317.53002720364</v>
          </cell>
          <cell r="E100">
            <v>3423.79</v>
          </cell>
          <cell r="F100">
            <v>0</v>
          </cell>
          <cell r="G100">
            <v>0</v>
          </cell>
          <cell r="H100">
            <v>300</v>
          </cell>
          <cell r="I100">
            <v>3723.79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2390.8416074902761</v>
          </cell>
          <cell r="O100">
            <v>736.40207883449989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3538.4046863247759</v>
          </cell>
          <cell r="Y100">
            <v>16.017291101539364</v>
          </cell>
          <cell r="Z100">
            <v>173333.54731830518</v>
          </cell>
          <cell r="AA100">
            <v>82.976259553382945</v>
          </cell>
          <cell r="AD100">
            <v>96.93629671574179</v>
          </cell>
        </row>
        <row r="101">
          <cell r="A101">
            <v>46292</v>
          </cell>
          <cell r="B101">
            <v>82.976259553382945</v>
          </cell>
          <cell r="C101" t="str">
            <v/>
          </cell>
          <cell r="D101">
            <v>173333.54731830518</v>
          </cell>
          <cell r="E101">
            <v>2338.4180000000001</v>
          </cell>
          <cell r="F101">
            <v>0</v>
          </cell>
          <cell r="G101">
            <v>0</v>
          </cell>
          <cell r="H101">
            <v>300</v>
          </cell>
          <cell r="I101">
            <v>2638.4180000000001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2391.1144468925204</v>
          </cell>
          <cell r="O101">
            <v>468.28418269233549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3270.5596295848559</v>
          </cell>
          <cell r="Y101">
            <v>-54.617036796131536</v>
          </cell>
          <cell r="Z101">
            <v>173278.93028150903</v>
          </cell>
          <cell r="AA101">
            <v>82.963957932082792</v>
          </cell>
          <cell r="AD101">
            <v>66.206625141562853</v>
          </cell>
        </row>
        <row r="102">
          <cell r="A102">
            <v>46293</v>
          </cell>
          <cell r="B102">
            <v>82.963957932082792</v>
          </cell>
          <cell r="C102" t="str">
            <v/>
          </cell>
          <cell r="D102">
            <v>173278.930281509</v>
          </cell>
          <cell r="E102">
            <v>1583.376</v>
          </cell>
          <cell r="F102">
            <v>0</v>
          </cell>
          <cell r="G102">
            <v>0</v>
          </cell>
          <cell r="H102">
            <v>300</v>
          </cell>
          <cell r="I102">
            <v>1883.376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2390.1840456597233</v>
          </cell>
          <cell r="O102">
            <v>408.91940892913073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3210.2644545888543</v>
          </cell>
          <cell r="Y102">
            <v>-114.64316247647702</v>
          </cell>
          <cell r="Z102">
            <v>173164.28711903252</v>
          </cell>
          <cell r="AA102">
            <v>82.938130086330801</v>
          </cell>
          <cell r="AD102">
            <v>44.829445073612682</v>
          </cell>
        </row>
        <row r="103">
          <cell r="A103">
            <v>46294</v>
          </cell>
          <cell r="B103">
            <v>82.938130086330801</v>
          </cell>
          <cell r="C103" t="str">
            <v/>
          </cell>
          <cell r="D103">
            <v>173164.28711903252</v>
          </cell>
          <cell r="E103">
            <v>1545.624</v>
          </cell>
          <cell r="F103">
            <v>0</v>
          </cell>
          <cell r="G103">
            <v>0</v>
          </cell>
          <cell r="H103">
            <v>300</v>
          </cell>
          <cell r="I103">
            <v>1845.624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2388.2306235097622</v>
          </cell>
          <cell r="O103">
            <v>355.5193892934027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3154.9110128031648</v>
          </cell>
          <cell r="Y103">
            <v>-113.12239790619343</v>
          </cell>
          <cell r="Z103">
            <v>173051.16472112632</v>
          </cell>
          <cell r="AA103">
            <v>82.91263649124447</v>
          </cell>
          <cell r="AD103">
            <v>43.760588901472254</v>
          </cell>
        </row>
        <row r="104">
          <cell r="A104">
            <v>46295</v>
          </cell>
          <cell r="B104">
            <v>82.91263649124447</v>
          </cell>
          <cell r="C104" t="str">
            <v/>
          </cell>
          <cell r="D104">
            <v>173051.16472112635</v>
          </cell>
          <cell r="E104">
            <v>1347.4259999999999</v>
          </cell>
          <cell r="F104">
            <v>0</v>
          </cell>
          <cell r="G104">
            <v>0</v>
          </cell>
          <cell r="H104">
            <v>300</v>
          </cell>
          <cell r="I104">
            <v>1647.4259999999999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2386.3024815422918</v>
          </cell>
          <cell r="O104">
            <v>372.61474426232286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3170.0782258046147</v>
          </cell>
          <cell r="Y104">
            <v>-131.5571523095187</v>
          </cell>
          <cell r="Z104">
            <v>172919.60756881683</v>
          </cell>
          <cell r="AA104">
            <v>82.88297792958889</v>
          </cell>
          <cell r="AD104">
            <v>38.149093997734994</v>
          </cell>
        </row>
        <row r="105">
          <cell r="A105">
            <v>46296</v>
          </cell>
          <cell r="B105">
            <v>82.88297792958889</v>
          </cell>
          <cell r="C105" t="str">
            <v/>
          </cell>
          <cell r="D105">
            <v>172919.60756881681</v>
          </cell>
          <cell r="E105">
            <v>1318.1679999999999</v>
          </cell>
          <cell r="F105">
            <v>0</v>
          </cell>
          <cell r="G105">
            <v>0</v>
          </cell>
          <cell r="H105">
            <v>300</v>
          </cell>
          <cell r="I105">
            <v>1618.1679999999999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2081.8174180050282</v>
          </cell>
          <cell r="O105">
            <v>619.78200725049203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3112.7604252555202</v>
          </cell>
          <cell r="Y105">
            <v>-129.13278554207693</v>
          </cell>
          <cell r="Z105">
            <v>172790.47478327472</v>
          </cell>
          <cell r="AA105">
            <v>82.853854976036487</v>
          </cell>
          <cell r="AD105">
            <v>37.320724801811998</v>
          </cell>
        </row>
        <row r="106">
          <cell r="A106">
            <v>46297</v>
          </cell>
          <cell r="B106">
            <v>82.853854976036487</v>
          </cell>
          <cell r="C106" t="str">
            <v/>
          </cell>
          <cell r="D106">
            <v>172790.47478327472</v>
          </cell>
          <cell r="E106">
            <v>1209.6310000000001</v>
          </cell>
          <cell r="F106">
            <v>0</v>
          </cell>
          <cell r="G106">
            <v>0</v>
          </cell>
          <cell r="H106">
            <v>300</v>
          </cell>
          <cell r="I106">
            <v>1509.6310000000001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2079.9588495561129</v>
          </cell>
          <cell r="O106">
            <v>561.44480655816767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3052.5646561142808</v>
          </cell>
          <cell r="Y106">
            <v>-133.30946788827384</v>
          </cell>
          <cell r="Z106">
            <v>172657.16531538646</v>
          </cell>
          <cell r="AA106">
            <v>82.823778677111221</v>
          </cell>
          <cell r="AD106">
            <v>34.247763306908269</v>
          </cell>
        </row>
        <row r="107">
          <cell r="A107">
            <v>46298</v>
          </cell>
          <cell r="B107">
            <v>82.823778677111221</v>
          </cell>
          <cell r="C107" t="str">
            <v/>
          </cell>
          <cell r="D107">
            <v>172657.16531538637</v>
          </cell>
          <cell r="E107">
            <v>952.09400000000005</v>
          </cell>
          <cell r="F107">
            <v>0</v>
          </cell>
          <cell r="G107">
            <v>0</v>
          </cell>
          <cell r="H107">
            <v>300</v>
          </cell>
          <cell r="I107">
            <v>1252.0940000000001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2078.0394405187681</v>
          </cell>
          <cell r="O107">
            <v>153.10818773725956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2642.3086282560275</v>
          </cell>
          <cell r="Y107">
            <v>-120.11454388132077</v>
          </cell>
          <cell r="Z107">
            <v>172537.05077150505</v>
          </cell>
          <cell r="AA107">
            <v>82.796669398731254</v>
          </cell>
          <cell r="AD107">
            <v>26.956228765571915</v>
          </cell>
        </row>
        <row r="108">
          <cell r="A108">
            <v>46299</v>
          </cell>
          <cell r="B108">
            <v>82.796669398731254</v>
          </cell>
          <cell r="C108" t="str">
            <v/>
          </cell>
          <cell r="D108">
            <v>172537.05077150508</v>
          </cell>
          <cell r="E108">
            <v>1101.002</v>
          </cell>
          <cell r="F108">
            <v>0</v>
          </cell>
          <cell r="G108">
            <v>0</v>
          </cell>
          <cell r="H108">
            <v>300</v>
          </cell>
          <cell r="I108">
            <v>1401.002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2076.3093807781165</v>
          </cell>
          <cell r="O108">
            <v>324.74089988381434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2812.2112806619307</v>
          </cell>
          <cell r="Y108">
            <v>-121.9284818491908</v>
          </cell>
          <cell r="Z108">
            <v>172415.12228965588</v>
          </cell>
          <cell r="AA108">
            <v>82.769141094336007</v>
          </cell>
          <cell r="AD108">
            <v>31.172197055492639</v>
          </cell>
        </row>
        <row r="109">
          <cell r="A109">
            <v>46300</v>
          </cell>
          <cell r="B109">
            <v>82.769141094336007</v>
          </cell>
          <cell r="C109" t="str">
            <v/>
          </cell>
          <cell r="D109">
            <v>172415.12228965588</v>
          </cell>
          <cell r="E109">
            <v>2049.1129999999998</v>
          </cell>
          <cell r="F109">
            <v>0</v>
          </cell>
          <cell r="G109">
            <v>0</v>
          </cell>
          <cell r="H109">
            <v>300</v>
          </cell>
          <cell r="I109">
            <v>2349.1129999999998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2074.5525796381121</v>
          </cell>
          <cell r="O109">
            <v>376.62552444225526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2862.3391040803672</v>
          </cell>
          <cell r="Y109">
            <v>-44.342735392543737</v>
          </cell>
          <cell r="Z109">
            <v>172370.77955426334</v>
          </cell>
          <cell r="AA109">
            <v>82.759127241547176</v>
          </cell>
          <cell r="AD109">
            <v>58.01565685164212</v>
          </cell>
        </row>
        <row r="110">
          <cell r="A110">
            <v>46301</v>
          </cell>
          <cell r="B110">
            <v>82.759127241547176</v>
          </cell>
          <cell r="C110" t="str">
            <v/>
          </cell>
          <cell r="D110">
            <v>172370.77955426334</v>
          </cell>
          <cell r="E110">
            <v>1768.261</v>
          </cell>
          <cell r="F110">
            <v>0</v>
          </cell>
          <cell r="G110">
            <v>0</v>
          </cell>
          <cell r="H110">
            <v>300</v>
          </cell>
          <cell r="I110">
            <v>2068.261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2073.9135156499106</v>
          </cell>
          <cell r="O110">
            <v>339.40075724252245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2824.4752728924332</v>
          </cell>
          <cell r="Y110">
            <v>-65.336913177906226</v>
          </cell>
          <cell r="Z110">
            <v>172305.44264108542</v>
          </cell>
          <cell r="AA110">
            <v>82.744369963774233</v>
          </cell>
          <cell r="AD110">
            <v>50.064014722536804</v>
          </cell>
        </row>
        <row r="111">
          <cell r="A111">
            <v>46302</v>
          </cell>
          <cell r="B111">
            <v>82.744369963774233</v>
          </cell>
          <cell r="C111" t="str">
            <v/>
          </cell>
          <cell r="D111">
            <v>172305.44264108542</v>
          </cell>
          <cell r="E111">
            <v>3146.1329999999998</v>
          </cell>
          <cell r="F111">
            <v>0</v>
          </cell>
          <cell r="G111">
            <v>0</v>
          </cell>
          <cell r="H111">
            <v>300</v>
          </cell>
          <cell r="I111">
            <v>3446.1329999999998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2072.9717357987938</v>
          </cell>
          <cell r="O111">
            <v>718.3134250024973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3202.4461608012912</v>
          </cell>
          <cell r="Y111">
            <v>21.054542906768425</v>
          </cell>
          <cell r="Z111">
            <v>172326.49718399218</v>
          </cell>
          <cell r="AA111">
            <v>82.74912573862099</v>
          </cell>
          <cell r="AD111">
            <v>89.075113250283124</v>
          </cell>
        </row>
        <row r="112">
          <cell r="A112">
            <v>46303</v>
          </cell>
          <cell r="B112">
            <v>82.74912573862099</v>
          </cell>
          <cell r="C112" t="str">
            <v/>
          </cell>
          <cell r="D112">
            <v>172326.49718399218</v>
          </cell>
          <cell r="E112">
            <v>965.28800000000001</v>
          </cell>
          <cell r="F112">
            <v>0</v>
          </cell>
          <cell r="G112">
            <v>0</v>
          </cell>
          <cell r="H112">
            <v>300</v>
          </cell>
          <cell r="I112">
            <v>1265.288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2073.275239805158</v>
          </cell>
          <cell r="O112">
            <v>816.21186864785068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3300.6481084530087</v>
          </cell>
          <cell r="Y112">
            <v>-175.85511337033995</v>
          </cell>
          <cell r="Z112">
            <v>172150.64207062183</v>
          </cell>
          <cell r="AA112">
            <v>82.70939489379991</v>
          </cell>
          <cell r="AD112">
            <v>27.32978482446206</v>
          </cell>
        </row>
        <row r="113">
          <cell r="A113">
            <v>46304</v>
          </cell>
          <cell r="B113">
            <v>82.70939489379991</v>
          </cell>
          <cell r="C113" t="str">
            <v/>
          </cell>
          <cell r="D113">
            <v>172150.64207062178</v>
          </cell>
          <cell r="E113">
            <v>707.05499999999995</v>
          </cell>
          <cell r="F113">
            <v>0</v>
          </cell>
          <cell r="G113">
            <v>0</v>
          </cell>
          <cell r="H113">
            <v>300</v>
          </cell>
          <cell r="I113">
            <v>1007.0549999999999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2070.7396970244317</v>
          </cell>
          <cell r="O113">
            <v>427.46370109122563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2909.3643981156574</v>
          </cell>
          <cell r="Y113">
            <v>-164.35953199719282</v>
          </cell>
          <cell r="Z113">
            <v>171986.2825386246</v>
          </cell>
          <cell r="AA113">
            <v>82.67224293421495</v>
          </cell>
          <cell r="AD113">
            <v>20.018544733861834</v>
          </cell>
        </row>
        <row r="114">
          <cell r="A114">
            <v>46305</v>
          </cell>
          <cell r="B114">
            <v>82.67224293421495</v>
          </cell>
          <cell r="C114" t="str">
            <v/>
          </cell>
          <cell r="D114">
            <v>171986.28253862457</v>
          </cell>
          <cell r="E114">
            <v>1414.7049999999999</v>
          </cell>
          <cell r="F114">
            <v>0</v>
          </cell>
          <cell r="G114">
            <v>0</v>
          </cell>
          <cell r="H114">
            <v>300</v>
          </cell>
          <cell r="I114">
            <v>1714.7049999999999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2068.3687335239147</v>
          </cell>
          <cell r="O114">
            <v>281.12288423490799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2760.6526177588225</v>
          </cell>
          <cell r="Y114">
            <v>-90.36987417436228</v>
          </cell>
          <cell r="Z114">
            <v>171895.91266445021</v>
          </cell>
          <cell r="AA114">
            <v>82.651808110773104</v>
          </cell>
          <cell r="AD114">
            <v>40.053935447338617</v>
          </cell>
        </row>
        <row r="115">
          <cell r="A115">
            <v>46306</v>
          </cell>
          <cell r="B115">
            <v>82.651808110773104</v>
          </cell>
          <cell r="C115" t="str">
            <v/>
          </cell>
          <cell r="D115">
            <v>171895.91266445015</v>
          </cell>
          <cell r="E115">
            <v>854.68600000000004</v>
          </cell>
          <cell r="F115">
            <v>0</v>
          </cell>
          <cell r="G115">
            <v>0</v>
          </cell>
          <cell r="H115">
            <v>300</v>
          </cell>
          <cell r="I115">
            <v>1154.6860000000001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2067.0646241024633</v>
          </cell>
          <cell r="O115">
            <v>322.87083707230437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2801.0964611747677</v>
          </cell>
          <cell r="Y115">
            <v>-142.2498638454999</v>
          </cell>
          <cell r="Z115">
            <v>171753.66280060465</v>
          </cell>
          <cell r="AA115">
            <v>82.619631103381877</v>
          </cell>
          <cell r="AD115">
            <v>24.198357870894679</v>
          </cell>
        </row>
        <row r="116">
          <cell r="A116">
            <v>46307</v>
          </cell>
          <cell r="B116">
            <v>82.619631103381877</v>
          </cell>
          <cell r="C116" t="str">
            <v/>
          </cell>
          <cell r="D116">
            <v>171753.66280060465</v>
          </cell>
          <cell r="E116">
            <v>2906.5949999999998</v>
          </cell>
          <cell r="F116">
            <v>0</v>
          </cell>
          <cell r="G116">
            <v>0</v>
          </cell>
          <cell r="H116">
            <v>300</v>
          </cell>
          <cell r="I116">
            <v>3206.5949999999998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2065.0111520667288</v>
          </cell>
          <cell r="O116">
            <v>234.42704774118826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2710.5991998079171</v>
          </cell>
          <cell r="Y116">
            <v>42.854037136595942</v>
          </cell>
          <cell r="Z116">
            <v>171796.51683774125</v>
          </cell>
          <cell r="AA116">
            <v>82.629326111641049</v>
          </cell>
          <cell r="AD116">
            <v>82.293176670441667</v>
          </cell>
        </row>
        <row r="117">
          <cell r="A117">
            <v>46308</v>
          </cell>
          <cell r="B117">
            <v>82.629326111641049</v>
          </cell>
          <cell r="C117" t="str">
            <v/>
          </cell>
          <cell r="D117">
            <v>171796.51683774125</v>
          </cell>
          <cell r="E117">
            <v>2973.797</v>
          </cell>
          <cell r="F117">
            <v>0</v>
          </cell>
          <cell r="G117">
            <v>0</v>
          </cell>
          <cell r="H117">
            <v>300</v>
          </cell>
          <cell r="I117">
            <v>3273.797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2065.6298680369355</v>
          </cell>
          <cell r="O117">
            <v>437.69826968613313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2914.4891377230688</v>
          </cell>
          <cell r="Y117">
            <v>31.044199300726859</v>
          </cell>
          <cell r="Z117">
            <v>171827.56103704197</v>
          </cell>
          <cell r="AA117">
            <v>82.636348588503523</v>
          </cell>
          <cell r="AD117">
            <v>84.195838052095127</v>
          </cell>
        </row>
        <row r="118">
          <cell r="A118">
            <v>46309</v>
          </cell>
          <cell r="B118">
            <v>82.636348588503523</v>
          </cell>
          <cell r="C118" t="str">
            <v/>
          </cell>
          <cell r="D118">
            <v>171827.56103704189</v>
          </cell>
          <cell r="E118">
            <v>1157.096</v>
          </cell>
          <cell r="F118">
            <v>0</v>
          </cell>
          <cell r="G118">
            <v>0</v>
          </cell>
          <cell r="H118">
            <v>300</v>
          </cell>
          <cell r="I118">
            <v>1457.096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2066.0780284169041</v>
          </cell>
          <cell r="O118">
            <v>792.3905050282101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3269.6295334451142</v>
          </cell>
          <cell r="Y118">
            <v>-156.60289728965785</v>
          </cell>
          <cell r="Z118">
            <v>171670.95813975224</v>
          </cell>
          <cell r="AA118">
            <v>82.600917147237411</v>
          </cell>
          <cell r="AD118">
            <v>32.760362400906004</v>
          </cell>
        </row>
        <row r="119">
          <cell r="A119">
            <v>46310</v>
          </cell>
          <cell r="B119">
            <v>82.600917147237411</v>
          </cell>
          <cell r="C119" t="str">
            <v/>
          </cell>
          <cell r="D119">
            <v>171670.95813975227</v>
          </cell>
          <cell r="E119">
            <v>825.56500000000005</v>
          </cell>
          <cell r="F119">
            <v>0</v>
          </cell>
          <cell r="G119">
            <v>0</v>
          </cell>
          <cell r="H119">
            <v>300</v>
          </cell>
          <cell r="I119">
            <v>1125.5650000000001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2063.8168649425902</v>
          </cell>
          <cell r="O119">
            <v>239.02316230112234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2714.0010272437125</v>
          </cell>
          <cell r="Y119">
            <v>-137.24087275385676</v>
          </cell>
          <cell r="Z119">
            <v>171533.71726699843</v>
          </cell>
          <cell r="AA119">
            <v>82.56985311215962</v>
          </cell>
          <cell r="AD119">
            <v>23.373867497168746</v>
          </cell>
        </row>
        <row r="120">
          <cell r="A120">
            <v>46311</v>
          </cell>
          <cell r="B120">
            <v>82.56985311215962</v>
          </cell>
          <cell r="C120" t="str">
            <v/>
          </cell>
          <cell r="D120">
            <v>171533.71726699849</v>
          </cell>
          <cell r="E120">
            <v>850.20600000000002</v>
          </cell>
          <cell r="F120">
            <v>0</v>
          </cell>
          <cell r="G120">
            <v>0</v>
          </cell>
          <cell r="H120">
            <v>300</v>
          </cell>
          <cell r="I120">
            <v>1150.2060000000001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2061.8344205662779</v>
          </cell>
          <cell r="O120">
            <v>339.84729546220183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2812.84271602848</v>
          </cell>
          <cell r="Y120">
            <v>-143.65181226486067</v>
          </cell>
          <cell r="Z120">
            <v>171390.06545473362</v>
          </cell>
          <cell r="AA120">
            <v>82.537324700471331</v>
          </cell>
          <cell r="AD120">
            <v>24.071517553793885</v>
          </cell>
        </row>
        <row r="121">
          <cell r="A121">
            <v>46312</v>
          </cell>
          <cell r="B121">
            <v>82.537324700471331</v>
          </cell>
          <cell r="C121" t="str">
            <v/>
          </cell>
          <cell r="D121">
            <v>171390.06545473362</v>
          </cell>
          <cell r="E121">
            <v>1307.558</v>
          </cell>
          <cell r="F121">
            <v>0</v>
          </cell>
          <cell r="G121">
            <v>0</v>
          </cell>
          <cell r="H121">
            <v>300</v>
          </cell>
          <cell r="I121">
            <v>1607.558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2059.758522613537</v>
          </cell>
          <cell r="O121">
            <v>730.33676496620467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3201.2562875797416</v>
          </cell>
          <cell r="Y121">
            <v>-137.6955320468897</v>
          </cell>
          <cell r="Z121">
            <v>171252.36992268672</v>
          </cell>
          <cell r="AA121">
            <v>82.506132258221726</v>
          </cell>
          <cell r="AD121">
            <v>37.020328425821063</v>
          </cell>
        </row>
        <row r="122">
          <cell r="A122">
            <v>46313</v>
          </cell>
          <cell r="B122">
            <v>82.506132258221726</v>
          </cell>
          <cell r="C122" t="str">
            <v/>
          </cell>
          <cell r="D122">
            <v>171252.36992268672</v>
          </cell>
          <cell r="E122">
            <v>1231.6289999999999</v>
          </cell>
          <cell r="F122">
            <v>0</v>
          </cell>
          <cell r="G122">
            <v>0</v>
          </cell>
          <cell r="H122">
            <v>300</v>
          </cell>
          <cell r="I122">
            <v>1531.6289999999999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2057.7678835492184</v>
          </cell>
          <cell r="O122">
            <v>310.26687207558308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2779.1957556248017</v>
          </cell>
          <cell r="Y122">
            <v>-107.78976768598287</v>
          </cell>
          <cell r="Z122">
            <v>171144.58015500073</v>
          </cell>
          <cell r="AA122">
            <v>82.481705698476702</v>
          </cell>
          <cell r="AD122">
            <v>34.870583238958098</v>
          </cell>
        </row>
        <row r="123">
          <cell r="A123">
            <v>46314</v>
          </cell>
          <cell r="B123">
            <v>82.481705698476702</v>
          </cell>
          <cell r="C123" t="str">
            <v/>
          </cell>
          <cell r="D123">
            <v>171144.58015500076</v>
          </cell>
          <cell r="E123">
            <v>944.78300000000002</v>
          </cell>
          <cell r="F123">
            <v>0</v>
          </cell>
          <cell r="G123">
            <v>0</v>
          </cell>
          <cell r="H123">
            <v>300</v>
          </cell>
          <cell r="I123">
            <v>1244.7829999999999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2056.2090295279058</v>
          </cell>
          <cell r="O123">
            <v>276.41883140978877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2743.7888609376946</v>
          </cell>
          <cell r="Y123">
            <v>-129.51410638501682</v>
          </cell>
          <cell r="Z123">
            <v>171015.06604861576</v>
          </cell>
          <cell r="AA123">
            <v>82.452345971159829</v>
          </cell>
          <cell r="AD123">
            <v>26.7492355605889</v>
          </cell>
        </row>
        <row r="124">
          <cell r="A124">
            <v>46315</v>
          </cell>
          <cell r="B124">
            <v>82.452345971159829</v>
          </cell>
          <cell r="C124" t="str">
            <v/>
          </cell>
          <cell r="D124">
            <v>171015.0660486157</v>
          </cell>
          <cell r="E124">
            <v>3256.4209999999998</v>
          </cell>
          <cell r="F124">
            <v>0</v>
          </cell>
          <cell r="G124">
            <v>0</v>
          </cell>
          <cell r="H124">
            <v>300</v>
          </cell>
          <cell r="I124">
            <v>3556.4209999999998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2054.3353506525232</v>
          </cell>
          <cell r="O124">
            <v>691.82869330576989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3157.325043958293</v>
          </cell>
          <cell r="Y124">
            <v>34.481890602003467</v>
          </cell>
          <cell r="Z124">
            <v>171049.54793921771</v>
          </cell>
          <cell r="AA124">
            <v>82.460163800308919</v>
          </cell>
          <cell r="AD124">
            <v>92.197650056625136</v>
          </cell>
        </row>
        <row r="125">
          <cell r="A125">
            <v>46316</v>
          </cell>
          <cell r="B125">
            <v>82.460163800308919</v>
          </cell>
          <cell r="C125" t="str">
            <v/>
          </cell>
          <cell r="D125">
            <v>171049.54793921771</v>
          </cell>
          <cell r="E125">
            <v>2100.6019999999999</v>
          </cell>
          <cell r="F125">
            <v>0</v>
          </cell>
          <cell r="G125">
            <v>0</v>
          </cell>
          <cell r="H125">
            <v>300</v>
          </cell>
          <cell r="I125">
            <v>2400.6019999999999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2054.8342688192311</v>
          </cell>
          <cell r="O125">
            <v>307.3731576022335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2773.3684264214644</v>
          </cell>
          <cell r="Y125">
            <v>-32.207019242814532</v>
          </cell>
          <cell r="Z125">
            <v>171017.3409199749</v>
          </cell>
          <cell r="AA125">
            <v>82.45286176047712</v>
          </cell>
          <cell r="AD125">
            <v>59.473442808607018</v>
          </cell>
        </row>
        <row r="126">
          <cell r="A126">
            <v>46317</v>
          </cell>
          <cell r="B126">
            <v>82.45286176047712</v>
          </cell>
          <cell r="C126" t="str">
            <v/>
          </cell>
          <cell r="D126">
            <v>171017.3409199749</v>
          </cell>
          <cell r="E126">
            <v>1855.94</v>
          </cell>
          <cell r="F126">
            <v>0</v>
          </cell>
          <cell r="G126">
            <v>0</v>
          </cell>
          <cell r="H126">
            <v>300</v>
          </cell>
          <cell r="I126">
            <v>2155.94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2054.3682672916152</v>
          </cell>
          <cell r="O126">
            <v>415.33366456289474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2880.86293185451</v>
          </cell>
          <cell r="Y126">
            <v>-62.633341312229661</v>
          </cell>
          <cell r="Z126">
            <v>170954.70757866267</v>
          </cell>
          <cell r="AA126">
            <v>82.438659439944786</v>
          </cell>
          <cell r="AD126">
            <v>52.546432616081539</v>
          </cell>
        </row>
        <row r="127">
          <cell r="A127">
            <v>46318</v>
          </cell>
          <cell r="B127">
            <v>82.438659439944786</v>
          </cell>
          <cell r="C127" t="str">
            <v/>
          </cell>
          <cell r="D127">
            <v>170954.70757866261</v>
          </cell>
          <cell r="E127">
            <v>1573.3119999999999</v>
          </cell>
          <cell r="F127">
            <v>0</v>
          </cell>
          <cell r="G127">
            <v>0</v>
          </cell>
          <cell r="H127">
            <v>300</v>
          </cell>
          <cell r="I127">
            <v>1873.3119999999999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2053.4619036978511</v>
          </cell>
          <cell r="O127">
            <v>394.88746808828932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2859.5103717861402</v>
          </cell>
          <cell r="Y127">
            <v>-85.207539322322532</v>
          </cell>
          <cell r="Z127">
            <v>170869.50003934029</v>
          </cell>
          <cell r="AA127">
            <v>82.419334176794948</v>
          </cell>
          <cell r="AD127">
            <v>44.544507361268401</v>
          </cell>
        </row>
        <row r="128">
          <cell r="A128">
            <v>46319</v>
          </cell>
          <cell r="B128">
            <v>82.419334176794948</v>
          </cell>
          <cell r="C128" t="str">
            <v/>
          </cell>
          <cell r="D128">
            <v>170869.50003934032</v>
          </cell>
          <cell r="E128">
            <v>4133.2299999999996</v>
          </cell>
          <cell r="F128">
            <v>0</v>
          </cell>
          <cell r="G128">
            <v>0</v>
          </cell>
          <cell r="H128">
            <v>300</v>
          </cell>
          <cell r="I128">
            <v>4433.2299999999996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2052.2286041874613</v>
          </cell>
          <cell r="O128">
            <v>604.66305829461078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3068.0526624820723</v>
          </cell>
          <cell r="Y128">
            <v>117.95132196154893</v>
          </cell>
          <cell r="Z128">
            <v>170987.45136130188</v>
          </cell>
          <cell r="AA128">
            <v>82.446084526308013</v>
          </cell>
          <cell r="AD128">
            <v>117.02236693091731</v>
          </cell>
        </row>
        <row r="129">
          <cell r="A129">
            <v>46320</v>
          </cell>
          <cell r="B129">
            <v>82.446084526308013</v>
          </cell>
          <cell r="C129" t="str">
            <v/>
          </cell>
          <cell r="D129">
            <v>170987.45136130191</v>
          </cell>
          <cell r="E129">
            <v>2795.2710000000002</v>
          </cell>
          <cell r="F129">
            <v>0</v>
          </cell>
          <cell r="G129">
            <v>0</v>
          </cell>
          <cell r="H129">
            <v>300</v>
          </cell>
          <cell r="I129">
            <v>3095.2710000000002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2053.9357578081613</v>
          </cell>
          <cell r="O129">
            <v>212.71265527360237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2677.8094130817635</v>
          </cell>
          <cell r="Y129">
            <v>36.068681109735643</v>
          </cell>
          <cell r="Z129">
            <v>171023.52004241163</v>
          </cell>
          <cell r="AA129">
            <v>82.454262756644113</v>
          </cell>
          <cell r="AD129">
            <v>79.141308040770113</v>
          </cell>
        </row>
        <row r="130">
          <cell r="A130">
            <v>46321</v>
          </cell>
          <cell r="B130">
            <v>82.454262756644113</v>
          </cell>
          <cell r="C130" t="str">
            <v/>
          </cell>
          <cell r="D130">
            <v>171023.5200424116</v>
          </cell>
          <cell r="E130">
            <v>1864.5170000000001</v>
          </cell>
          <cell r="F130">
            <v>0</v>
          </cell>
          <cell r="G130">
            <v>0</v>
          </cell>
          <cell r="H130">
            <v>300</v>
          </cell>
          <cell r="I130">
            <v>2164.5169999999998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2054.4576760553364</v>
          </cell>
          <cell r="O130">
            <v>198.08956839155832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2663.7082444468947</v>
          </cell>
          <cell r="Y130">
            <v>-43.130123520211711</v>
          </cell>
          <cell r="Z130">
            <v>170980.38991889139</v>
          </cell>
          <cell r="AA130">
            <v>82.444483310703063</v>
          </cell>
          <cell r="AD130">
            <v>52.789269535673839</v>
          </cell>
        </row>
        <row r="131">
          <cell r="A131">
            <v>46322</v>
          </cell>
          <cell r="B131">
            <v>82.444483310703063</v>
          </cell>
          <cell r="C131" t="str">
            <v/>
          </cell>
          <cell r="D131">
            <v>170980.38991889145</v>
          </cell>
          <cell r="E131">
            <v>1817.979</v>
          </cell>
          <cell r="F131">
            <v>0</v>
          </cell>
          <cell r="G131">
            <v>0</v>
          </cell>
          <cell r="H131">
            <v>300</v>
          </cell>
          <cell r="I131">
            <v>2117.9790000000003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2053.8335714417299</v>
          </cell>
          <cell r="O131">
            <v>180.8560980535085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2645.8506694952384</v>
          </cell>
          <cell r="Y131">
            <v>-45.608112244388579</v>
          </cell>
          <cell r="Z131">
            <v>170934.78180664705</v>
          </cell>
          <cell r="AA131">
            <v>82.434140660095224</v>
          </cell>
          <cell r="AD131">
            <v>51.471659116647793</v>
          </cell>
        </row>
        <row r="132">
          <cell r="A132">
            <v>46323</v>
          </cell>
          <cell r="B132">
            <v>82.434140660095224</v>
          </cell>
          <cell r="C132" t="str">
            <v/>
          </cell>
          <cell r="D132">
            <v>170934.78180664699</v>
          </cell>
          <cell r="E132">
            <v>1573.6559999999999</v>
          </cell>
          <cell r="F132">
            <v>0</v>
          </cell>
          <cell r="G132">
            <v>0</v>
          </cell>
          <cell r="H132">
            <v>300</v>
          </cell>
          <cell r="I132">
            <v>1873.6559999999999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2053.1735242365826</v>
          </cell>
          <cell r="O132">
            <v>372.30288204432918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2836.6374062809118</v>
          </cell>
          <cell r="Y132">
            <v>-83.201593502670775</v>
          </cell>
          <cell r="Z132">
            <v>170851.58021314433</v>
          </cell>
          <cell r="AA132">
            <v>82.415269307916518</v>
          </cell>
          <cell r="AD132">
            <v>44.554246885617211</v>
          </cell>
        </row>
        <row r="133">
          <cell r="A133">
            <v>46324</v>
          </cell>
          <cell r="B133">
            <v>82.415269307916518</v>
          </cell>
          <cell r="C133" t="str">
            <v/>
          </cell>
          <cell r="D133">
            <v>170851.58021314428</v>
          </cell>
          <cell r="E133">
            <v>1537.5889999999999</v>
          </cell>
          <cell r="F133">
            <v>0</v>
          </cell>
          <cell r="G133">
            <v>0</v>
          </cell>
          <cell r="H133">
            <v>300</v>
          </cell>
          <cell r="I133">
            <v>1837.5889999999999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2051.9691924134177</v>
          </cell>
          <cell r="O133">
            <v>341.05447119007414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2804.184663603492</v>
          </cell>
          <cell r="Y133">
            <v>-83.513865335341706</v>
          </cell>
          <cell r="Z133">
            <v>170768.06634780893</v>
          </cell>
          <cell r="AA133">
            <v>82.396322517982881</v>
          </cell>
          <cell r="AD133">
            <v>43.533097395243487</v>
          </cell>
        </row>
        <row r="134">
          <cell r="A134">
            <v>46325</v>
          </cell>
          <cell r="B134">
            <v>82.396322517982881</v>
          </cell>
          <cell r="C134" t="str">
            <v/>
          </cell>
          <cell r="D134">
            <v>170768.0663478089</v>
          </cell>
          <cell r="E134">
            <v>1403.7929999999999</v>
          </cell>
          <cell r="F134">
            <v>0</v>
          </cell>
          <cell r="G134">
            <v>0</v>
          </cell>
          <cell r="H134">
            <v>300</v>
          </cell>
          <cell r="I134">
            <v>1703.7929999999999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2050.760046304129</v>
          </cell>
          <cell r="O134">
            <v>271.44051762977062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2733.3615639338996</v>
          </cell>
          <cell r="Y134">
            <v>-88.954723923888935</v>
          </cell>
          <cell r="Z134">
            <v>170679.11162388502</v>
          </cell>
          <cell r="AA134">
            <v>82.376136277053917</v>
          </cell>
          <cell r="AD134">
            <v>39.744988674971687</v>
          </cell>
        </row>
        <row r="135">
          <cell r="A135">
            <v>46326</v>
          </cell>
          <cell r="B135">
            <v>82.376136277053917</v>
          </cell>
          <cell r="C135" t="str">
            <v/>
          </cell>
          <cell r="D135">
            <v>170679.11162388499</v>
          </cell>
          <cell r="E135">
            <v>1636.7439999999999</v>
          </cell>
          <cell r="F135">
            <v>0</v>
          </cell>
          <cell r="G135">
            <v>0</v>
          </cell>
          <cell r="H135">
            <v>300</v>
          </cell>
          <cell r="I135">
            <v>1936.7439999999999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2049.4718009197695</v>
          </cell>
          <cell r="O135">
            <v>439.39617502665993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2900.0289759464295</v>
          </cell>
          <cell r="Y135">
            <v>-83.227821921771508</v>
          </cell>
          <cell r="Z135">
            <v>170595.88380196321</v>
          </cell>
          <cell r="AA135">
            <v>82.35724487376693</v>
          </cell>
          <cell r="AD135">
            <v>46.340430351075874</v>
          </cell>
        </row>
        <row r="136">
          <cell r="A136">
            <v>46327</v>
          </cell>
          <cell r="B136">
            <v>82.35724487376693</v>
          </cell>
          <cell r="C136" t="str">
            <v/>
          </cell>
          <cell r="D136">
            <v>170595.88380196324</v>
          </cell>
          <cell r="E136">
            <v>1962.4090000000001</v>
          </cell>
          <cell r="F136">
            <v>0</v>
          </cell>
          <cell r="G136">
            <v>0</v>
          </cell>
          <cell r="H136">
            <v>300</v>
          </cell>
          <cell r="I136">
            <v>2262.4090000000001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2048.2661894751145</v>
          </cell>
          <cell r="O136">
            <v>431.56112941058916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2890.9883188857038</v>
          </cell>
          <cell r="Y136">
            <v>-54.309253151724803</v>
          </cell>
          <cell r="Z136">
            <v>170541.57454881151</v>
          </cell>
          <cell r="AA136">
            <v>82.344915051140006</v>
          </cell>
          <cell r="AD136">
            <v>55.560843714609291</v>
          </cell>
        </row>
        <row r="137">
          <cell r="A137">
            <v>46328</v>
          </cell>
          <cell r="B137">
            <v>82.344915051140006</v>
          </cell>
          <cell r="C137" t="str">
            <v/>
          </cell>
          <cell r="D137">
            <v>170541.57454881154</v>
          </cell>
          <cell r="E137">
            <v>3000</v>
          </cell>
          <cell r="F137">
            <v>0</v>
          </cell>
          <cell r="G137">
            <v>0</v>
          </cell>
          <cell r="H137">
            <v>300</v>
          </cell>
          <cell r="I137">
            <v>3300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2047.4793249397619</v>
          </cell>
          <cell r="O137">
            <v>374.55671305153385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2833.1970379912955</v>
          </cell>
          <cell r="Y137">
            <v>40.331775917552072</v>
          </cell>
          <cell r="Z137">
            <v>170581.90632472909</v>
          </cell>
          <cell r="AA137">
            <v>82.354071756049407</v>
          </cell>
          <cell r="AD137">
            <v>84.937712344280854</v>
          </cell>
        </row>
        <row r="138">
          <cell r="A138">
            <v>46329</v>
          </cell>
          <cell r="B138">
            <v>82.354071756049407</v>
          </cell>
          <cell r="C138" t="str">
            <v/>
          </cell>
          <cell r="D138">
            <v>170581.90632472903</v>
          </cell>
          <cell r="E138">
            <v>2000</v>
          </cell>
          <cell r="F138">
            <v>0</v>
          </cell>
          <cell r="G138">
            <v>0</v>
          </cell>
          <cell r="H138">
            <v>300</v>
          </cell>
          <cell r="I138">
            <v>2300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2048.063687470506</v>
          </cell>
          <cell r="O138">
            <v>515.48992420352272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2974.7146116740287</v>
          </cell>
          <cell r="Y138">
            <v>-58.295342448636077</v>
          </cell>
          <cell r="Z138">
            <v>170523.6109822804</v>
          </cell>
          <cell r="AA138">
            <v>82.340836354004665</v>
          </cell>
          <cell r="AD138">
            <v>56.625141562853905</v>
          </cell>
        </row>
        <row r="139">
          <cell r="A139">
            <v>46330</v>
          </cell>
          <cell r="B139">
            <v>82.340836354004665</v>
          </cell>
          <cell r="C139" t="str">
            <v/>
          </cell>
          <cell r="D139">
            <v>170523.6109822804</v>
          </cell>
          <cell r="E139">
            <v>4000</v>
          </cell>
          <cell r="F139">
            <v>0</v>
          </cell>
          <cell r="G139">
            <v>0</v>
          </cell>
          <cell r="H139">
            <v>300</v>
          </cell>
          <cell r="I139">
            <v>4300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2047.2190306741129</v>
          </cell>
          <cell r="O139">
            <v>627.18677340064312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3085.5668040747564</v>
          </cell>
          <cell r="Y139">
            <v>104.92702812794104</v>
          </cell>
          <cell r="Z139">
            <v>170628.53801040835</v>
          </cell>
          <cell r="AA139">
            <v>82.364657412039051</v>
          </cell>
          <cell r="AD139">
            <v>113.25028312570781</v>
          </cell>
        </row>
        <row r="140">
          <cell r="A140">
            <v>46331</v>
          </cell>
          <cell r="B140">
            <v>82.364657412039051</v>
          </cell>
          <cell r="C140" t="str">
            <v/>
          </cell>
          <cell r="D140">
            <v>170628.53801040832</v>
          </cell>
          <cell r="E140">
            <v>1665.6010000000001</v>
          </cell>
          <cell r="F140">
            <v>0</v>
          </cell>
          <cell r="G140">
            <v>0</v>
          </cell>
          <cell r="H140">
            <v>300</v>
          </cell>
          <cell r="I140">
            <v>1965.6010000000001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2048.7392427914328</v>
          </cell>
          <cell r="O140">
            <v>301.83753774269479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2761.7377805341275</v>
          </cell>
          <cell r="Y140">
            <v>-68.786217838148602</v>
          </cell>
          <cell r="Z140">
            <v>170559.75179257017</v>
          </cell>
          <cell r="AA140">
            <v>82.349042046412208</v>
          </cell>
          <cell r="AD140">
            <v>47.157446206115516</v>
          </cell>
        </row>
        <row r="141">
          <cell r="A141">
            <v>46332</v>
          </cell>
          <cell r="B141">
            <v>82.349042046412208</v>
          </cell>
          <cell r="C141" t="str">
            <v/>
          </cell>
          <cell r="D141">
            <v>170559.75179257017</v>
          </cell>
          <cell r="E141">
            <v>1100.8409999999999</v>
          </cell>
          <cell r="F141">
            <v>0</v>
          </cell>
          <cell r="G141">
            <v>0</v>
          </cell>
          <cell r="H141">
            <v>300</v>
          </cell>
          <cell r="I141">
            <v>1400.8409999999999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2047.7427014955742</v>
          </cell>
          <cell r="O141">
            <v>529.93935296711823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2988.8430544626926</v>
          </cell>
          <cell r="Y141">
            <v>-137.20337750557664</v>
          </cell>
          <cell r="Z141">
            <v>170422.54841506458</v>
          </cell>
          <cell r="AA141">
            <v>82.317885712700715</v>
          </cell>
          <cell r="AD141">
            <v>31.167638731596824</v>
          </cell>
        </row>
        <row r="142">
          <cell r="A142">
            <v>46333</v>
          </cell>
          <cell r="B142">
            <v>82.317885712700715</v>
          </cell>
          <cell r="C142" t="str">
            <v/>
          </cell>
          <cell r="D142">
            <v>170422.54841506458</v>
          </cell>
          <cell r="E142">
            <v>1930.7090000000001</v>
          </cell>
          <cell r="F142">
            <v>0</v>
          </cell>
          <cell r="G142">
            <v>0</v>
          </cell>
          <cell r="H142">
            <v>300</v>
          </cell>
          <cell r="I142">
            <v>2230.7089999999998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2045.7543668056924</v>
          </cell>
          <cell r="O142">
            <v>510.63763770855076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2967.5530045142432</v>
          </cell>
          <cell r="Y142">
            <v>-63.663321990030624</v>
          </cell>
          <cell r="Z142">
            <v>170358.88509307455</v>
          </cell>
          <cell r="AA142">
            <v>82.303424707976234</v>
          </cell>
          <cell r="AD142">
            <v>54.66333522083805</v>
          </cell>
        </row>
        <row r="143">
          <cell r="A143">
            <v>46334</v>
          </cell>
          <cell r="B143">
            <v>82.303424707976234</v>
          </cell>
          <cell r="C143" t="str">
            <v/>
          </cell>
          <cell r="D143">
            <v>170358.88509307458</v>
          </cell>
          <cell r="E143">
            <v>1092.671</v>
          </cell>
          <cell r="F143">
            <v>0</v>
          </cell>
          <cell r="G143">
            <v>0</v>
          </cell>
          <cell r="H143">
            <v>300</v>
          </cell>
          <cell r="I143">
            <v>1392.671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2044.8314945059387</v>
          </cell>
          <cell r="O143">
            <v>333.21794536425904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2789.2104398701977</v>
          </cell>
          <cell r="Y143">
            <v>-120.66100760478508</v>
          </cell>
          <cell r="Z143">
            <v>170238.22408546979</v>
          </cell>
          <cell r="AA143">
            <v>82.276009388415048</v>
          </cell>
          <cell r="AD143">
            <v>30.936325028312574</v>
          </cell>
        </row>
        <row r="144">
          <cell r="A144">
            <v>46335</v>
          </cell>
          <cell r="B144">
            <v>82.276009388415048</v>
          </cell>
          <cell r="C144" t="str">
            <v/>
          </cell>
          <cell r="D144">
            <v>170238.22408546985</v>
          </cell>
          <cell r="E144">
            <v>4163.2420000000002</v>
          </cell>
          <cell r="F144">
            <v>0</v>
          </cell>
          <cell r="G144">
            <v>0</v>
          </cell>
          <cell r="H144">
            <v>300</v>
          </cell>
          <cell r="I144">
            <v>4463.2420000000002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2043.0819038312948</v>
          </cell>
          <cell r="O144">
            <v>217.51228916609656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2671.7551929973915</v>
          </cell>
          <cell r="Y144">
            <v>154.78446012502539</v>
          </cell>
          <cell r="Z144">
            <v>170393.00854559487</v>
          </cell>
          <cell r="AA144">
            <v>82.311176121600212</v>
          </cell>
          <cell r="AD144">
            <v>117.87208380520951</v>
          </cell>
        </row>
        <row r="145">
          <cell r="A145">
            <v>46336</v>
          </cell>
          <cell r="B145">
            <v>82.311176121600212</v>
          </cell>
          <cell r="C145" t="str">
            <v/>
          </cell>
          <cell r="D145">
            <v>170393.00854559493</v>
          </cell>
          <cell r="E145">
            <v>4263.8059999999996</v>
          </cell>
          <cell r="F145">
            <v>0</v>
          </cell>
          <cell r="G145">
            <v>0</v>
          </cell>
          <cell r="H145">
            <v>300</v>
          </cell>
          <cell r="I145">
            <v>4563.8059999999996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2045.3261741671231</v>
          </cell>
          <cell r="O145">
            <v>383.61999124599248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2840.1071654131156</v>
          </cell>
          <cell r="Y145">
            <v>148.92757930830678</v>
          </cell>
          <cell r="Z145">
            <v>170541.93612490324</v>
          </cell>
          <cell r="AA145">
            <v>82.344997146187708</v>
          </cell>
          <cell r="AD145">
            <v>120.71930917327292</v>
          </cell>
        </row>
        <row r="146">
          <cell r="A146">
            <v>46337</v>
          </cell>
          <cell r="B146">
            <v>82.344997146187708</v>
          </cell>
          <cell r="C146" t="str">
            <v/>
          </cell>
          <cell r="D146">
            <v>170541.93612490324</v>
          </cell>
          <cell r="E146">
            <v>1545.211</v>
          </cell>
          <cell r="F146">
            <v>0</v>
          </cell>
          <cell r="G146">
            <v>0</v>
          </cell>
          <cell r="H146">
            <v>300</v>
          </cell>
          <cell r="I146">
            <v>1845.211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2047.4845640809499</v>
          </cell>
          <cell r="O146">
            <v>176.52327170480993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2635.1688357857597</v>
          </cell>
          <cell r="Y146">
            <v>-68.252357011889629</v>
          </cell>
          <cell r="Z146">
            <v>170473.68376789134</v>
          </cell>
          <cell r="AA146">
            <v>82.32949906159503</v>
          </cell>
          <cell r="AD146">
            <v>43.748895809739523</v>
          </cell>
        </row>
        <row r="147">
          <cell r="A147">
            <v>46338</v>
          </cell>
          <cell r="B147">
            <v>82.32949906159503</v>
          </cell>
          <cell r="C147" t="str">
            <v/>
          </cell>
          <cell r="D147">
            <v>170473.68376789137</v>
          </cell>
          <cell r="E147">
            <v>1049.0930000000001</v>
          </cell>
          <cell r="F147">
            <v>0</v>
          </cell>
          <cell r="G147">
            <v>0</v>
          </cell>
          <cell r="H147">
            <v>300</v>
          </cell>
          <cell r="I147">
            <v>1349.0930000000001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2046.4955074253203</v>
          </cell>
          <cell r="O147">
            <v>375.70425084076578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2833.3607582660861</v>
          </cell>
          <cell r="Y147">
            <v>-128.24073431418984</v>
          </cell>
          <cell r="Z147">
            <v>170345.44303357718</v>
          </cell>
          <cell r="AA147">
            <v>82.300371024656556</v>
          </cell>
          <cell r="AD147">
            <v>29.702519818799548</v>
          </cell>
        </row>
        <row r="148">
          <cell r="A148">
            <v>46339</v>
          </cell>
          <cell r="B148">
            <v>82.300371024656556</v>
          </cell>
          <cell r="C148" t="str">
            <v/>
          </cell>
          <cell r="D148">
            <v>170345.44303357715</v>
          </cell>
          <cell r="E148">
            <v>1085.9659999999999</v>
          </cell>
          <cell r="F148">
            <v>0</v>
          </cell>
          <cell r="G148">
            <v>0</v>
          </cell>
          <cell r="H148">
            <v>300</v>
          </cell>
          <cell r="I148">
            <v>1385.9659999999999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2044.6366145649076</v>
          </cell>
          <cell r="O148">
            <v>267.16084493637442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2722.9584595012821</v>
          </cell>
          <cell r="Y148">
            <v>-115.51614850091076</v>
          </cell>
          <cell r="Z148">
            <v>170229.92688507625</v>
          </cell>
          <cell r="AA148">
            <v>82.274123830122619</v>
          </cell>
          <cell r="AD148">
            <v>30.746489241223099</v>
          </cell>
        </row>
        <row r="149">
          <cell r="A149">
            <v>46340</v>
          </cell>
          <cell r="B149">
            <v>82.274123830122619</v>
          </cell>
          <cell r="C149" t="str">
            <v/>
          </cell>
          <cell r="D149">
            <v>170229.92688507619</v>
          </cell>
          <cell r="E149">
            <v>1957.972</v>
          </cell>
          <cell r="F149">
            <v>0</v>
          </cell>
          <cell r="G149">
            <v>0</v>
          </cell>
          <cell r="H149">
            <v>300</v>
          </cell>
          <cell r="I149">
            <v>2257.9719999999998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2042.9615712851951</v>
          </cell>
          <cell r="O149">
            <v>555.25876293736644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3009.3813342225617</v>
          </cell>
          <cell r="Y149">
            <v>-64.921766476829347</v>
          </cell>
          <cell r="Z149">
            <v>170165.00511859937</v>
          </cell>
          <cell r="AA149">
            <v>82.259368623348294</v>
          </cell>
          <cell r="AD149">
            <v>55.435220838052096</v>
          </cell>
        </row>
        <row r="150">
          <cell r="A150">
            <v>46341</v>
          </cell>
          <cell r="B150">
            <v>82.259368623348294</v>
          </cell>
          <cell r="C150" t="str">
            <v/>
          </cell>
          <cell r="D150">
            <v>170165.00511859934</v>
          </cell>
          <cell r="E150">
            <v>1829.068</v>
          </cell>
          <cell r="F150">
            <v>0</v>
          </cell>
          <cell r="G150">
            <v>0</v>
          </cell>
          <cell r="H150">
            <v>300</v>
          </cell>
          <cell r="I150">
            <v>2129.0680000000002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2042.0199236010531</v>
          </cell>
          <cell r="O150">
            <v>289.42726666426114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2742.6081902653141</v>
          </cell>
          <cell r="Y150">
            <v>-53.009872438923111</v>
          </cell>
          <cell r="Z150">
            <v>170111.99524616043</v>
          </cell>
          <cell r="AA150">
            <v>82.24731863059462</v>
          </cell>
          <cell r="AD150">
            <v>51.785617214043036</v>
          </cell>
        </row>
        <row r="151">
          <cell r="A151">
            <v>46342</v>
          </cell>
          <cell r="B151">
            <v>82.24731863059462</v>
          </cell>
          <cell r="C151" t="str">
            <v/>
          </cell>
          <cell r="D151">
            <v>170111.99524616043</v>
          </cell>
          <cell r="E151">
            <v>1342.095</v>
          </cell>
          <cell r="F151">
            <v>0</v>
          </cell>
          <cell r="G151">
            <v>0</v>
          </cell>
          <cell r="H151">
            <v>300</v>
          </cell>
          <cell r="I151">
            <v>1642.095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2041.2509172466212</v>
          </cell>
          <cell r="O151">
            <v>273.61022327779352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2726.0221405244147</v>
          </cell>
          <cell r="Y151">
            <v>-93.651304941309434</v>
          </cell>
          <cell r="Z151">
            <v>170018.34394121912</v>
          </cell>
          <cell r="AA151">
            <v>82.226025611738066</v>
          </cell>
          <cell r="AD151">
            <v>37.998159682899207</v>
          </cell>
        </row>
        <row r="152">
          <cell r="A152">
            <v>46343</v>
          </cell>
          <cell r="B152">
            <v>82.226025611738066</v>
          </cell>
          <cell r="C152" t="str">
            <v/>
          </cell>
          <cell r="D152">
            <v>170018.34394121915</v>
          </cell>
          <cell r="E152">
            <v>5266.5240000000003</v>
          </cell>
          <cell r="F152">
            <v>0</v>
          </cell>
          <cell r="G152">
            <v>0</v>
          </cell>
          <cell r="H152">
            <v>300</v>
          </cell>
          <cell r="I152">
            <v>5566.5240000000003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2039.8920395161135</v>
          </cell>
          <cell r="O152">
            <v>403.6032559185831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2854.6562954346969</v>
          </cell>
          <cell r="Y152">
            <v>234.3053696744422</v>
          </cell>
          <cell r="Z152">
            <v>170252.64931089358</v>
          </cell>
          <cell r="AA152">
            <v>82.279287445690528</v>
          </cell>
          <cell r="AD152">
            <v>149.10883352208381</v>
          </cell>
        </row>
        <row r="153">
          <cell r="A153">
            <v>46344</v>
          </cell>
          <cell r="B153">
            <v>82.279287445690528</v>
          </cell>
          <cell r="C153" t="str">
            <v/>
          </cell>
          <cell r="D153">
            <v>170252.64931089355</v>
          </cell>
          <cell r="E153">
            <v>3304.3090000000002</v>
          </cell>
          <cell r="F153">
            <v>0</v>
          </cell>
          <cell r="G153">
            <v>0</v>
          </cell>
          <cell r="H153">
            <v>300</v>
          </cell>
          <cell r="I153">
            <v>3604.3090000000002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2043.2911028678889</v>
          </cell>
          <cell r="O153">
            <v>501.76527971089689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2956.2173825787859</v>
          </cell>
          <cell r="Y153">
            <v>55.995115745192919</v>
          </cell>
          <cell r="Z153">
            <v>170308.64442663876</v>
          </cell>
          <cell r="AA153">
            <v>82.292010731530112</v>
          </cell>
          <cell r="AD153">
            <v>93.553482446206118</v>
          </cell>
        </row>
        <row r="154">
          <cell r="A154">
            <v>46345</v>
          </cell>
          <cell r="B154">
            <v>82.292010731530112</v>
          </cell>
          <cell r="C154" t="str">
            <v/>
          </cell>
          <cell r="D154">
            <v>170308.64442663867</v>
          </cell>
          <cell r="E154">
            <v>2888.95</v>
          </cell>
          <cell r="F154">
            <v>0</v>
          </cell>
          <cell r="G154">
            <v>0</v>
          </cell>
          <cell r="H154">
            <v>300</v>
          </cell>
          <cell r="I154">
            <v>3188.95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2044.1030774358335</v>
          </cell>
          <cell r="O154">
            <v>488.67017788490227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2943.9342553207357</v>
          </cell>
          <cell r="Y154">
            <v>21.169360340288421</v>
          </cell>
          <cell r="Z154">
            <v>170329.81378697895</v>
          </cell>
          <cell r="AA154">
            <v>82.296820318691289</v>
          </cell>
          <cell r="AD154">
            <v>81.793601359003389</v>
          </cell>
        </row>
        <row r="155">
          <cell r="A155">
            <v>46346</v>
          </cell>
          <cell r="B155">
            <v>82.296820318691289</v>
          </cell>
          <cell r="C155" t="str">
            <v/>
          </cell>
          <cell r="D155">
            <v>170329.81378697892</v>
          </cell>
          <cell r="E155">
            <v>2409.1390000000001</v>
          </cell>
          <cell r="F155">
            <v>0</v>
          </cell>
          <cell r="G155">
            <v>0</v>
          </cell>
          <cell r="H155">
            <v>300</v>
          </cell>
          <cell r="I155">
            <v>2709.1390000000001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2044.4100156361089</v>
          </cell>
          <cell r="O155">
            <v>639.40740080488945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3094.9784164409984</v>
          </cell>
          <cell r="Y155">
            <v>-33.336525580502254</v>
          </cell>
          <cell r="Z155">
            <v>170296.47726139842</v>
          </cell>
          <cell r="AA155">
            <v>82.289246269248054</v>
          </cell>
          <cell r="AD155">
            <v>68.208918459796152</v>
          </cell>
        </row>
        <row r="156">
          <cell r="A156">
            <v>46347</v>
          </cell>
          <cell r="B156">
            <v>82.289246269248054</v>
          </cell>
          <cell r="C156" t="str">
            <v/>
          </cell>
          <cell r="D156">
            <v>170296.4772613984</v>
          </cell>
          <cell r="E156">
            <v>4088.7669999999998</v>
          </cell>
          <cell r="F156">
            <v>0</v>
          </cell>
          <cell r="G156">
            <v>0</v>
          </cell>
          <cell r="H156">
            <v>300</v>
          </cell>
          <cell r="I156">
            <v>4388.7669999999998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2043.926655000987</v>
          </cell>
          <cell r="O156">
            <v>636.05993529526563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3091.1475902962529</v>
          </cell>
          <cell r="Y156">
            <v>112.11431699840374</v>
          </cell>
          <cell r="Z156">
            <v>170408.59157839679</v>
          </cell>
          <cell r="AA156">
            <v>82.31471567392542</v>
          </cell>
          <cell r="AD156">
            <v>115.76350509626273</v>
          </cell>
        </row>
        <row r="157">
          <cell r="A157">
            <v>46348</v>
          </cell>
          <cell r="B157">
            <v>82.31471567392542</v>
          </cell>
          <cell r="C157" t="str">
            <v/>
          </cell>
          <cell r="D157">
            <v>170408.59157839676</v>
          </cell>
          <cell r="E157">
            <v>2766.6390000000001</v>
          </cell>
          <cell r="F157">
            <v>0</v>
          </cell>
          <cell r="G157">
            <v>0</v>
          </cell>
          <cell r="H157">
            <v>300</v>
          </cell>
          <cell r="I157">
            <v>3066.6390000000001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2045.5520612929975</v>
          </cell>
          <cell r="O157">
            <v>728.86489149926126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3185.5779527922591</v>
          </cell>
          <cell r="Y157">
            <v>-10.276325521251177</v>
          </cell>
          <cell r="Z157">
            <v>170398.3152528755</v>
          </cell>
          <cell r="AA157">
            <v>82.312381512798098</v>
          </cell>
          <cell r="AD157">
            <v>78.330662514156288</v>
          </cell>
        </row>
        <row r="158">
          <cell r="A158">
            <v>46349</v>
          </cell>
          <cell r="B158">
            <v>82.312381512798098</v>
          </cell>
          <cell r="C158" t="str">
            <v/>
          </cell>
          <cell r="D158">
            <v>170398.3152528755</v>
          </cell>
          <cell r="E158">
            <v>1846.8969999999999</v>
          </cell>
          <cell r="F158">
            <v>0</v>
          </cell>
          <cell r="G158">
            <v>0</v>
          </cell>
          <cell r="H158">
            <v>300</v>
          </cell>
          <cell r="I158">
            <v>2146.8969999999999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2045.4030998142753</v>
          </cell>
          <cell r="O158">
            <v>364.47106119178216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2821.0351610060575</v>
          </cell>
          <cell r="Y158">
            <v>-58.245537110923372</v>
          </cell>
          <cell r="Z158">
            <v>170340.06971576458</v>
          </cell>
          <cell r="AA158">
            <v>82.299150314174469</v>
          </cell>
          <cell r="AD158">
            <v>52.290402038505093</v>
          </cell>
        </row>
        <row r="159">
          <cell r="A159">
            <v>46350</v>
          </cell>
          <cell r="B159">
            <v>82.299150314174469</v>
          </cell>
          <cell r="C159" t="str">
            <v/>
          </cell>
          <cell r="D159">
            <v>170340.06971576458</v>
          </cell>
          <cell r="E159">
            <v>1800.91</v>
          </cell>
          <cell r="F159">
            <v>0</v>
          </cell>
          <cell r="G159">
            <v>0</v>
          </cell>
          <cell r="H159">
            <v>300</v>
          </cell>
          <cell r="I159">
            <v>2100.91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2044.5587112717824</v>
          </cell>
          <cell r="O159">
            <v>610.99090751257256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3066.7106187843547</v>
          </cell>
          <cell r="Y159">
            <v>-83.445173462968256</v>
          </cell>
          <cell r="Z159">
            <v>170256.62454230161</v>
          </cell>
          <cell r="AA159">
            <v>82.280190771957422</v>
          </cell>
          <cell r="AD159">
            <v>50.988391845979613</v>
          </cell>
        </row>
        <row r="160">
          <cell r="A160">
            <v>46351</v>
          </cell>
          <cell r="B160">
            <v>82.280190771957422</v>
          </cell>
          <cell r="C160" t="str">
            <v/>
          </cell>
          <cell r="D160">
            <v>170256.62454230158</v>
          </cell>
          <cell r="E160">
            <v>1559.4780000000001</v>
          </cell>
          <cell r="F160">
            <v>0</v>
          </cell>
          <cell r="G160">
            <v>0</v>
          </cell>
          <cell r="H160">
            <v>300</v>
          </cell>
          <cell r="I160">
            <v>1859.4780000000001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2043.3487513373584</v>
          </cell>
          <cell r="O160">
            <v>230.68683407112377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2685.1965854084824</v>
          </cell>
          <cell r="Y160">
            <v>-71.342085779292873</v>
          </cell>
          <cell r="Z160">
            <v>170185.28245652228</v>
          </cell>
          <cell r="AA160">
            <v>82.26397749186755</v>
          </cell>
          <cell r="AD160">
            <v>44.152831257078141</v>
          </cell>
        </row>
        <row r="161">
          <cell r="A161">
            <v>46352</v>
          </cell>
          <cell r="B161">
            <v>82.26397749186755</v>
          </cell>
          <cell r="C161" t="str">
            <v/>
          </cell>
          <cell r="D161">
            <v>170185.28245652228</v>
          </cell>
          <cell r="E161">
            <v>1523.838</v>
          </cell>
          <cell r="F161">
            <v>0</v>
          </cell>
          <cell r="G161">
            <v>0</v>
          </cell>
          <cell r="H161">
            <v>300</v>
          </cell>
          <cell r="I161">
            <v>1823.838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2042.3140523404227</v>
          </cell>
          <cell r="O161">
            <v>288.76262398708593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2742.2376763275088</v>
          </cell>
          <cell r="Y161">
            <v>-79.349732034696757</v>
          </cell>
          <cell r="Z161">
            <v>170105.93272448759</v>
          </cell>
          <cell r="AA161">
            <v>82.24594040301983</v>
          </cell>
          <cell r="AD161">
            <v>43.143771234428087</v>
          </cell>
        </row>
        <row r="162">
          <cell r="A162">
            <v>46353</v>
          </cell>
          <cell r="B162">
            <v>82.24594040301983</v>
          </cell>
          <cell r="C162" t="str">
            <v/>
          </cell>
          <cell r="D162">
            <v>170105.93272448762</v>
          </cell>
          <cell r="E162">
            <v>1391.625</v>
          </cell>
          <cell r="F162">
            <v>0</v>
          </cell>
          <cell r="G162">
            <v>0</v>
          </cell>
          <cell r="H162">
            <v>300</v>
          </cell>
          <cell r="I162">
            <v>1691.625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2041.1629615287598</v>
          </cell>
          <cell r="O162">
            <v>524.4961953181454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2976.8201568469053</v>
          </cell>
          <cell r="Y162">
            <v>-111.04086155157262</v>
          </cell>
          <cell r="Z162">
            <v>169994.89186293606</v>
          </cell>
          <cell r="AA162">
            <v>82.220692516701789</v>
          </cell>
          <cell r="AD162">
            <v>39.400481313703281</v>
          </cell>
        </row>
        <row r="163">
          <cell r="A163">
            <v>46354</v>
          </cell>
          <cell r="B163">
            <v>82.220692516701789</v>
          </cell>
          <cell r="C163" t="str">
            <v/>
          </cell>
          <cell r="D163">
            <v>169994.89186293603</v>
          </cell>
          <cell r="E163">
            <v>1021.441</v>
          </cell>
          <cell r="F163">
            <v>0</v>
          </cell>
          <cell r="G163">
            <v>0</v>
          </cell>
          <cell r="H163">
            <v>300</v>
          </cell>
          <cell r="I163">
            <v>1321.441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2039.551692093876</v>
          </cell>
          <cell r="O163">
            <v>266.08176835598829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2716.7944604498643</v>
          </cell>
          <cell r="Y163">
            <v>-120.55853898286827</v>
          </cell>
          <cell r="Z163">
            <v>169874.33332395315</v>
          </cell>
          <cell r="AA163">
            <v>82.1932712363066</v>
          </cell>
          <cell r="AD163">
            <v>28.91962061155153</v>
          </cell>
        </row>
        <row r="164">
          <cell r="A164">
            <v>46355</v>
          </cell>
          <cell r="B164">
            <v>82.1932712363066</v>
          </cell>
          <cell r="C164" t="str">
            <v/>
          </cell>
          <cell r="D164">
            <v>169874.33332395309</v>
          </cell>
          <cell r="E164">
            <v>1188.252</v>
          </cell>
          <cell r="F164">
            <v>0</v>
          </cell>
          <cell r="G164">
            <v>0</v>
          </cell>
          <cell r="H164">
            <v>300</v>
          </cell>
          <cell r="I164">
            <v>1488.252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2037.8017210107696</v>
          </cell>
          <cell r="O164">
            <v>285.99709569205351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2734.959816702823</v>
          </cell>
          <cell r="Y164">
            <v>-107.7155553631239</v>
          </cell>
          <cell r="Z164">
            <v>169766.61776858996</v>
          </cell>
          <cell r="AA164">
            <v>82.168762907078332</v>
          </cell>
          <cell r="AD164">
            <v>33.642468856172137</v>
          </cell>
        </row>
        <row r="165">
          <cell r="A165">
            <v>46356</v>
          </cell>
          <cell r="B165">
            <v>82.168762907078332</v>
          </cell>
          <cell r="C165" t="str">
            <v/>
          </cell>
          <cell r="D165">
            <v>169766.6177685899</v>
          </cell>
          <cell r="E165">
            <v>2250.3560000000002</v>
          </cell>
          <cell r="F165">
            <v>0</v>
          </cell>
          <cell r="G165">
            <v>0</v>
          </cell>
          <cell r="H165">
            <v>300</v>
          </cell>
          <cell r="I165">
            <v>2550.3560000000002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2036.2376486251396</v>
          </cell>
          <cell r="O165">
            <v>438.15867231463807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2885.5573209397776</v>
          </cell>
          <cell r="Y165">
            <v>-28.961394129196766</v>
          </cell>
          <cell r="Z165">
            <v>169737.6563744607</v>
          </cell>
          <cell r="AA165">
            <v>82.162172049603399</v>
          </cell>
          <cell r="AD165">
            <v>63.713363533408838</v>
          </cell>
        </row>
        <row r="166">
          <cell r="A166">
            <v>46357</v>
          </cell>
          <cell r="B166">
            <v>82.162172049603399</v>
          </cell>
          <cell r="C166" t="str">
            <v/>
          </cell>
          <cell r="D166">
            <v>169737.6563744607</v>
          </cell>
          <cell r="E166">
            <v>1935.7370000000001</v>
          </cell>
          <cell r="F166">
            <v>0</v>
          </cell>
          <cell r="G166">
            <v>0</v>
          </cell>
          <cell r="H166">
            <v>300</v>
          </cell>
          <cell r="I166">
            <v>2235.7370000000001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2035.8170333282678</v>
          </cell>
          <cell r="O166">
            <v>703.1749187000446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3150.1529520283125</v>
          </cell>
          <cell r="Y166">
            <v>-79.005538255246194</v>
          </cell>
          <cell r="Z166">
            <v>169658.65083620546</v>
          </cell>
          <cell r="AA166">
            <v>82.144189598519603</v>
          </cell>
          <cell r="AD166">
            <v>54.805690826727066</v>
          </cell>
        </row>
        <row r="167">
          <cell r="A167">
            <v>46358</v>
          </cell>
          <cell r="B167">
            <v>82.144189598519603</v>
          </cell>
          <cell r="C167" t="str">
            <v/>
          </cell>
          <cell r="D167">
            <v>169658.65083620546</v>
          </cell>
          <cell r="E167">
            <v>3479.2719999999999</v>
          </cell>
          <cell r="F167">
            <v>0</v>
          </cell>
          <cell r="G167">
            <v>0</v>
          </cell>
          <cell r="H167">
            <v>300</v>
          </cell>
          <cell r="I167">
            <v>3779.2719999999999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2034.6694293890459</v>
          </cell>
          <cell r="O167">
            <v>402.53105973554017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2848.3614891245861</v>
          </cell>
          <cell r="Y167">
            <v>80.430668139635756</v>
          </cell>
          <cell r="Z167">
            <v>169739.08150434509</v>
          </cell>
          <cell r="AA167">
            <v>82.162496385092084</v>
          </cell>
          <cell r="AD167">
            <v>98.507134767836916</v>
          </cell>
        </row>
        <row r="168">
          <cell r="A168">
            <v>46359</v>
          </cell>
          <cell r="B168">
            <v>82.162496385092084</v>
          </cell>
          <cell r="C168" t="str">
            <v/>
          </cell>
          <cell r="D168">
            <v>169739.08150434506</v>
          </cell>
          <cell r="E168">
            <v>1036.222</v>
          </cell>
          <cell r="F168">
            <v>0</v>
          </cell>
          <cell r="G168">
            <v>0</v>
          </cell>
          <cell r="H168">
            <v>300</v>
          </cell>
          <cell r="I168">
            <v>1336.222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2035.837731768248</v>
          </cell>
          <cell r="O168">
            <v>275.81765434763679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2722.8163861158846</v>
          </cell>
          <cell r="Y168">
            <v>-119.80175496041244</v>
          </cell>
          <cell r="Z168">
            <v>169619.27974938464</v>
          </cell>
          <cell r="AA168">
            <v>82.13522678599179</v>
          </cell>
          <cell r="AD168">
            <v>29.338108720271801</v>
          </cell>
        </row>
        <row r="169">
          <cell r="A169">
            <v>46360</v>
          </cell>
          <cell r="B169">
            <v>82.13522678599179</v>
          </cell>
          <cell r="C169" t="str">
            <v/>
          </cell>
          <cell r="D169">
            <v>169619.27974938467</v>
          </cell>
          <cell r="E169">
            <v>746.94100000000003</v>
          </cell>
          <cell r="F169">
            <v>0</v>
          </cell>
          <cell r="G169">
            <v>0</v>
          </cell>
          <cell r="H169">
            <v>300</v>
          </cell>
          <cell r="I169">
            <v>1046.941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2034.0974406809723</v>
          </cell>
          <cell r="O169">
            <v>401.17839200439619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2846.4368326853687</v>
          </cell>
          <cell r="Y169">
            <v>-155.47643994401585</v>
          </cell>
          <cell r="Z169">
            <v>169463.80330944067</v>
          </cell>
          <cell r="AA169">
            <v>82.099822492194306</v>
          </cell>
          <cell r="AD169">
            <v>21.147819932049831</v>
          </cell>
        </row>
        <row r="170">
          <cell r="A170">
            <v>46361</v>
          </cell>
          <cell r="B170">
            <v>82.099822492194306</v>
          </cell>
          <cell r="C170" t="str">
            <v/>
          </cell>
          <cell r="D170">
            <v>169463.80330944064</v>
          </cell>
          <cell r="E170">
            <v>1038.8900000000001</v>
          </cell>
          <cell r="F170">
            <v>0</v>
          </cell>
          <cell r="G170">
            <v>0</v>
          </cell>
          <cell r="H170">
            <v>300</v>
          </cell>
          <cell r="I170">
            <v>1338.89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2031.8380097036252</v>
          </cell>
          <cell r="O170">
            <v>341.58812558747024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2784.5871352910954</v>
          </cell>
          <cell r="Y170">
            <v>-124.90823248915063</v>
          </cell>
          <cell r="Z170">
            <v>169338.89507695148</v>
          </cell>
          <cell r="AA170">
            <v>82.07136729598318</v>
          </cell>
          <cell r="AD170">
            <v>29.413646659116651</v>
          </cell>
        </row>
        <row r="171">
          <cell r="A171">
            <v>46362</v>
          </cell>
          <cell r="B171">
            <v>82.07136729598318</v>
          </cell>
          <cell r="C171" t="str">
            <v/>
          </cell>
          <cell r="D171">
            <v>169338.89507695145</v>
          </cell>
          <cell r="E171">
            <v>681.35799999999995</v>
          </cell>
          <cell r="F171">
            <v>0</v>
          </cell>
          <cell r="G171">
            <v>0</v>
          </cell>
          <cell r="H171">
            <v>300</v>
          </cell>
          <cell r="I171">
            <v>981.35799999999995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2030.0220561881088</v>
          </cell>
          <cell r="O171">
            <v>639.50091094180971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3080.6839671299185</v>
          </cell>
          <cell r="Y171">
            <v>-181.38176356002495</v>
          </cell>
          <cell r="Z171">
            <v>169157.51331339142</v>
          </cell>
          <cell r="AA171">
            <v>82.030028287951183</v>
          </cell>
          <cell r="AD171">
            <v>19.290996602491504</v>
          </cell>
        </row>
        <row r="172">
          <cell r="A172">
            <v>46363</v>
          </cell>
          <cell r="B172">
            <v>82.030028287951183</v>
          </cell>
          <cell r="C172" t="str">
            <v/>
          </cell>
          <cell r="D172">
            <v>169157.51331339142</v>
          </cell>
          <cell r="E172">
            <v>1991.355</v>
          </cell>
          <cell r="F172">
            <v>0</v>
          </cell>
          <cell r="G172">
            <v>0</v>
          </cell>
          <cell r="H172">
            <v>300</v>
          </cell>
          <cell r="I172">
            <v>2291.355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2027.3838836586813</v>
          </cell>
          <cell r="O172">
            <v>349.23688469794797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2787.7817683566291</v>
          </cell>
          <cell r="Y172">
            <v>-42.891272786012749</v>
          </cell>
          <cell r="Z172">
            <v>169114.62204060541</v>
          </cell>
          <cell r="AA172">
            <v>82.020249637861468</v>
          </cell>
          <cell r="AD172">
            <v>56.380379388448468</v>
          </cell>
        </row>
        <row r="173">
          <cell r="A173">
            <v>46364</v>
          </cell>
          <cell r="B173">
            <v>82.020249637861468</v>
          </cell>
          <cell r="C173" t="str">
            <v/>
          </cell>
          <cell r="D173">
            <v>169114.62204060538</v>
          </cell>
          <cell r="E173">
            <v>2034.259</v>
          </cell>
          <cell r="F173">
            <v>0</v>
          </cell>
          <cell r="G173">
            <v>0</v>
          </cell>
          <cell r="H173">
            <v>300</v>
          </cell>
          <cell r="I173">
            <v>2334.259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2026.7598298347093</v>
          </cell>
          <cell r="O173">
            <v>489.619497273837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2927.5403271085465</v>
          </cell>
          <cell r="Y173">
            <v>-51.259506662178417</v>
          </cell>
          <cell r="Z173">
            <v>169063.3625339432</v>
          </cell>
          <cell r="AA173">
            <v>82.008561517153794</v>
          </cell>
          <cell r="AD173">
            <v>57.595101925254816</v>
          </cell>
        </row>
        <row r="174">
          <cell r="A174">
            <v>46365</v>
          </cell>
          <cell r="B174">
            <v>82.008561517153794</v>
          </cell>
          <cell r="C174" t="str">
            <v/>
          </cell>
          <cell r="D174">
            <v>169063.36253394323</v>
          </cell>
          <cell r="E174">
            <v>874.42499999999995</v>
          </cell>
          <cell r="F174">
            <v>0</v>
          </cell>
          <cell r="G174">
            <v>0</v>
          </cell>
          <cell r="H174">
            <v>300</v>
          </cell>
          <cell r="I174">
            <v>1174.425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2026.0139174280121</v>
          </cell>
          <cell r="O174">
            <v>407.1673681277602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2844.3422855557724</v>
          </cell>
          <cell r="Y174">
            <v>-144.28085347201875</v>
          </cell>
          <cell r="Z174">
            <v>168919.08168047122</v>
          </cell>
          <cell r="AA174">
            <v>81.975653307636932</v>
          </cell>
          <cell r="AD174">
            <v>24.757219705549261</v>
          </cell>
        </row>
        <row r="175">
          <cell r="A175">
            <v>46366</v>
          </cell>
          <cell r="B175">
            <v>81.975653307636932</v>
          </cell>
          <cell r="C175" t="str">
            <v/>
          </cell>
          <cell r="D175">
            <v>168919.08168047125</v>
          </cell>
          <cell r="E175">
            <v>662.76599999999996</v>
          </cell>
          <cell r="F175">
            <v>0</v>
          </cell>
          <cell r="G175">
            <v>0</v>
          </cell>
          <cell r="H175">
            <v>300</v>
          </cell>
          <cell r="I175">
            <v>962.76599999999996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2023.9137815400672</v>
          </cell>
          <cell r="O175">
            <v>195.56008279981273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2630.6348643398801</v>
          </cell>
          <cell r="Y175">
            <v>-144.10386987896561</v>
          </cell>
          <cell r="Z175">
            <v>168774.97781059227</v>
          </cell>
          <cell r="AA175">
            <v>81.942771469613774</v>
          </cell>
          <cell r="AD175">
            <v>18.764609286523214</v>
          </cell>
        </row>
        <row r="176">
          <cell r="A176">
            <v>46367</v>
          </cell>
          <cell r="B176">
            <v>81.942771469613774</v>
          </cell>
          <cell r="C176" t="str">
            <v/>
          </cell>
          <cell r="D176">
            <v>168774.9778105923</v>
          </cell>
          <cell r="E176">
            <v>678.49699999999996</v>
          </cell>
          <cell r="F176">
            <v>0</v>
          </cell>
          <cell r="G176">
            <v>0</v>
          </cell>
          <cell r="H176">
            <v>300</v>
          </cell>
          <cell r="I176">
            <v>978.49699999999996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2021.8153286279262</v>
          </cell>
          <cell r="O176">
            <v>277.68172988148075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2710.6580585094071</v>
          </cell>
          <cell r="Y176">
            <v>-149.65871545521279</v>
          </cell>
          <cell r="Z176">
            <v>168625.31909513709</v>
          </cell>
          <cell r="AA176">
            <v>81.908607293137408</v>
          </cell>
          <cell r="AD176">
            <v>19.209994337485842</v>
          </cell>
        </row>
        <row r="177">
          <cell r="A177">
            <v>46368</v>
          </cell>
          <cell r="B177">
            <v>81.908607293137408</v>
          </cell>
          <cell r="C177" t="str">
            <v/>
          </cell>
          <cell r="D177">
            <v>168625.31909513706</v>
          </cell>
          <cell r="E177">
            <v>995.41399999999999</v>
          </cell>
          <cell r="F177">
            <v>0</v>
          </cell>
          <cell r="G177">
            <v>0</v>
          </cell>
          <cell r="H177">
            <v>300</v>
          </cell>
          <cell r="I177">
            <v>1295.414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2019.6350394492233</v>
          </cell>
          <cell r="O177">
            <v>393.41986066603118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2824.2159001152545</v>
          </cell>
          <cell r="Y177">
            <v>-132.08848416995801</v>
          </cell>
          <cell r="Z177">
            <v>168493.23061096712</v>
          </cell>
          <cell r="AA177">
            <v>81.87844149352226</v>
          </cell>
          <cell r="AD177">
            <v>28.182729331823328</v>
          </cell>
        </row>
        <row r="178">
          <cell r="A178">
            <v>46369</v>
          </cell>
          <cell r="B178">
            <v>81.87844149352226</v>
          </cell>
          <cell r="C178" t="str">
            <v/>
          </cell>
          <cell r="D178">
            <v>168493.23061096709</v>
          </cell>
          <cell r="E178">
            <v>944.90700000000004</v>
          </cell>
          <cell r="F178">
            <v>0</v>
          </cell>
          <cell r="G178">
            <v>0</v>
          </cell>
          <cell r="H178">
            <v>300</v>
          </cell>
          <cell r="I178">
            <v>1244.9070000000002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2017.7099186574692</v>
          </cell>
          <cell r="O178">
            <v>209.64714819447087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2638.5180668519401</v>
          </cell>
          <cell r="Y178">
            <v>-120.40799617600763</v>
          </cell>
          <cell r="Z178">
            <v>168372.82261479108</v>
          </cell>
          <cell r="AA178">
            <v>81.85093295610325</v>
          </cell>
          <cell r="AD178">
            <v>26.752746319365798</v>
          </cell>
        </row>
        <row r="179">
          <cell r="A179">
            <v>46370</v>
          </cell>
          <cell r="B179">
            <v>81.85093295610325</v>
          </cell>
          <cell r="C179" t="str">
            <v/>
          </cell>
          <cell r="D179">
            <v>168372.8226147911</v>
          </cell>
          <cell r="E179">
            <v>754.10599999999999</v>
          </cell>
          <cell r="F179">
            <v>0</v>
          </cell>
          <cell r="G179">
            <v>0</v>
          </cell>
          <cell r="H179">
            <v>300</v>
          </cell>
          <cell r="I179">
            <v>1054.106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2015.954379006218</v>
          </cell>
          <cell r="O179">
            <v>636.31755062270724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3063.4329296289252</v>
          </cell>
          <cell r="Y179">
            <v>-173.60584671993914</v>
          </cell>
          <cell r="Z179">
            <v>168199.21676807117</v>
          </cell>
          <cell r="AA179">
            <v>81.81125350544977</v>
          </cell>
          <cell r="AD179">
            <v>21.350679501698753</v>
          </cell>
        </row>
        <row r="180">
          <cell r="A180">
            <v>46371</v>
          </cell>
          <cell r="B180">
            <v>81.81125350544977</v>
          </cell>
          <cell r="C180" t="str">
            <v/>
          </cell>
          <cell r="D180">
            <v>168199.21676807111</v>
          </cell>
          <cell r="E180">
            <v>2291.7379999999998</v>
          </cell>
          <cell r="F180">
            <v>0</v>
          </cell>
          <cell r="G180">
            <v>0</v>
          </cell>
          <cell r="H180">
            <v>300</v>
          </cell>
          <cell r="I180">
            <v>2591.7379999999998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2013.4221160981251</v>
          </cell>
          <cell r="O180">
            <v>523.03884751131068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2947.6219636094356</v>
          </cell>
          <cell r="Y180">
            <v>-30.748374455855256</v>
          </cell>
          <cell r="Z180">
            <v>168168.46839361527</v>
          </cell>
          <cell r="AA180">
            <v>81.804223510724995</v>
          </cell>
          <cell r="AD180">
            <v>64.884994337485836</v>
          </cell>
        </row>
        <row r="181">
          <cell r="A181">
            <v>46372</v>
          </cell>
          <cell r="B181">
            <v>81.804223510724995</v>
          </cell>
          <cell r="C181" t="str">
            <v/>
          </cell>
          <cell r="D181">
            <v>168168.46839361524</v>
          </cell>
          <cell r="E181">
            <v>1522.922</v>
          </cell>
          <cell r="F181">
            <v>0</v>
          </cell>
          <cell r="G181">
            <v>0</v>
          </cell>
          <cell r="H181">
            <v>300</v>
          </cell>
          <cell r="I181">
            <v>1822.922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2012.9734759432722</v>
          </cell>
          <cell r="O181">
            <v>356.73069147908404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2780.8651674223565</v>
          </cell>
          <cell r="Y181">
            <v>-82.766289665291595</v>
          </cell>
          <cell r="Z181">
            <v>168085.70210394994</v>
          </cell>
          <cell r="AA181">
            <v>81.785297484650386</v>
          </cell>
          <cell r="AD181">
            <v>43.1178369195923</v>
          </cell>
        </row>
        <row r="182">
          <cell r="A182">
            <v>46373</v>
          </cell>
          <cell r="B182">
            <v>81.785297484650386</v>
          </cell>
          <cell r="C182" t="str">
            <v/>
          </cell>
          <cell r="D182">
            <v>168085.70210394997</v>
          </cell>
          <cell r="E182">
            <v>1360.18</v>
          </cell>
          <cell r="F182">
            <v>0</v>
          </cell>
          <cell r="G182">
            <v>0</v>
          </cell>
          <cell r="H182">
            <v>300</v>
          </cell>
          <cell r="I182">
            <v>1660.18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2011.7656549417957</v>
          </cell>
          <cell r="O182">
            <v>271.23060017241335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2694.157255114209</v>
          </cell>
          <cell r="Y182">
            <v>-89.335634841867645</v>
          </cell>
          <cell r="Z182">
            <v>167996.36646910809</v>
          </cell>
          <cell r="AA182">
            <v>81.764864041132256</v>
          </cell>
          <cell r="AD182">
            <v>38.510192525481315</v>
          </cell>
        </row>
        <row r="183">
          <cell r="A183">
            <v>46374</v>
          </cell>
          <cell r="B183">
            <v>81.764864041132256</v>
          </cell>
          <cell r="C183" t="str">
            <v/>
          </cell>
          <cell r="D183">
            <v>167996.36646910803</v>
          </cell>
          <cell r="E183">
            <v>1172.1849999999999</v>
          </cell>
          <cell r="F183">
            <v>0</v>
          </cell>
          <cell r="G183">
            <v>0</v>
          </cell>
          <cell r="H183">
            <v>300</v>
          </cell>
          <cell r="I183">
            <v>1472.1849999999999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2010.4616335843066</v>
          </cell>
          <cell r="O183">
            <v>500.22795216191901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2921.8505857462255</v>
          </cell>
          <cell r="Y183">
            <v>-125.25110660847389</v>
          </cell>
          <cell r="Z183">
            <v>167871.11536249955</v>
          </cell>
          <cell r="AA183">
            <v>81.736206643668837</v>
          </cell>
          <cell r="AD183">
            <v>33.187570781426949</v>
          </cell>
        </row>
        <row r="184">
          <cell r="A184">
            <v>46375</v>
          </cell>
          <cell r="B184">
            <v>81.736206643668837</v>
          </cell>
          <cell r="C184" t="str">
            <v/>
          </cell>
          <cell r="D184">
            <v>167871.11536249952</v>
          </cell>
          <cell r="E184">
            <v>2017.664</v>
          </cell>
          <cell r="F184">
            <v>0</v>
          </cell>
          <cell r="G184">
            <v>0</v>
          </cell>
          <cell r="H184">
            <v>300</v>
          </cell>
          <cell r="I184">
            <v>2317.6639999999998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2008.6327759906667</v>
          </cell>
          <cell r="O184">
            <v>272.35315107649831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2692.1469270671651</v>
          </cell>
          <cell r="Y184">
            <v>-32.355324898603079</v>
          </cell>
          <cell r="Z184">
            <v>167838.76003760091</v>
          </cell>
          <cell r="AA184">
            <v>81.728802026760064</v>
          </cell>
          <cell r="AD184">
            <v>57.125254813137033</v>
          </cell>
        </row>
        <row r="185">
          <cell r="A185">
            <v>46376</v>
          </cell>
          <cell r="B185">
            <v>81.728802026760064</v>
          </cell>
          <cell r="C185" t="str">
            <v/>
          </cell>
          <cell r="D185">
            <v>167838.76003760088</v>
          </cell>
          <cell r="E185">
            <v>1432.925</v>
          </cell>
          <cell r="F185">
            <v>0</v>
          </cell>
          <cell r="G185">
            <v>0</v>
          </cell>
          <cell r="H185">
            <v>300</v>
          </cell>
          <cell r="I185">
            <v>1732.925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2008.1602281998598</v>
          </cell>
          <cell r="O185">
            <v>307.06915350105942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2726.3903817009195</v>
          </cell>
          <cell r="Y185">
            <v>-85.83540897895945</v>
          </cell>
          <cell r="Z185">
            <v>167752.92462862193</v>
          </cell>
          <cell r="AA185">
            <v>81.709154875862666</v>
          </cell>
          <cell r="AD185">
            <v>40.569790486976217</v>
          </cell>
        </row>
        <row r="186">
          <cell r="A186">
            <v>46377</v>
          </cell>
          <cell r="B186">
            <v>81.709154875862666</v>
          </cell>
          <cell r="C186" t="str">
            <v/>
          </cell>
          <cell r="D186">
            <v>167752.92462862187</v>
          </cell>
          <cell r="E186">
            <v>1026.1500000000001</v>
          </cell>
          <cell r="F186">
            <v>0</v>
          </cell>
          <cell r="G186">
            <v>0</v>
          </cell>
          <cell r="H186">
            <v>300</v>
          </cell>
          <cell r="I186">
            <v>1326.15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2006.9063864594159</v>
          </cell>
          <cell r="O186">
            <v>224.2209222703033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2642.2883087297191</v>
          </cell>
          <cell r="Y186">
            <v>-113.71434987424773</v>
          </cell>
          <cell r="Z186">
            <v>167639.21027874763</v>
          </cell>
          <cell r="AA186">
            <v>81.683118699523845</v>
          </cell>
          <cell r="AD186">
            <v>29.052944507361271</v>
          </cell>
        </row>
        <row r="187">
          <cell r="A187">
            <v>46378</v>
          </cell>
          <cell r="B187">
            <v>81.683118699523845</v>
          </cell>
          <cell r="C187" t="str">
            <v/>
          </cell>
          <cell r="D187">
            <v>167639.2102787476</v>
          </cell>
          <cell r="E187">
            <v>1005.811</v>
          </cell>
          <cell r="F187">
            <v>0</v>
          </cell>
          <cell r="G187">
            <v>0</v>
          </cell>
          <cell r="H187">
            <v>300</v>
          </cell>
          <cell r="I187">
            <v>1305.8110000000001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2005.2448099374242</v>
          </cell>
          <cell r="O187">
            <v>462.22498996790296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2878.630799905327</v>
          </cell>
          <cell r="Y187">
            <v>-135.89163071182023</v>
          </cell>
          <cell r="Z187">
            <v>167503.31864803578</v>
          </cell>
          <cell r="AA187">
            <v>81.651993231019276</v>
          </cell>
          <cell r="AD187">
            <v>28.477095130237828</v>
          </cell>
        </row>
        <row r="188">
          <cell r="A188">
            <v>46379</v>
          </cell>
          <cell r="B188">
            <v>81.651993231019276</v>
          </cell>
          <cell r="C188" t="str">
            <v/>
          </cell>
          <cell r="D188">
            <v>167503.31864803578</v>
          </cell>
          <cell r="E188">
            <v>899.03300000000002</v>
          </cell>
          <cell r="F188">
            <v>0</v>
          </cell>
          <cell r="G188">
            <v>0</v>
          </cell>
          <cell r="H188">
            <v>300</v>
          </cell>
          <cell r="I188">
            <v>1199.0329999999999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2003.2584450031047</v>
          </cell>
          <cell r="O188">
            <v>530.50400531838613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2944.9234503214907</v>
          </cell>
          <cell r="Y188">
            <v>-150.8449349077768</v>
          </cell>
          <cell r="Z188">
            <v>167352.47371312801</v>
          </cell>
          <cell r="AA188">
            <v>81.617428012315955</v>
          </cell>
          <cell r="AD188">
            <v>25.453935447338619</v>
          </cell>
        </row>
        <row r="189">
          <cell r="A189">
            <v>46380</v>
          </cell>
          <cell r="B189">
            <v>81.617428012315955</v>
          </cell>
          <cell r="C189" t="str">
            <v/>
          </cell>
          <cell r="D189">
            <v>167352.47371312807</v>
          </cell>
          <cell r="E189">
            <v>883.27</v>
          </cell>
          <cell r="F189">
            <v>0</v>
          </cell>
          <cell r="G189">
            <v>0</v>
          </cell>
          <cell r="H189">
            <v>300</v>
          </cell>
          <cell r="I189">
            <v>1183.27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2001.0525621143286</v>
          </cell>
          <cell r="O189">
            <v>512.98061983858713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2925.1941819529161</v>
          </cell>
          <cell r="Y189">
            <v>-150.50224932073195</v>
          </cell>
          <cell r="Z189">
            <v>167201.97146380733</v>
          </cell>
          <cell r="AA189">
            <v>81.582925829414066</v>
          </cell>
          <cell r="AD189">
            <v>25.007644394110983</v>
          </cell>
        </row>
        <row r="190">
          <cell r="A190">
            <v>46381</v>
          </cell>
          <cell r="B190">
            <v>81.582925829414066</v>
          </cell>
          <cell r="C190" t="str">
            <v/>
          </cell>
          <cell r="D190">
            <v>167201.97146380731</v>
          </cell>
          <cell r="E190">
            <v>824.79600000000005</v>
          </cell>
          <cell r="F190">
            <v>0</v>
          </cell>
          <cell r="G190">
            <v>0</v>
          </cell>
          <cell r="H190">
            <v>300</v>
          </cell>
          <cell r="I190">
            <v>1124.796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1998.8507020438938</v>
          </cell>
          <cell r="O190">
            <v>633.0231785075739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3043.0348805514677</v>
          </cell>
          <cell r="Y190">
            <v>-165.7358392796468</v>
          </cell>
          <cell r="Z190">
            <v>167036.23562452765</v>
          </cell>
          <cell r="AA190">
            <v>81.544913468289408</v>
          </cell>
          <cell r="AD190">
            <v>23.352095130237828</v>
          </cell>
        </row>
        <row r="191">
          <cell r="A191">
            <v>46382</v>
          </cell>
          <cell r="B191">
            <v>81.544913468289408</v>
          </cell>
          <cell r="C191" t="str">
            <v/>
          </cell>
          <cell r="D191">
            <v>167036.23562452756</v>
          </cell>
          <cell r="E191">
            <v>678.65599999999995</v>
          </cell>
          <cell r="F191">
            <v>0</v>
          </cell>
          <cell r="G191">
            <v>0</v>
          </cell>
          <cell r="H191">
            <v>300</v>
          </cell>
          <cell r="I191">
            <v>978.65599999999995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1996.4248294438512</v>
          </cell>
          <cell r="O191">
            <v>183.99092438160912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2591.5767538254604</v>
          </cell>
          <cell r="Y191">
            <v>-139.35635313051978</v>
          </cell>
          <cell r="Z191">
            <v>166896.87927139705</v>
          </cell>
          <cell r="AA191">
            <v>81.512936817274579</v>
          </cell>
          <cell r="AD191">
            <v>19.214496036240089</v>
          </cell>
        </row>
        <row r="192">
          <cell r="A192">
            <v>46383</v>
          </cell>
          <cell r="B192">
            <v>81.512936817274579</v>
          </cell>
          <cell r="C192" t="str">
            <v/>
          </cell>
          <cell r="D192">
            <v>166896.87927139699</v>
          </cell>
          <cell r="E192">
            <v>756.971</v>
          </cell>
          <cell r="F192">
            <v>0</v>
          </cell>
          <cell r="G192">
            <v>0</v>
          </cell>
          <cell r="H192">
            <v>300</v>
          </cell>
          <cell r="I192">
            <v>1056.971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1994.3841437499632</v>
          </cell>
          <cell r="O192">
            <v>397.15813680837823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2802.7032805583412</v>
          </cell>
          <cell r="Y192">
            <v>-150.83126904024067</v>
          </cell>
          <cell r="Z192">
            <v>166746.04800235675</v>
          </cell>
          <cell r="AA192">
            <v>81.478312127601711</v>
          </cell>
          <cell r="AD192">
            <v>21.431795016987543</v>
          </cell>
        </row>
        <row r="193">
          <cell r="A193">
            <v>46384</v>
          </cell>
          <cell r="B193">
            <v>81.478312127601711</v>
          </cell>
          <cell r="C193" t="str">
            <v/>
          </cell>
          <cell r="D193">
            <v>166746.04800235672</v>
          </cell>
          <cell r="E193">
            <v>1255.607</v>
          </cell>
          <cell r="F193">
            <v>0</v>
          </cell>
          <cell r="G193">
            <v>0</v>
          </cell>
          <cell r="H193">
            <v>300</v>
          </cell>
          <cell r="I193">
            <v>1555.607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1992.1744655432631</v>
          </cell>
          <cell r="O193">
            <v>224.11584087306173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2627.4513064163248</v>
          </cell>
          <cell r="Y193">
            <v>-92.607348074370464</v>
          </cell>
          <cell r="Z193">
            <v>166653.44065428234</v>
          </cell>
          <cell r="AA193">
            <v>81.457045528937456</v>
          </cell>
          <cell r="AD193">
            <v>35.549462061155154</v>
          </cell>
        </row>
        <row r="194">
          <cell r="A194">
            <v>46385</v>
          </cell>
          <cell r="B194">
            <v>81.457045528937456</v>
          </cell>
          <cell r="C194" t="str">
            <v/>
          </cell>
          <cell r="D194">
            <v>166653.44065428231</v>
          </cell>
          <cell r="E194">
            <v>1107.9000000000001</v>
          </cell>
          <cell r="F194">
            <v>0</v>
          </cell>
          <cell r="G194">
            <v>0</v>
          </cell>
          <cell r="H194">
            <v>300</v>
          </cell>
          <cell r="I194">
            <v>1407.9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1990.8172738964058</v>
          </cell>
          <cell r="O194">
            <v>335.05523888335341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2737.0335127797593</v>
          </cell>
          <cell r="Y194">
            <v>-114.8371355041712</v>
          </cell>
          <cell r="Z194">
            <v>166538.60351877814</v>
          </cell>
          <cell r="AA194">
            <v>81.430665835358511</v>
          </cell>
          <cell r="AD194">
            <v>31.367497168742926</v>
          </cell>
        </row>
        <row r="195">
          <cell r="A195">
            <v>46386</v>
          </cell>
          <cell r="B195">
            <v>81.430665835358511</v>
          </cell>
          <cell r="C195" t="str">
            <v/>
          </cell>
          <cell r="D195">
            <v>166538.60351877814</v>
          </cell>
          <cell r="E195">
            <v>1832.559</v>
          </cell>
          <cell r="F195">
            <v>0</v>
          </cell>
          <cell r="G195">
            <v>0</v>
          </cell>
          <cell r="H195">
            <v>300</v>
          </cell>
          <cell r="I195">
            <v>2132.5590000000002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1989.1337747935529</v>
          </cell>
          <cell r="O195">
            <v>260.2542493059338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2660.5490240994868</v>
          </cell>
          <cell r="Y195">
            <v>-45.618338082195642</v>
          </cell>
          <cell r="Z195">
            <v>166492.98518069595</v>
          </cell>
          <cell r="AA195">
            <v>81.420184148579168</v>
          </cell>
          <cell r="AD195">
            <v>51.884456398640992</v>
          </cell>
        </row>
        <row r="196">
          <cell r="A196">
            <v>46387</v>
          </cell>
          <cell r="B196">
            <v>81.420184148579168</v>
          </cell>
          <cell r="C196" t="str">
            <v/>
          </cell>
          <cell r="D196">
            <v>166492.98518069595</v>
          </cell>
          <cell r="E196">
            <v>685.59500000000003</v>
          </cell>
          <cell r="F196">
            <v>0</v>
          </cell>
          <cell r="G196">
            <v>0</v>
          </cell>
          <cell r="H196">
            <v>0</v>
          </cell>
          <cell r="I196">
            <v>685.59500000000003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1988.4648545789723</v>
          </cell>
          <cell r="O196">
            <v>419.58761094662208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2819.2134655255945</v>
          </cell>
          <cell r="Y196">
            <v>-184.3446354214114</v>
          </cell>
          <cell r="Z196">
            <v>166308.64054527454</v>
          </cell>
          <cell r="AA196">
            <v>81.3778128429379</v>
          </cell>
          <cell r="AD196">
            <v>19.410956964892414</v>
          </cell>
        </row>
        <row r="197">
          <cell r="A197">
            <v>46388</v>
          </cell>
          <cell r="B197">
            <v>81.3778128429379</v>
          </cell>
          <cell r="C197" t="str">
            <v/>
          </cell>
          <cell r="D197">
            <v>166308.64054527454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1985.7608028878371</v>
          </cell>
          <cell r="O197">
            <v>342.59992251659224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2739.5217254044296</v>
          </cell>
          <cell r="Y197">
            <v>-189.19333947494269</v>
          </cell>
          <cell r="Z197">
            <v>166119.4472057996</v>
          </cell>
          <cell r="AA197">
            <v>81.334302708740111</v>
          </cell>
          <cell r="AD197">
            <v>15.565798414496037</v>
          </cell>
        </row>
        <row r="198">
          <cell r="A198">
            <v>46389</v>
          </cell>
          <cell r="B198">
            <v>81.334302708740111</v>
          </cell>
          <cell r="C198" t="str">
            <v/>
          </cell>
          <cell r="D198">
            <v>166119.4472057996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1982.9840734437373</v>
          </cell>
          <cell r="O198">
            <v>382.34165950976075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2776.4867329534982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0E04-4B6A-40FC-A948-9C9520AEA927}">
  <sheetPr>
    <tabColor rgb="FF0B3041"/>
  </sheetPr>
  <dimension ref="A2:AP613"/>
  <sheetViews>
    <sheetView tabSelected="1" topLeftCell="B45" zoomScaleNormal="100" workbookViewId="0">
      <selection activeCell="D41" sqref="D41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34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46238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13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46251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17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46268</v>
      </c>
      <c r="AG17" s="34">
        <f>IFERROR(INDEX($V$14:$V$197,MATCH(ROWS($AF$14:AF17),$Y$14:$Y$197,0)),"")</f>
        <v>48</v>
      </c>
      <c r="AH17" s="34">
        <f>IFERROR(INDEX($X$14:$X$197,MATCH(ROWS($AF$14:AF17)+1,$Y$14:$Y$197,0))-AF17,"")</f>
        <v>23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46291</v>
      </c>
      <c r="AG18" s="34">
        <f>IFERROR(INDEX($V$14:$V$197,MATCH(ROWS($AF$14:AF18),$Y$14:$Y$197,0)),"")</f>
        <v>47.5</v>
      </c>
      <c r="AH18" s="34">
        <f>IFERROR(INDEX($X$14:$X$197,MATCH(ROWS($AF$14:AF18)+1,$Y$14:$Y$197,0))-AF18,"")</f>
        <v>23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46314</v>
      </c>
      <c r="AG19" s="34">
        <f>IFERROR(INDEX($V$14:$V$197,MATCH(ROWS($AF$14:AF19),$Y$14:$Y$197,0)),"")</f>
        <v>47</v>
      </c>
      <c r="AH19" s="34">
        <f>IFERROR(INDEX($X$14:$X$197,MATCH(ROWS($AF$14:AF19)+1,$Y$14:$Y$197,0))-AF19,"")</f>
        <v>52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46366</v>
      </c>
      <c r="AG20" s="34">
        <f>IFERROR(INDEX($V$14:$V$197,MATCH(ROWS($AF$14:AF20),$Y$14:$Y$197,0)),"")</f>
        <v>46.5</v>
      </c>
      <c r="AH20" s="34">
        <f>IFERROR(INDEX($X$14:$X$197,MATCH(ROWS($AF$14:AF20)+1,$Y$14:$Y$197,0))-AF20,"")</f>
        <v>18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46384</v>
      </c>
      <c r="AG21" s="34">
        <f>IFERROR(INDEX($V$14:$V$197,MATCH(ROWS($AF$14:AF21),$Y$14:$Y$197,0)),"")</f>
        <v>46</v>
      </c>
      <c r="AH21" s="34" t="str">
        <f>IFERROR(INDEX($X$14:$X$197,MATCH(ROWS($AF$14:AF21)+1,$Y$14:$Y$197,0))-AF21,"")</f>
        <v/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 t="str">
        <f>IFERROR(INDEX($X$14:$X$197,MATCH(ROWS($AF$14:AF22),$Y$14:$Y$197,0)),"")</f>
        <v/>
      </c>
      <c r="AG22" s="34" t="str">
        <f>IFERROR(INDEX($V$14:$V$197,MATCH(ROWS($AF$14:AF22),$Y$14:$Y$197,0)),"")</f>
        <v/>
      </c>
      <c r="AH22" s="34" t="str">
        <f>IFERROR(INDEX($X$14:$X$197,MATCH(ROWS($AF$14:AF22)+1,$Y$14:$Y$197,0))-AF22,"")</f>
        <v/>
      </c>
      <c r="AI22" s="35" t="str">
        <f t="shared" si="2"/>
        <v/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 t="str">
        <f>IFERROR(INDEX($X$14:$X$197,MATCH(ROWS($AF$14:AF23),$Y$14:$Y$197,0)),"")</f>
        <v/>
      </c>
      <c r="AG23" s="34" t="str">
        <f>IFERROR(INDEX($V$14:$V$197,MATCH(ROWS($AF$14:AF23),$Y$14:$Y$197,0)),"")</f>
        <v/>
      </c>
      <c r="AH23" s="34" t="str">
        <f>IFERROR(INDEX($X$14:$X$197,MATCH(ROWS($AF$14:AF23)+1,$Y$14:$Y$197,0))-AF23,"")</f>
        <v/>
      </c>
      <c r="AI23" s="35" t="str">
        <f t="shared" si="2"/>
        <v/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 t="str">
        <f>IFERROR(INDEX($X$14:$X$197,MATCH(ROWS($AF$14:AF24),$Y$14:$Y$197,0)),"")</f>
        <v/>
      </c>
      <c r="AG24" s="34" t="str">
        <f>IFERROR(INDEX($V$14:$V$197,MATCH(ROWS($AF$14:AF24),$Y$14:$Y$197,0)),"")</f>
        <v/>
      </c>
      <c r="AH24" s="34" t="str">
        <f>IFERROR(INDEX($X$14:$X$197,MATCH(ROWS($AF$14:AF24)+1,$Y$14:$Y$197,0))-AF24,"")</f>
        <v/>
      </c>
      <c r="AI24" s="35" t="str">
        <f t="shared" si="2"/>
        <v/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226.54</v>
      </c>
      <c r="D40" s="25">
        <f>+VLOOKUP(B40,[1]Balance_Gatún!$A$13:$E$5087,2)</f>
        <v>84.864000000000004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7.8739775994003383</v>
      </c>
      <c r="P40" s="24">
        <f>+VLOOKUP(B40,[1]Balance_Madden!$A$12:$V$5087,12)/35.32</f>
        <v>0.85904814395330498</v>
      </c>
      <c r="Q40" s="25">
        <f>+VLOOKUP(B40,[1]Balance_Gatún!$A$13:$AD$5087,15)/35.32</f>
        <v>9.443217661926246</v>
      </c>
      <c r="R40" s="24">
        <f>+VLOOKUP(B40,[1]Balance_Madden!$A$12:$V$5087,14)/35.32</f>
        <v>21.493249729457268</v>
      </c>
      <c r="S40" s="26">
        <f>[1]Balance_Gatún!X39/35.32</f>
        <v>112.19677499134069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226.69</v>
      </c>
      <c r="D41" s="25">
        <f>+VLOOKUP(B41,[1]Balance_Gatún!$A$13:$E$5087,2)</f>
        <v>84.811999999999998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7.2441817549052248</v>
      </c>
      <c r="P41" s="24">
        <f>+VLOOKUP(B41,[1]Balance_Madden!$A$12:$V$5087,12)/35.32</f>
        <v>0.66171920953478203</v>
      </c>
      <c r="Q41" s="25">
        <f>+VLOOKUP(B41,[1]Balance_Gatún!$A$13:$AD$5087,15)/35.32</f>
        <v>7.2535264121404737</v>
      </c>
      <c r="R41" s="24">
        <f>+VLOOKUP(B41,[1]Balance_Madden!$A$12:$V$5087,14)/35.32</f>
        <v>21.295920795038743</v>
      </c>
      <c r="S41" s="26">
        <f>[1]Balance_Gatún!X40/35.32</f>
        <v>102.71949705850982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226.75</v>
      </c>
      <c r="D42" s="25">
        <f>+VLOOKUP(B42,[1]Balance_Gatún!$A$13:$E$5087,2)</f>
        <v>84.747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7.8466332502699387</v>
      </c>
      <c r="P42" s="24">
        <f>+VLOOKUP(B42,[1]Balance_Madden!$A$12:$V$5087,12)/35.32</f>
        <v>1.2007365798434204</v>
      </c>
      <c r="Q42" s="25">
        <f>+VLOOKUP(B42,[1]Balance_Gatún!$A$13:$AD$5087,15)/35.32</f>
        <v>13.139799888590744</v>
      </c>
      <c r="R42" s="24">
        <f>+VLOOKUP(B42,[1]Balance_Madden!$A$12:$V$5087,14)/35.32</f>
        <v>21.834938165347381</v>
      </c>
      <c r="S42" s="26">
        <f>[1]Balance_Gatún!X41/35.32</f>
        <v>115.57694624717863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226.78</v>
      </c>
      <c r="D43" s="25">
        <f>+VLOOKUP(B43,[1]Balance_Gatún!$A$13:$E$5087,2)</f>
        <v>84.715999999999994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7.2237004079063798</v>
      </c>
      <c r="P43" s="24">
        <f>+VLOOKUP(B43,[1]Balance_Madden!$A$12:$V$5087,12)/35.32</f>
        <v>1.0918644625348153</v>
      </c>
      <c r="Q43" s="25">
        <f>+VLOOKUP(B43,[1]Balance_Gatún!$A$13:$AD$5087,15)/35.32</f>
        <v>11.938527402854453</v>
      </c>
      <c r="R43" s="24">
        <f>+VLOOKUP(B43,[1]Balance_Madden!$A$12:$V$5087,14)/35.32</f>
        <v>21.726066048038778</v>
      </c>
      <c r="S43" s="26">
        <f>[1]Balance_Gatún!X42/35.32</f>
        <v>107.16750126217885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226.84</v>
      </c>
      <c r="D44" s="25">
        <f>+VLOOKUP(B44,[1]Balance_Gatún!$A$13:$E$5087,2)</f>
        <v>84.653000000000006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0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7.8246642860113296</v>
      </c>
      <c r="P44" s="24">
        <f>+VLOOKUP(B44,[1]Balance_Madden!$A$12:$V$5087,12)/35.32</f>
        <v>1.6318763953452498</v>
      </c>
      <c r="Q44" s="25">
        <f>+VLOOKUP(B44,[1]Balance_Gatún!$A$13:$AD$5087,15)/35.32</f>
        <v>17.813355751869182</v>
      </c>
      <c r="R44" s="24">
        <f>+VLOOKUP(B44,[1]Balance_Madden!$A$12:$V$5087,14)/35.32</f>
        <v>13.885557029546835</v>
      </c>
      <c r="S44" s="26">
        <f>[1]Balance_Gatún!X43/35.32</f>
        <v>119.99629158688704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226.98</v>
      </c>
      <c r="D45" s="25">
        <f>+VLOOKUP(B45,[1]Balance_Gatún!$A$13:$E$5087,2)</f>
        <v>84.594999999999999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0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6.1500946505673664</v>
      </c>
      <c r="P45" s="24">
        <f>+VLOOKUP(B45,[1]Balance_Madden!$A$12:$V$5087,12)/35.32</f>
        <v>1.5376901139338528</v>
      </c>
      <c r="Q45" s="25">
        <f>+VLOOKUP(B45,[1]Balance_Gatún!$A$13:$AD$5087,15)/35.32</f>
        <v>16.739063207631908</v>
      </c>
      <c r="R45" s="24">
        <f>+VLOOKUP(B45,[1]Balance_Madden!$A$12:$V$5087,14)/35.32</f>
        <v>13.791370748135439</v>
      </c>
      <c r="S45" s="26">
        <f>[1]Balance_Gatún!X44/35.32</f>
        <v>99.544971579287704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</v>
      </c>
      <c r="D46" s="25">
        <f>+VLOOKUP(B46,[1]Balance_Gatún!$A$13:$E$5087,2)</f>
        <v>84.548000000000002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0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6.1413970162542677</v>
      </c>
      <c r="P46" s="24">
        <f>+VLOOKUP(B46,[1]Balance_Madden!$A$12:$V$5087,12)/35.32</f>
        <v>1.5475585494937192</v>
      </c>
      <c r="Q46" s="25">
        <f>+VLOOKUP(B46,[1]Balance_Gatún!$A$13:$AD$5087,15)/35.32</f>
        <v>16.807370815481899</v>
      </c>
      <c r="R46" s="24">
        <f>+VLOOKUP(B46,[1]Balance_Madden!$A$12:$V$5087,14)/35.32</f>
        <v>13.801239183695305</v>
      </c>
      <c r="S46" s="26">
        <f>[1]Balance_Gatún!X45/35.32</f>
        <v>99.512635836521511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227.18</v>
      </c>
      <c r="D47" s="25">
        <f>+VLOOKUP(B47,[1]Balance_Gatún!$A$13:$E$5087,2)</f>
        <v>84.53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0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6.1380660073684004</v>
      </c>
      <c r="P47" s="24">
        <f>+VLOOKUP(B47,[1]Balance_Madden!$A$12:$V$5087,12)/35.32</f>
        <v>1.4324088194866285</v>
      </c>
      <c r="Q47" s="25">
        <f>+VLOOKUP(B47,[1]Balance_Gatún!$A$13:$AD$5087,15)/35.32</f>
        <v>15.535338606379442</v>
      </c>
      <c r="R47" s="24">
        <f>+VLOOKUP(B47,[1]Balance_Madden!$A$12:$V$5087,14)/35.32</f>
        <v>13.686089453688215</v>
      </c>
      <c r="S47" s="26">
        <f>[1]Balance_Gatún!X46/35.32</f>
        <v>98.202059365480949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227.41300000000001</v>
      </c>
      <c r="D48" s="25">
        <f>+VLOOKUP(B48,[1]Balance_Gatún!$A$13:$E$5087,2)</f>
        <v>84.485684166563928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0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6.1298650943150577</v>
      </c>
      <c r="P48" s="24">
        <f>+VLOOKUP(B48,[1]Balance_Madden!$A$12:$V$5087,12)/35.32</f>
        <v>1.3530643630825394</v>
      </c>
      <c r="Q48" s="25">
        <f>+VLOOKUP(B48,[1]Balance_Gatún!$A$13:$AD$5087,15)/35.32</f>
        <v>14.617543581158507</v>
      </c>
      <c r="R48" s="24">
        <f>+VLOOKUP(B48,[1]Balance_Madden!$A$12:$V$5087,14)/35.32</f>
        <v>13.606744997284125</v>
      </c>
      <c r="S48" s="26">
        <f>[1]Balance_Gatún!X47/35.32</f>
        <v>97.18936872403971</v>
      </c>
      <c r="T48" s="25">
        <v>10.359490280310565</v>
      </c>
      <c r="U48" s="25">
        <v>39.335079689431517</v>
      </c>
      <c r="V48" s="29">
        <f>LOOKUP(D48,[1]Parámetros!$A$7:$A$24,[1]Parámetros!$B$7:$B$24)</f>
        <v>49</v>
      </c>
      <c r="W48" s="30" t="str">
        <f t="shared" si="1"/>
        <v>Cambio Calado</v>
      </c>
      <c r="X48" s="31">
        <f t="shared" si="3"/>
        <v>46238</v>
      </c>
      <c r="Y48" s="30">
        <f>IF($W48="Cambio Calado",COUNTIF($W$14:W48,"Cambio Calado"),"")</f>
        <v>2</v>
      </c>
      <c r="Z48" s="31">
        <f t="shared" si="4"/>
        <v>46238</v>
      </c>
      <c r="AA48" s="30">
        <f t="shared" si="5"/>
        <v>49</v>
      </c>
      <c r="AB48" s="29">
        <f>IFERROR(LOOKUP($A48,$Z$14:$Z48,$AA$14:$AA48),$U48)</f>
        <v>49</v>
      </c>
      <c r="AC48" s="32">
        <f>IFERROR($A49-LOOKUP($A49,$Z$14:$Z48),"")</f>
        <v>1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227.61199999999999</v>
      </c>
      <c r="D49" s="25">
        <f>+VLOOKUP(B49,[1]Balance_Gatún!$A$13:$E$5087,2)</f>
        <v>84.441566578836941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0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6.1217008678294125</v>
      </c>
      <c r="P49" s="24">
        <f>+VLOOKUP(B49,[1]Balance_Madden!$A$12:$V$5087,12)/35.32</f>
        <v>1.9111924407163863</v>
      </c>
      <c r="Q49" s="25">
        <f>+VLOOKUP(B49,[1]Balance_Gatún!$A$13:$AD$5087,15)/35.32</f>
        <v>20.576792578023881</v>
      </c>
      <c r="R49" s="24">
        <f>+VLOOKUP(B49,[1]Balance_Madden!$A$12:$V$5087,14)/35.32</f>
        <v>14.164873074917972</v>
      </c>
      <c r="S49" s="26">
        <f>[1]Balance_Gatún!X48/35.32</f>
        <v>103.05414661771474</v>
      </c>
      <c r="T49" s="25">
        <v>2.3679030475897203</v>
      </c>
      <c r="U49" s="25">
        <v>37.379598388711905</v>
      </c>
      <c r="V49" s="29">
        <f>LOOKUP(D49,[1]Parámetros!$A$7:$A$24,[1]Parámetros!$B$7:$B$24)</f>
        <v>49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</v>
      </c>
      <c r="AC49" s="32">
        <f>IFERROR($A50-LOOKUP($A50,$Z$14:$Z49),"")</f>
        <v>2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227.79</v>
      </c>
      <c r="D50" s="25">
        <f>+VLOOKUP(B50,[1]Balance_Gatún!$A$13:$E$5087,2)</f>
        <v>84.391047356830981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0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6.112351980195581</v>
      </c>
      <c r="P50" s="24">
        <f>+VLOOKUP(B50,[1]Balance_Madden!$A$12:$V$5087,12)/35.32</f>
        <v>1.7438780276538974</v>
      </c>
      <c r="Q50" s="25">
        <f>+VLOOKUP(B50,[1]Balance_Gatún!$A$13:$AD$5087,15)/35.32</f>
        <v>18.715586719941658</v>
      </c>
      <c r="R50" s="24">
        <f>+VLOOKUP(B50,[1]Balance_Madden!$A$12:$V$5087,14)/35.32</f>
        <v>13.997558661855484</v>
      </c>
      <c r="S50" s="26">
        <f>[1]Balance_Gatún!X49/35.32</f>
        <v>101.08476153041543</v>
      </c>
      <c r="T50" s="25">
        <v>40.428391232336431</v>
      </c>
      <c r="U50" s="25">
        <v>25.718645250401529</v>
      </c>
      <c r="V50" s="29">
        <f>LOOKUP(D50,[1]Parámetros!$A$7:$A$24,[1]Parámetros!$B$7:$B$24)</f>
        <v>49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</v>
      </c>
      <c r="AC50" s="32">
        <f>IFERROR($A51-LOOKUP($A51,$Z$14:$Z50),"")</f>
        <v>3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227.953</v>
      </c>
      <c r="D51" s="25">
        <f>+VLOOKUP(B51,[1]Balance_Gatún!$A$13:$E$5087,2)</f>
        <v>84.34146920890521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0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6.1031772440130485</v>
      </c>
      <c r="P51" s="24">
        <f>+VLOOKUP(B51,[1]Balance_Madden!$A$12:$V$5087,12)/35.32</f>
        <v>1.4318527464774717</v>
      </c>
      <c r="Q51" s="25">
        <f>+VLOOKUP(B51,[1]Balance_Gatún!$A$13:$AD$5087,15)/35.32</f>
        <v>15.321434580360794</v>
      </c>
      <c r="R51" s="24">
        <f>+VLOOKUP(B51,[1]Balance_Madden!$A$12:$V$5087,14)/35.32</f>
        <v>13.685533380679058</v>
      </c>
      <c r="S51" s="26">
        <f>[1]Balance_Gatún!X50/35.32</f>
        <v>97.584445328609192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/>
      </c>
      <c r="X51" s="31" t="str">
        <f t="shared" si="3"/>
        <v/>
      </c>
      <c r="Y51" s="30" t="str">
        <f>IF($W51="Cambio Calado",COUNTIF($W$14:W51,"Cambio Calado"),"")</f>
        <v/>
      </c>
      <c r="Z51" s="31" t="str">
        <f t="shared" si="4"/>
        <v/>
      </c>
      <c r="AA51" s="30" t="str">
        <f t="shared" si="5"/>
        <v/>
      </c>
      <c r="AB51" s="29">
        <f>IFERROR(LOOKUP($A51,$Z$14:$Z51,$AA$14:$AA51),$U51)</f>
        <v>49</v>
      </c>
      <c r="AC51" s="32">
        <f>IFERROR($A52-LOOKUP($A52,$Z$14:$Z51),"")</f>
        <v>4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228.10499999999999</v>
      </c>
      <c r="D52" s="25">
        <f>+VLOOKUP(B52,[1]Balance_Gatún!$A$13:$E$5087,2)</f>
        <v>84.292900173822034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0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6.0941892502663775</v>
      </c>
      <c r="P52" s="24">
        <f>+VLOOKUP(B52,[1]Balance_Madden!$A$12:$V$5087,12)/35.32</f>
        <v>1.939024857653872</v>
      </c>
      <c r="Q52" s="25">
        <f>+VLOOKUP(B52,[1]Balance_Gatún!$A$13:$AD$5087,15)/35.32</f>
        <v>20.690599663674401</v>
      </c>
      <c r="R52" s="24">
        <f>+VLOOKUP(B52,[1]Balance_Madden!$A$12:$V$5087,14)/35.32</f>
        <v>14.192705491855458</v>
      </c>
      <c r="S52" s="26">
        <f>[1]Balance_Gatún!X51/35.32</f>
        <v>102.84960721134905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5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228.29599999999999</v>
      </c>
      <c r="D53" s="25">
        <f>+VLOOKUP(B53,[1]Balance_Gatún!$A$13:$E$5087,2)</f>
        <v>84.244250228800638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0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6.0851862836462001</v>
      </c>
      <c r="P53" s="24">
        <f>+VLOOKUP(B53,[1]Balance_Madden!$A$12:$V$5087,12)/35.32</f>
        <v>1.5868420526960154</v>
      </c>
      <c r="Q53" s="25">
        <f>+VLOOKUP(B53,[1]Balance_Gatún!$A$13:$AD$5087,15)/35.32</f>
        <v>16.876074203275969</v>
      </c>
      <c r="R53" s="24">
        <f>+VLOOKUP(B53,[1]Balance_Madden!$A$12:$V$5087,14)/35.32</f>
        <v>13.840522686897602</v>
      </c>
      <c r="S53" s="26">
        <f>[1]Balance_Gatún!X52/35.32</f>
        <v>98.930905294051797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6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228.72900000000001</v>
      </c>
      <c r="D54" s="25">
        <f>+VLOOKUP(B54,[1]Balance_Gatún!$A$13:$E$5087,2)</f>
        <v>84.202028224757129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0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6.0773728463879753</v>
      </c>
      <c r="P54" s="24">
        <f>+VLOOKUP(B54,[1]Balance_Madden!$A$12:$V$5087,12)/35.32</f>
        <v>1.4114297112773042</v>
      </c>
      <c r="Q54" s="25">
        <f>+VLOOKUP(B54,[1]Balance_Gatún!$A$13:$AD$5087,15)/35.32</f>
        <v>14.910425484377884</v>
      </c>
      <c r="R54" s="24">
        <f>+VLOOKUP(B54,[1]Balance_Madden!$A$12:$V$5087,14)/35.32</f>
        <v>13.66511034547889</v>
      </c>
      <c r="S54" s="26">
        <f>[1]Balance_Gatún!X53/35.32</f>
        <v>96.87484457607566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7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229.57599999999999</v>
      </c>
      <c r="D55" s="25">
        <f>+VLOOKUP(B55,[1]Balance_Gatún!$A$13:$E$5087,2)</f>
        <v>84.184075715598212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0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6.0740506259695319</v>
      </c>
      <c r="P55" s="24">
        <f>+VLOOKUP(B55,[1]Balance_Madden!$A$12:$V$5087,12)/35.32</f>
        <v>1.4982366562623626</v>
      </c>
      <c r="Q55" s="25">
        <f>+VLOOKUP(B55,[1]Balance_Gatún!$A$13:$AD$5087,15)/35.32</f>
        <v>15.635478292271872</v>
      </c>
      <c r="R55" s="24">
        <f>+VLOOKUP(B55,[1]Balance_Madden!$A$12:$V$5087,14)/35.32</f>
        <v>13.751917290463949</v>
      </c>
      <c r="S55" s="26">
        <f>[1]Balance_Gatún!X54/35.32</f>
        <v>97.561454816443671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8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229.952</v>
      </c>
      <c r="D56" s="25">
        <f>+VLOOKUP(B56,[1]Balance_Gatún!$A$13:$E$5087,2)</f>
        <v>84.158869970233141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0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6.0693861503147568</v>
      </c>
      <c r="P56" s="24">
        <f>+VLOOKUP(B56,[1]Balance_Madden!$A$12:$V$5087,12)/35.32</f>
        <v>1.8056383753379808</v>
      </c>
      <c r="Q56" s="25">
        <f>+VLOOKUP(B56,[1]Balance_Gatún!$A$13:$AD$5087,15)/35.32</f>
        <v>18.73804580427813</v>
      </c>
      <c r="R56" s="24">
        <f>+VLOOKUP(B56,[1]Balance_Madden!$A$12:$V$5087,14)/35.32</f>
        <v>14.059319009539568</v>
      </c>
      <c r="S56" s="26">
        <f>[1]Balance_Gatún!X55/35.32</f>
        <v>100.61004805891123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9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230.21</v>
      </c>
      <c r="D57" s="25">
        <f>+VLOOKUP(B57,[1]Balance_Gatún!$A$13:$E$5087,2)</f>
        <v>84.164881699472801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0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6.0704986571767972</v>
      </c>
      <c r="P57" s="24">
        <f>+VLOOKUP(B57,[1]Balance_Madden!$A$12:$V$5087,12)/35.32</f>
        <v>2.4167009274445559</v>
      </c>
      <c r="Q57" s="25">
        <f>+VLOOKUP(B57,[1]Balance_Gatún!$A$13:$AD$5087,15)/35.32</f>
        <v>24.990658279096888</v>
      </c>
      <c r="R57" s="24">
        <f>+VLOOKUP(B57,[1]Balance_Madden!$A$12:$V$5087,14)/35.32</f>
        <v>14.67038156164614</v>
      </c>
      <c r="S57" s="26">
        <f>[1]Balance_Gatún!X56/35.32</f>
        <v>106.87553373742523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10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230.53800000000001</v>
      </c>
      <c r="D58" s="25">
        <f>+VLOOKUP(B58,[1]Balance_Gatún!$A$13:$E$5087,2)</f>
        <v>84.113955667995242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0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6.0610744869893711</v>
      </c>
      <c r="P58" s="24">
        <f>+VLOOKUP(B58,[1]Balance_Madden!$A$12:$V$5087,12)/35.32</f>
        <v>2.3144802994625175</v>
      </c>
      <c r="Q58" s="25">
        <f>+VLOOKUP(B58,[1]Balance_Gatún!$A$13:$AD$5087,15)/35.32</f>
        <v>23.808441624577288</v>
      </c>
      <c r="R58" s="24">
        <f>+VLOOKUP(B58,[1]Balance_Madden!$A$12:$V$5087,14)/35.32</f>
        <v>14.568160933664103</v>
      </c>
      <c r="S58" s="26">
        <f>[1]Balance_Gatún!X57/35.32</f>
        <v>105.58426673308681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11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230.75</v>
      </c>
      <c r="D59" s="47">
        <f>+VLOOKUP(B59,[1]Balance_Gatún!$A$13:$E$5087,2)</f>
        <v>84.057626320314654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0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6.050650400452751</v>
      </c>
      <c r="P59" s="46">
        <f>+VLOOKUP(B59,[1]Balance_Madden!$A$12:$V$5087,12)/35.32</f>
        <v>2.0390168297592277</v>
      </c>
      <c r="Q59" s="47">
        <f>+VLOOKUP(B59,[1]Balance_Gatún!$A$13:$AD$5087,15)/35.32</f>
        <v>20.897710183424561</v>
      </c>
      <c r="R59" s="46">
        <f>+VLOOKUP(B59,[1]Balance_Madden!$A$12:$V$5087,14)/35.32</f>
        <v>14.292697463960813</v>
      </c>
      <c r="S59" s="48">
        <f>[1]Balance_Gatún!X58/35.32</f>
        <v>102.55291456238945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12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230.982</v>
      </c>
      <c r="D60" s="25">
        <f>+VLOOKUP(B60,[1]Balance_Gatún!$A$13:$E$5087,2)</f>
        <v>84.018816303385407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0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6.0434683720498636</v>
      </c>
      <c r="P60" s="24">
        <f>+VLOOKUP(B60,[1]Balance_Madden!$A$12:$V$5087,12)/35.32</f>
        <v>2.2087717091865611</v>
      </c>
      <c r="Q60" s="25">
        <f>+VLOOKUP(B60,[1]Balance_Gatún!$A$13:$AD$5087,15)/35.32</f>
        <v>22.553175248443146</v>
      </c>
      <c r="R60" s="24">
        <f>+VLOOKUP(B60,[1]Balance_Madden!$A$12:$V$5087,14)/35.32</f>
        <v>14.462452343388147</v>
      </c>
      <c r="S60" s="26">
        <f>[1]Balance_Gatún!X59/35.32</f>
        <v>104.12527387972229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13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231.16499999999999</v>
      </c>
      <c r="D61" s="25">
        <f>+VLOOKUP(B61,[1]Balance_Gatún!$A$13:$E$5087,2)</f>
        <v>83.966219931336838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0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6.0337350952355209</v>
      </c>
      <c r="P61" s="24">
        <f>+VLOOKUP(B61,[1]Balance_Madden!$A$12:$V$5087,12)/35.32</f>
        <v>1.7105362629129379</v>
      </c>
      <c r="Q61" s="25">
        <f>+VLOOKUP(B61,[1]Balance_Gatún!$A$13:$AD$5087,15)/35.32</f>
        <v>17.409636763930934</v>
      </c>
      <c r="R61" s="24">
        <f>+VLOOKUP(B61,[1]Balance_Madden!$A$12:$V$5087,14)/35.32</f>
        <v>13.964216897114524</v>
      </c>
      <c r="S61" s="26">
        <f>[1]Balance_Gatún!X60/35.32</f>
        <v>98.869108265141506</v>
      </c>
      <c r="T61" s="25">
        <v>28.440556233597405</v>
      </c>
      <c r="U61" s="25">
        <v>32.07815716283465</v>
      </c>
      <c r="V61" s="29">
        <f>LOOKUP(D61,[1]Parámetros!$A$7:$A$24,[1]Parámetros!$B$7:$B$24)</f>
        <v>48.5</v>
      </c>
      <c r="W61" s="30" t="str">
        <f t="shared" si="1"/>
        <v>Cambio Calado</v>
      </c>
      <c r="X61" s="31">
        <f t="shared" si="3"/>
        <v>46251</v>
      </c>
      <c r="Y61" s="30">
        <f>IF($W61="Cambio Calado",COUNTIF($W$14:W61,"Cambio Calado"),"")</f>
        <v>3</v>
      </c>
      <c r="Z61" s="31">
        <f t="shared" si="4"/>
        <v>46251</v>
      </c>
      <c r="AA61" s="30">
        <f t="shared" si="5"/>
        <v>48.5</v>
      </c>
      <c r="AB61" s="29">
        <f>IFERROR(LOOKUP($A61,$Z$14:$Z61,$AA$14:$AA61),$U61)</f>
        <v>48.5</v>
      </c>
      <c r="AC61" s="32">
        <f>IFERROR($A62-LOOKUP($A62,$Z$14:$Z61),"")</f>
        <v>1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231.459</v>
      </c>
      <c r="D62" s="25">
        <f>+VLOOKUP(B62,[1]Balance_Gatún!$A$13:$E$5087,2)</f>
        <v>83.963589150946277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0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6.0332482534100915</v>
      </c>
      <c r="P62" s="24">
        <f>+VLOOKUP(B62,[1]Balance_Madden!$A$12:$V$5087,12)/35.32</f>
        <v>0.97395986923316602</v>
      </c>
      <c r="Q62" s="25">
        <f>+VLOOKUP(B62,[1]Balance_Gatún!$A$13:$AD$5087,15)/35.32</f>
        <v>9.8721066934119346</v>
      </c>
      <c r="R62" s="24">
        <f>+VLOOKUP(B62,[1]Balance_Madden!$A$12:$V$5087,14)/35.32</f>
        <v>13.227640503434751</v>
      </c>
      <c r="S62" s="26">
        <f>[1]Balance_Gatún!X61/35.32</f>
        <v>91.325944778596082</v>
      </c>
      <c r="T62" s="25">
        <v>15.347160410749455</v>
      </c>
      <c r="U62" s="25">
        <v>28.119303976807981</v>
      </c>
      <c r="V62" s="29">
        <f>LOOKUP(D62,[1]Parámetros!$A$7:$A$24,[1]Parámetros!$B$7:$B$24)</f>
        <v>48.5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48.5</v>
      </c>
      <c r="AC62" s="32">
        <f>IFERROR($A63-LOOKUP($A63,$Z$14:$Z62),"")</f>
        <v>2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232.21</v>
      </c>
      <c r="D63" s="25">
        <f>+VLOOKUP(B63,[1]Balance_Gatún!$A$13:$E$5087,2)</f>
        <v>83.967598137796656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0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6.0339901406779779</v>
      </c>
      <c r="P63" s="24">
        <f>+VLOOKUP(B63,[1]Balance_Madden!$A$12:$V$5087,12)/35.32</f>
        <v>1.9452620117864041</v>
      </c>
      <c r="Q63" s="25">
        <f>+VLOOKUP(B63,[1]Balance_Gatún!$A$13:$AD$5087,15)/35.32</f>
        <v>19.514457156979081</v>
      </c>
      <c r="R63" s="24">
        <f>+VLOOKUP(B63,[1]Balance_Madden!$A$12:$V$5087,14)/35.32</f>
        <v>14.198942645987989</v>
      </c>
      <c r="S63" s="26">
        <f>[1]Balance_Gatún!X62/35.32</f>
        <v>100.9768798776781</v>
      </c>
      <c r="T63" s="25">
        <v>34.549242665960321</v>
      </c>
      <c r="U63" s="25">
        <v>21.891225596659709</v>
      </c>
      <c r="V63" s="29">
        <f>LOOKUP(D63,[1]Parámetros!$A$7:$A$24,[1]Parámetros!$B$7:$B$24)</f>
        <v>48.5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48.5</v>
      </c>
      <c r="AC63" s="32">
        <f>IFERROR($A64-LOOKUP($A64,$Z$14:$Z63),"")</f>
        <v>3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232.45099999999999</v>
      </c>
      <c r="D64" s="25">
        <f>+VLOOKUP(B64,[1]Balance_Gatún!$A$13:$E$5087,2)</f>
        <v>83.923950614494601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0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6.0259129024576863</v>
      </c>
      <c r="P64" s="24">
        <f>+VLOOKUP(B64,[1]Balance_Madden!$A$12:$V$5087,12)/35.32</f>
        <v>2.6940996295995667</v>
      </c>
      <c r="Q64" s="25">
        <f>+VLOOKUP(B64,[1]Balance_Gatún!$A$13:$AD$5087,15)/35.32</f>
        <v>26.921925357418719</v>
      </c>
      <c r="R64" s="24">
        <f>+VLOOKUP(B64,[1]Balance_Madden!$A$12:$V$5087,14)/35.32</f>
        <v>14.947780263801151</v>
      </c>
      <c r="S64" s="26">
        <f>[1]Balance_Gatún!X63/35.32</f>
        <v>108.29088354638974</v>
      </c>
      <c r="T64" s="25">
        <v>27.938002018965356</v>
      </c>
      <c r="U64" s="25">
        <v>25.308225591594827</v>
      </c>
      <c r="V64" s="29">
        <f>LOOKUP(D64,[1]Parámetros!$A$7:$A$24,[1]Parámetros!$B$7:$B$24)</f>
        <v>48.5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48.5</v>
      </c>
      <c r="AC64" s="32">
        <f>IFERROR($A65-LOOKUP($A65,$Z$14:$Z64),"")</f>
        <v>4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232.624</v>
      </c>
      <c r="D65" s="25">
        <f>+VLOOKUP(B65,[1]Balance_Gatún!$A$13:$E$5087,2)</f>
        <v>83.86780103798354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2.7027027027027026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6.0155220836634609</v>
      </c>
      <c r="P65" s="24">
        <f>+VLOOKUP(B65,[1]Balance_Madden!$A$12:$V$5087,12)/35.32</f>
        <v>2.353279381996817</v>
      </c>
      <c r="Q65" s="25">
        <f>+VLOOKUP(B65,[1]Balance_Gatún!$A$13:$AD$5087,15)/35.32</f>
        <v>23.443304508440313</v>
      </c>
      <c r="R65" s="24">
        <f>+VLOOKUP(B65,[1]Balance_Madden!$A$12:$V$5087,14)/35.32</f>
        <v>23.100731250626488</v>
      </c>
      <c r="S65" s="26">
        <f>[1]Balance_Gatún!X64/35.32</f>
        <v>104.69202692048042</v>
      </c>
      <c r="T65" s="25">
        <v>43.116805062479528</v>
      </c>
      <c r="U65" s="25">
        <v>19.103404318615215</v>
      </c>
      <c r="V65" s="29">
        <f>LOOKUP(D65,[1]Parámetros!$A$7:$A$24,[1]Parámetros!$B$7:$B$24)</f>
        <v>48.5</v>
      </c>
      <c r="W65" s="30" t="str">
        <f t="shared" si="1"/>
        <v/>
      </c>
      <c r="X65" s="31" t="str">
        <f t="shared" si="3"/>
        <v/>
      </c>
      <c r="Y65" s="30" t="str">
        <f>IF($W65="Cambio Calado",COUNTIF($W$14:W65,"Cambio Calado"),"")</f>
        <v/>
      </c>
      <c r="Z65" s="31" t="str">
        <f t="shared" si="4"/>
        <v/>
      </c>
      <c r="AA65" s="30" t="str">
        <f t="shared" si="5"/>
        <v/>
      </c>
      <c r="AB65" s="29">
        <f>IFERROR(LOOKUP($A65,$Z$14:$Z65,$AA$14:$AA65),$U65)</f>
        <v>48.5</v>
      </c>
      <c r="AC65" s="32">
        <f>IFERROR($A66-LOOKUP($A66,$Z$14:$Z65),"")</f>
        <v>5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232.70699999999999</v>
      </c>
      <c r="D66" s="25">
        <f>+VLOOKUP(B66,[1]Balance_Gatún!$A$13:$E$5087,2)</f>
        <v>83.820392866706996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2.7027027027027026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6.0067489147865238</v>
      </c>
      <c r="P66" s="24">
        <f>+VLOOKUP(B66,[1]Balance_Madden!$A$12:$V$5087,12)/35.32</f>
        <v>2.421570984022265</v>
      </c>
      <c r="Q66" s="25">
        <f>+VLOOKUP(B66,[1]Balance_Gatún!$A$13:$AD$5087,15)/35.32</f>
        <v>24.08143353656342</v>
      </c>
      <c r="R66" s="24">
        <f>+VLOOKUP(B66,[1]Balance_Madden!$A$12:$V$5087,14)/35.32</f>
        <v>23.169022852651935</v>
      </c>
      <c r="S66" s="26">
        <f>[1]Balance_Gatún!X65/35.32</f>
        <v>105.22863856128744</v>
      </c>
      <c r="T66" s="25">
        <v>32.629790076573506</v>
      </c>
      <c r="U66" s="25">
        <v>27.198264263303258</v>
      </c>
      <c r="V66" s="29">
        <f>LOOKUP(D66,[1]Parámetros!$A$7:$A$24,[1]Parámetros!$B$7:$B$24)</f>
        <v>48.5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48.5</v>
      </c>
      <c r="AC66" s="32">
        <f>IFERROR($A67-LOOKUP($A67,$Z$14:$Z66),"")</f>
        <v>6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232.90299999999999</v>
      </c>
      <c r="D67" s="25">
        <f>+VLOOKUP(B67,[1]Balance_Gatún!$A$13:$E$5087,2)</f>
        <v>83.776382532042078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2.7027027027027026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5.9986045361288118</v>
      </c>
      <c r="P67" s="24">
        <f>+VLOOKUP(B67,[1]Balance_Madden!$A$12:$V$5087,12)/35.32</f>
        <v>2.1641822206913384</v>
      </c>
      <c r="Q67" s="25">
        <f>+VLOOKUP(B67,[1]Balance_Gatún!$A$13:$AD$5087,15)/35.32</f>
        <v>21.451826597657636</v>
      </c>
      <c r="R67" s="24">
        <f>+VLOOKUP(B67,[1]Balance_Madden!$A$12:$V$5087,14)/35.32</f>
        <v>22.911634089321009</v>
      </c>
      <c r="S67" s="26">
        <f>[1]Balance_Gatún!X66/35.32</f>
        <v>102.50479018530896</v>
      </c>
      <c r="T67" s="25">
        <v>30.806257871366842</v>
      </c>
      <c r="U67" s="25">
        <v>22.56107787988439</v>
      </c>
      <c r="V67" s="29">
        <f>LOOKUP(D67,[1]Parámetros!$A$7:$A$24,[1]Parámetros!$B$7:$B$24)</f>
        <v>48.5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48.5</v>
      </c>
      <c r="AC67" s="32">
        <f>IFERROR($A68-LOOKUP($A68,$Z$14:$Z67),"")</f>
        <v>7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233.01400000000001</v>
      </c>
      <c r="D68" s="25">
        <f>+VLOOKUP(B68,[1]Balance_Gatún!$A$13:$E$5087,2)</f>
        <v>83.732864850654792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2.7027027027027026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5.9905513259402898</v>
      </c>
      <c r="P68" s="24">
        <f>+VLOOKUP(B68,[1]Balance_Madden!$A$12:$V$5087,12)/35.32</f>
        <v>1.9323514594287805</v>
      </c>
      <c r="Q68" s="25">
        <f>+VLOOKUP(B68,[1]Balance_Gatún!$A$13:$AD$5087,15)/35.32</f>
        <v>19.114026226311932</v>
      </c>
      <c r="R68" s="24">
        <f>+VLOOKUP(B68,[1]Balance_Madden!$A$12:$V$5087,14)/35.32</f>
        <v>22.679803328058451</v>
      </c>
      <c r="S68" s="26">
        <f>[1]Balance_Gatún!X67/35.32</f>
        <v>100.0738033189449</v>
      </c>
      <c r="T68" s="25">
        <v>43.836846218050006</v>
      </c>
      <c r="U68" s="25">
        <v>21.870665446627079</v>
      </c>
      <c r="V68" s="29">
        <f>LOOKUP(D68,[1]Parámetros!$A$7:$A$24,[1]Parámetros!$B$7:$B$24)</f>
        <v>48.5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48.5</v>
      </c>
      <c r="AC68" s="32">
        <f>IFERROR($A69-LOOKUP($A69,$Z$14:$Z68),"")</f>
        <v>8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233.09100000000001</v>
      </c>
      <c r="D69" s="25">
        <f>+VLOOKUP(B69,[1]Balance_Gatún!$A$13:$E$5087,2)</f>
        <v>83.686544448717171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2.7027027027027026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5.9819794553596699</v>
      </c>
      <c r="P69" s="24">
        <f>+VLOOKUP(B69,[1]Balance_Madden!$A$12:$V$5087,12)/35.32</f>
        <v>1.5249012433946916</v>
      </c>
      <c r="Q69" s="25">
        <f>+VLOOKUP(B69,[1]Balance_Gatún!$A$13:$AD$5087,15)/35.32</f>
        <v>15.058801442079574</v>
      </c>
      <c r="R69" s="24">
        <f>+VLOOKUP(B69,[1]Balance_Madden!$A$12:$V$5087,14)/35.32</f>
        <v>22.272353112024362</v>
      </c>
      <c r="S69" s="26">
        <f>[1]Balance_Gatún!X68/35.32</f>
        <v>95.919390439970201</v>
      </c>
      <c r="T69" s="25">
        <v>35.299781612116988</v>
      </c>
      <c r="U69" s="25">
        <v>29.358718025440297</v>
      </c>
      <c r="V69" s="29">
        <f>LOOKUP(D69,[1]Parámetros!$A$7:$A$24,[1]Parámetros!$B$7:$B$24)</f>
        <v>48.5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48.5</v>
      </c>
      <c r="AC69" s="32">
        <f>IFERROR($A70-LOOKUP($A70,$Z$14:$Z69),"")</f>
        <v>9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233.16900000000001</v>
      </c>
      <c r="D70" s="25">
        <f>+VLOOKUP(B70,[1]Balance_Gatún!$A$13:$E$5087,2)</f>
        <v>83.678776710063971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2.7027027027027026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5.980541988333175</v>
      </c>
      <c r="P70" s="24">
        <f>+VLOOKUP(B70,[1]Balance_Madden!$A$12:$V$5087,12)/35.32</f>
        <v>0.62602734412787153</v>
      </c>
      <c r="Q70" s="25">
        <f>+VLOOKUP(B70,[1]Balance_Gatún!$A$13:$AD$5087,15)/35.32</f>
        <v>6.1749661254256196</v>
      </c>
      <c r="R70" s="24">
        <f>+VLOOKUP(B70,[1]Balance_Madden!$A$12:$V$5087,14)/35.32</f>
        <v>21.373479212757541</v>
      </c>
      <c r="S70" s="26">
        <f>[1]Balance_Gatún!X69/35.32</f>
        <v>87.018921692576484</v>
      </c>
      <c r="T70" s="25">
        <v>136.38732333840935</v>
      </c>
      <c r="U70" s="25">
        <v>29.047012019575938</v>
      </c>
      <c r="V70" s="29">
        <f>LOOKUP(D70,[1]Parámetros!$A$7:$A$24,[1]Parámetros!$B$7:$B$24)</f>
        <v>48.5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48.5</v>
      </c>
      <c r="AC70" s="32">
        <f>IFERROR($A71-LOOKUP($A71,$Z$14:$Z70),"")</f>
        <v>10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233.78</v>
      </c>
      <c r="D71" s="25">
        <f>+VLOOKUP(B71,[1]Balance_Gatún!$A$13:$E$5087,2)</f>
        <v>83.65919858513746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2.7027027027027026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5.976918937883239</v>
      </c>
      <c r="P71" s="24">
        <f>+VLOOKUP(B71,[1]Balance_Madden!$A$12:$V$5087,12)/35.32</f>
        <v>0.52435072961271267</v>
      </c>
      <c r="Q71" s="25">
        <f>+VLOOKUP(B71,[1]Balance_Gatún!$A$13:$AD$5087,15)/35.32</f>
        <v>5.1277763861440482</v>
      </c>
      <c r="R71" s="24">
        <f>+VLOOKUP(B71,[1]Balance_Madden!$A$12:$V$5087,14)/35.32</f>
        <v>21.271802598242385</v>
      </c>
      <c r="S71" s="26">
        <f>[1]Balance_Gatún!X70/35.32</f>
        <v>85.929808376882434</v>
      </c>
      <c r="T71" s="25">
        <v>62.622801902766405</v>
      </c>
      <c r="U71" s="25">
        <v>30.440860926161371</v>
      </c>
      <c r="V71" s="29">
        <f>LOOKUP(D71,[1]Parámetros!$A$7:$A$24,[1]Parámetros!$B$7:$B$24)</f>
        <v>48.5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48.5</v>
      </c>
      <c r="AC71" s="32">
        <f>IFERROR($A72-LOOKUP($A72,$Z$14:$Z71),"")</f>
        <v>11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233.958</v>
      </c>
      <c r="D72" s="25">
        <f>+VLOOKUP(B72,[1]Balance_Gatún!$A$13:$E$5087,2)</f>
        <v>83.63657315081079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2.7027027027027026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5.9727319643949759</v>
      </c>
      <c r="P72" s="24">
        <f>+VLOOKUP(B72,[1]Balance_Madden!$A$12:$V$5087,12)/35.32</f>
        <v>1.4631771557276538</v>
      </c>
      <c r="Q72" s="25">
        <f>+VLOOKUP(B72,[1]Balance_Gatún!$A$13:$AD$5087,15)/35.32</f>
        <v>14.270026624850598</v>
      </c>
      <c r="R72" s="24">
        <f>+VLOOKUP(B72,[1]Balance_Madden!$A$12:$V$5087,14)/35.32</f>
        <v>22.210629024357324</v>
      </c>
      <c r="S72" s="26">
        <f>[1]Balance_Gatún!X71/35.32</f>
        <v>95.023609689636189</v>
      </c>
      <c r="T72" s="25">
        <v>96.045098294117167</v>
      </c>
      <c r="U72" s="25">
        <v>33.113790895568194</v>
      </c>
      <c r="V72" s="29">
        <f>LOOKUP(D72,[1]Parámetros!$A$7:$A$24,[1]Parámetros!$B$7:$B$24)</f>
        <v>48.5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48.5</v>
      </c>
      <c r="AC72" s="32">
        <f>IFERROR($A73-LOOKUP($A73,$Z$14:$Z72),"")</f>
        <v>12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234.07</v>
      </c>
      <c r="D73" s="25">
        <f>+VLOOKUP(B73,[1]Balance_Gatún!$A$13:$E$5087,2)</f>
        <v>83.603367689756155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2.7027027027027026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5.9665870929598475</v>
      </c>
      <c r="P73" s="24">
        <f>+VLOOKUP(B73,[1]Balance_Madden!$A$12:$V$5087,12)/35.32</f>
        <v>1.322476143670803</v>
      </c>
      <c r="Q73" s="25">
        <f>+VLOOKUP(B73,[1]Balance_Gatún!$A$13:$AD$5087,15)/35.32</f>
        <v>12.87265581317717</v>
      </c>
      <c r="R73" s="24">
        <f>+VLOOKUP(B73,[1]Balance_Madden!$A$12:$V$5087,14)/35.32</f>
        <v>22.069928012300473</v>
      </c>
      <c r="S73" s="26">
        <f>[1]Balance_Gatún!X72/35.32</f>
        <v>93.555134434147988</v>
      </c>
      <c r="T73" s="25">
        <v>52.305411226169149</v>
      </c>
      <c r="U73" s="25">
        <v>34.022432854390715</v>
      </c>
      <c r="V73" s="29">
        <f>LOOKUP(D73,[1]Parámetros!$A$7:$A$24,[1]Parámetros!$B$7:$B$24)</f>
        <v>48.5</v>
      </c>
      <c r="W73" s="30" t="str">
        <f t="shared" si="1"/>
        <v/>
      </c>
      <c r="X73" s="31" t="str">
        <f t="shared" si="3"/>
        <v/>
      </c>
      <c r="Y73" s="30" t="str">
        <f>IF($W73="Cambio Calado",COUNTIF($W$14:W73,"Cambio Calado"),"")</f>
        <v/>
      </c>
      <c r="Z73" s="31" t="str">
        <f t="shared" si="4"/>
        <v/>
      </c>
      <c r="AA73" s="30" t="str">
        <f t="shared" si="5"/>
        <v/>
      </c>
      <c r="AB73" s="29">
        <f>IFERROR(LOOKUP($A73,$Z$14:$Z73,$AA$14:$AA73),$U73)</f>
        <v>48.5</v>
      </c>
      <c r="AC73" s="32">
        <f>IFERROR($A74-LOOKUP($A74,$Z$14:$Z73),"")</f>
        <v>13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234.39500000000001</v>
      </c>
      <c r="D74" s="25">
        <f>+VLOOKUP(B74,[1]Balance_Gatún!$A$13:$E$5087,2)</f>
        <v>83.60055169581257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2.7027027027027026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5.9660659762460364</v>
      </c>
      <c r="P74" s="24">
        <f>+VLOOKUP(B74,[1]Balance_Madden!$A$12:$V$5087,12)/35.32</f>
        <v>1.212984109218687</v>
      </c>
      <c r="Q74" s="25">
        <f>+VLOOKUP(B74,[1]Balance_Gatún!$A$13:$AD$5087,15)/35.32</f>
        <v>11.754469661232122</v>
      </c>
      <c r="R74" s="24">
        <f>+VLOOKUP(B74,[1]Balance_Madden!$A$12:$V$5087,14)/35.32</f>
        <v>21.960435977848356</v>
      </c>
      <c r="S74" s="26">
        <f>[1]Balance_Gatún!X73/35.32</f>
        <v>92.430918259526422</v>
      </c>
      <c r="T74" s="25">
        <v>57.900335015474653</v>
      </c>
      <c r="U74" s="25">
        <v>23.61187492162292</v>
      </c>
      <c r="V74" s="29">
        <f>LOOKUP(D74,[1]Parámetros!$A$7:$A$24,[1]Parámetros!$B$7:$B$24)</f>
        <v>48.5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48.5</v>
      </c>
      <c r="AC74" s="32">
        <f>IFERROR($A75-LOOKUP($A75,$Z$14:$Z74),"")</f>
        <v>14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234.636</v>
      </c>
      <c r="D75" s="25">
        <f>+VLOOKUP(B75,[1]Balance_Gatún!$A$13:$E$5087,2)</f>
        <v>83.581518439090075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2.7027027027027026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5.9625437569532806</v>
      </c>
      <c r="P75" s="24">
        <f>+VLOOKUP(B75,[1]Balance_Madden!$A$12:$V$5087,12)/35.32</f>
        <v>1.2478944650106563</v>
      </c>
      <c r="Q75" s="25">
        <f>+VLOOKUP(B75,[1]Balance_Gatún!$A$13:$AD$5087,15)/35.32</f>
        <v>12.050387917753822</v>
      </c>
      <c r="R75" s="24">
        <f>+VLOOKUP(B75,[1]Balance_Madden!$A$12:$V$5087,14)/35.32</f>
        <v>21.995346333640327</v>
      </c>
      <c r="S75" s="26">
        <f>[1]Balance_Gatún!X74/35.32</f>
        <v>92.6860796920122</v>
      </c>
      <c r="T75" s="25">
        <v>59.697825154719006</v>
      </c>
      <c r="U75" s="25">
        <v>25.497506041491771</v>
      </c>
      <c r="V75" s="29">
        <f>LOOKUP(D75,[1]Parámetros!$A$7:$A$24,[1]Parámetros!$B$7:$B$24)</f>
        <v>48.5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48.5</v>
      </c>
      <c r="AC75" s="32">
        <f>IFERROR($A76-LOOKUP($A76,$Z$14:$Z75),"")</f>
        <v>15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234.82</v>
      </c>
      <c r="D76" s="25">
        <f>+VLOOKUP(B76,[1]Balance_Gatún!$A$13:$E$5087,2)</f>
        <v>83.550393798580416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2.7027027027027026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5.9567839539473297</v>
      </c>
      <c r="P76" s="24">
        <f>+VLOOKUP(B76,[1]Balance_Madden!$A$12:$V$5087,12)/35.32</f>
        <v>2.0061961962859978</v>
      </c>
      <c r="Q76" s="25">
        <f>+VLOOKUP(B76,[1]Balance_Gatún!$A$13:$AD$5087,15)/35.32</f>
        <v>19.317067740375215</v>
      </c>
      <c r="R76" s="24">
        <f>+VLOOKUP(B76,[1]Balance_Madden!$A$12:$V$5087,14)/35.32</f>
        <v>22.753648064915666</v>
      </c>
      <c r="S76" s="26">
        <f>[1]Balance_Gatún!X75/35.32</f>
        <v>99.886110831492815</v>
      </c>
      <c r="T76" s="25">
        <v>37.998584185008561</v>
      </c>
      <c r="U76" s="25">
        <v>24.871109839943596</v>
      </c>
      <c r="V76" s="29">
        <f>LOOKUP(D76,[1]Parámetros!$A$7:$A$24,[1]Parámetros!$B$7:$B$24)</f>
        <v>48.5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48.5</v>
      </c>
      <c r="AC76" s="32">
        <f>IFERROR($A77-LOOKUP($A77,$Z$14:$Z76),"")</f>
        <v>16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234.96199999999999</v>
      </c>
      <c r="D77" s="25">
        <f>+VLOOKUP(B77,[1]Balance_Gatún!$A$13:$E$5087,2)</f>
        <v>83.51374640698225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2.7027027027027026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5.9500021324441423</v>
      </c>
      <c r="P77" s="24">
        <f>+VLOOKUP(B77,[1]Balance_Madden!$A$12:$V$5087,12)/35.32</f>
        <v>2.1978041894886506</v>
      </c>
      <c r="Q77" s="25">
        <f>+VLOOKUP(B77,[1]Balance_Gatún!$A$13:$AD$5087,15)/35.32</f>
        <v>21.111455427928156</v>
      </c>
      <c r="R77" s="24">
        <f>+VLOOKUP(B77,[1]Balance_Madden!$A$12:$V$5087,14)/35.32</f>
        <v>22.945256058118321</v>
      </c>
      <c r="S77" s="26">
        <f>[1]Balance_Gatún!X76/35.32</f>
        <v>101.60202370453973</v>
      </c>
      <c r="T77" s="25">
        <v>52.634280014108285</v>
      </c>
      <c r="U77" s="25">
        <v>24.085584621298647</v>
      </c>
      <c r="V77" s="29">
        <f>LOOKUP(D77,[1]Parámetros!$A$7:$A$24,[1]Parámetros!$B$7:$B$24)</f>
        <v>48.5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48.5</v>
      </c>
      <c r="AC77" s="32">
        <f>IFERROR($A78-LOOKUP($A78,$Z$14:$Z77),"")</f>
        <v>17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235.08</v>
      </c>
      <c r="D78" s="25">
        <f>+VLOOKUP(B78,[1]Balance_Gatún!$A$13:$E$5087,2)</f>
        <v>83.472779794456457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2.7027027027027026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5.9424210129804038</v>
      </c>
      <c r="P78" s="24">
        <f>+VLOOKUP(B78,[1]Balance_Madden!$A$12:$V$5087,12)/35.32</f>
        <v>1.2870453292763289</v>
      </c>
      <c r="Q78" s="25">
        <f>+VLOOKUP(B78,[1]Balance_Gatún!$A$13:$AD$5087,15)/35.32</f>
        <v>12.336773092054443</v>
      </c>
      <c r="R78" s="24">
        <f>+VLOOKUP(B78,[1]Balance_Madden!$A$12:$V$5087,14)/35.32</f>
        <v>22.034497197905999</v>
      </c>
      <c r="S78" s="26">
        <f>[1]Balance_Gatún!X77/35.32</f>
        <v>92.73961759955985</v>
      </c>
      <c r="T78" s="25">
        <v>28.772576361785138</v>
      </c>
      <c r="U78" s="25">
        <v>19.451824900617922</v>
      </c>
      <c r="V78" s="29">
        <f>LOOKUP(D78,[1]Parámetros!$A$7:$A$24,[1]Parámetros!$B$7:$B$24)</f>
        <v>48</v>
      </c>
      <c r="W78" s="30" t="str">
        <f t="shared" ref="W78:W141" si="7">IF(V78&lt;&gt;V77,"Cambio Calado","")</f>
        <v>Cambio Calado</v>
      </c>
      <c r="X78" s="31">
        <f t="shared" si="3"/>
        <v>46268</v>
      </c>
      <c r="Y78" s="30">
        <f>IF($W78="Cambio Calado",COUNTIF($W$14:W78,"Cambio Calado"),"")</f>
        <v>4</v>
      </c>
      <c r="Z78" s="31">
        <f t="shared" si="4"/>
        <v>46268</v>
      </c>
      <c r="AA78" s="30">
        <f t="shared" si="5"/>
        <v>48</v>
      </c>
      <c r="AB78" s="29">
        <f>IFERROR(LOOKUP($A78,$Z$14:$Z78,$AA$14:$AA78),$U78)</f>
        <v>48</v>
      </c>
      <c r="AC78" s="32">
        <f>IFERROR($A79-LOOKUP($A79,$Z$14:$Z78),"")</f>
        <v>1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235.18600000000001</v>
      </c>
      <c r="D79" s="25">
        <f>+VLOOKUP(B79,[1]Balance_Gatún!$A$13:$E$5087,2)</f>
        <v>83.437385052682757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2.7027027027027026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5.9358710019047836</v>
      </c>
      <c r="P79" s="24">
        <f>+VLOOKUP(B79,[1]Balance_Madden!$A$12:$V$5087,12)/35.32</f>
        <v>1.5749164739860142</v>
      </c>
      <c r="Q79" s="25">
        <f>+VLOOKUP(B79,[1]Balance_Gatún!$A$13:$AD$5087,15)/35.32</f>
        <v>15.067661106196931</v>
      </c>
      <c r="R79" s="24">
        <f>+VLOOKUP(B79,[1]Balance_Madden!$A$12:$V$5087,14)/35.32</f>
        <v>22.322368342615686</v>
      </c>
      <c r="S79" s="26">
        <f>[1]Balance_Gatún!X78/35.32</f>
        <v>95.394713158249161</v>
      </c>
      <c r="T79" s="25">
        <v>31.227806991970528</v>
      </c>
      <c r="U79" s="25">
        <v>18.754835386152774</v>
      </c>
      <c r="V79" s="29">
        <f>LOOKUP(D79,[1]Parámetros!$A$7:$A$24,[1]Parámetros!$B$7:$B$24)</f>
        <v>48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48</v>
      </c>
      <c r="AC79" s="32">
        <f>IFERROR($A80-LOOKUP($A80,$Z$14:$Z79),"")</f>
        <v>2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235.27699999999999</v>
      </c>
      <c r="D80" s="25">
        <f>+VLOOKUP(B80,[1]Balance_Gatún!$A$13:$E$5087,2)</f>
        <v>83.39844356876273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2.7027027027027026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5.9286646447399791</v>
      </c>
      <c r="P80" s="24">
        <f>+VLOOKUP(B80,[1]Balance_Madden!$A$12:$V$5087,12)/35.32</f>
        <v>1.2942303208745294</v>
      </c>
      <c r="Q80" s="25">
        <f>+VLOOKUP(B80,[1]Balance_Gatún!$A$13:$AD$5087,15)/35.32</f>
        <v>12.360860711999697</v>
      </c>
      <c r="R80" s="24">
        <f>+VLOOKUP(B80,[1]Balance_Madden!$A$12:$V$5087,14)/35.32</f>
        <v>22.041682189504197</v>
      </c>
      <c r="S80" s="26">
        <f>[1]Balance_Gatún!X79/35.32</f>
        <v>92.604525499803472</v>
      </c>
      <c r="T80" s="25">
        <v>25.407716808397296</v>
      </c>
      <c r="U80" s="25">
        <v>17.207083965648565</v>
      </c>
      <c r="V80" s="29">
        <f>LOOKUP(D80,[1]Parámetros!$A$7:$A$24,[1]Parámetros!$B$7:$B$24)</f>
        <v>48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48</v>
      </c>
      <c r="AC80" s="32">
        <f>IFERROR($A81-LOOKUP($A81,$Z$14:$Z80),"")</f>
        <v>3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235.35400000000001</v>
      </c>
      <c r="D81" s="25">
        <f>+VLOOKUP(B81,[1]Balance_Gatún!$A$13:$E$5087,2)</f>
        <v>83.362088936079488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2.7027027027027026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5.9219370000449603</v>
      </c>
      <c r="P81" s="24">
        <f>+VLOOKUP(B81,[1]Balance_Madden!$A$12:$V$5087,12)/35.32</f>
        <v>0.81004342633421</v>
      </c>
      <c r="Q81" s="25">
        <f>+VLOOKUP(B81,[1]Balance_Gatún!$A$13:$AD$5087,15)/35.32</f>
        <v>7.7248652487272578</v>
      </c>
      <c r="R81" s="24">
        <f>+VLOOKUP(B81,[1]Balance_Madden!$A$12:$V$5087,14)/35.32</f>
        <v>21.557495294963882</v>
      </c>
      <c r="S81" s="26">
        <f>[1]Balance_Gatún!X80/35.32</f>
        <v>87.890682120708448</v>
      </c>
      <c r="T81" s="25">
        <v>61.487595438029231</v>
      </c>
      <c r="U81" s="25">
        <v>28.464518269144584</v>
      </c>
      <c r="V81" s="29">
        <f>LOOKUP(D81,[1]Parámetros!$A$7:$A$24,[1]Parámetros!$B$7:$B$24)</f>
        <v>48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48</v>
      </c>
      <c r="AC81" s="32">
        <f>IFERROR($A82-LOOKUP($A82,$Z$14:$Z81),"")</f>
        <v>4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235.61199999999999</v>
      </c>
      <c r="D82" s="25">
        <f>+VLOOKUP(B82,[1]Balance_Gatún!$A$13:$E$5087,2)</f>
        <v>83.332664231818455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2.7027027027027026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5.9164917805251003</v>
      </c>
      <c r="P82" s="24">
        <f>+VLOOKUP(B82,[1]Balance_Madden!$A$12:$V$5087,12)/35.32</f>
        <v>0.8930024564149549</v>
      </c>
      <c r="Q82" s="25">
        <f>+VLOOKUP(B82,[1]Balance_Gatún!$A$13:$AD$5087,15)/35.32</f>
        <v>8.4832640546172104</v>
      </c>
      <c r="R82" s="24">
        <f>+VLOOKUP(B82,[1]Balance_Madden!$A$12:$V$5087,14)/35.32</f>
        <v>21.640454325044626</v>
      </c>
      <c r="S82" s="26">
        <f>[1]Balance_Gatún!X81/35.32</f>
        <v>88.586072398349032</v>
      </c>
      <c r="T82" s="25">
        <v>38.389779908224725</v>
      </c>
      <c r="U82" s="25">
        <v>21.043888227808537</v>
      </c>
      <c r="V82" s="29">
        <f>LOOKUP(D82,[1]Parámetros!$A$7:$A$24,[1]Parámetros!$B$7:$B$24)</f>
        <v>48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48</v>
      </c>
      <c r="AC82" s="32">
        <f>IFERROR($A83-LOOKUP($A83,$Z$14:$Z82),"")</f>
        <v>5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236.178</v>
      </c>
      <c r="D83" s="25">
        <f>+VLOOKUP(B83,[1]Balance_Gatún!$A$13:$E$5087,2)</f>
        <v>83.325779054588352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2.7027027027027026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5.9152176368287526</v>
      </c>
      <c r="P83" s="24">
        <f>+VLOOKUP(B83,[1]Balance_Madden!$A$12:$V$5087,12)/35.32</f>
        <v>0.85790131245127521</v>
      </c>
      <c r="Q83" s="25">
        <f>+VLOOKUP(B83,[1]Balance_Gatún!$A$13:$AD$5087,15)/35.32</f>
        <v>8.0874845516620635</v>
      </c>
      <c r="R83" s="24">
        <f>+VLOOKUP(B83,[1]Balance_Madden!$A$12:$V$5087,14)/35.32</f>
        <v>21.605353181080947</v>
      </c>
      <c r="S83" s="26">
        <f>[1]Balance_Gatún!X82/35.32</f>
        <v>88.175549335691258</v>
      </c>
      <c r="T83" s="25">
        <v>78.11855316117628</v>
      </c>
      <c r="U83" s="25">
        <v>215.95760409284713</v>
      </c>
      <c r="V83" s="29">
        <f>LOOKUP(D83,[1]Parámetros!$A$7:$A$24,[1]Parámetros!$B$7:$B$24)</f>
        <v>48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48</v>
      </c>
      <c r="AC83" s="32">
        <f>IFERROR($A84-LOOKUP($A84,$Z$14:$Z83),"")</f>
        <v>6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236.392</v>
      </c>
      <c r="D84" s="25">
        <f>+VLOOKUP(B84,[1]Balance_Gatún!$A$13:$E$5087,2)</f>
        <v>83.312353340114242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2.7027027027027026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5.9127331271502879</v>
      </c>
      <c r="P84" s="24">
        <f>+VLOOKUP(B84,[1]Balance_Madden!$A$12:$V$5087,12)/35.32</f>
        <v>1.3177677397686851</v>
      </c>
      <c r="Q84" s="25">
        <f>+VLOOKUP(B84,[1]Balance_Gatún!$A$13:$AD$5087,15)/35.32</f>
        <v>12.385034498077323</v>
      </c>
      <c r="R84" s="24">
        <f>+VLOOKUP(B84,[1]Balance_Madden!$A$12:$V$5087,14)/35.32</f>
        <v>22.065219608398355</v>
      </c>
      <c r="S84" s="26">
        <f>[1]Balance_Gatún!X83/35.32</f>
        <v>92.444350156806721</v>
      </c>
      <c r="T84" s="25">
        <v>35.715572560368528</v>
      </c>
      <c r="U84" s="25">
        <v>51.776497186311381</v>
      </c>
      <c r="V84" s="29">
        <f>LOOKUP(D84,[1]Parámetros!$A$7:$A$24,[1]Parámetros!$B$7:$B$24)</f>
        <v>48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48</v>
      </c>
      <c r="AC84" s="32">
        <f>IFERROR($A85-LOOKUP($A85,$Z$14:$Z84),"")</f>
        <v>7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236.53100000000001</v>
      </c>
      <c r="D85" s="25">
        <f>+VLOOKUP(B85,[1]Balance_Gatún!$A$13:$E$5087,2)</f>
        <v>83.329468036653935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2.7027027027027026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5.9159003052754349</v>
      </c>
      <c r="P85" s="24">
        <f>+VLOOKUP(B85,[1]Balance_Madden!$A$12:$V$5087,12)/35.32</f>
        <v>0.99280283061032026</v>
      </c>
      <c r="Q85" s="25">
        <f>+VLOOKUP(B85,[1]Balance_Gatún!$A$13:$AD$5087,15)/35.32</f>
        <v>9.315619258227958</v>
      </c>
      <c r="R85" s="24">
        <f>+VLOOKUP(B85,[1]Balance_Madden!$A$12:$V$5087,14)/35.32</f>
        <v>21.740254699239991</v>
      </c>
      <c r="S85" s="26">
        <f>[1]Balance_Gatún!X84/35.32</f>
        <v>89.411583436202761</v>
      </c>
      <c r="T85" s="25">
        <v>42.290543146477667</v>
      </c>
      <c r="U85" s="25">
        <v>37.199709277309118</v>
      </c>
      <c r="V85" s="29">
        <f>LOOKUP(D85,[1]Parámetros!$A$7:$A$24,[1]Parámetros!$B$7:$B$24)</f>
        <v>48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48</v>
      </c>
      <c r="AC85" s="32">
        <f>IFERROR($A86-LOOKUP($A86,$Z$14:$Z85),"")</f>
        <v>8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236.73699999999999</v>
      </c>
      <c r="D86" s="25">
        <f>+VLOOKUP(B86,[1]Balance_Gatún!$A$13:$E$5087,2)</f>
        <v>83.295693400013633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2.7027027027027026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5.9096501044551122</v>
      </c>
      <c r="P86" s="24">
        <f>+VLOOKUP(B86,[1]Balance_Madden!$A$12:$V$5087,12)/35.32</f>
        <v>0.7562528736110683</v>
      </c>
      <c r="Q86" s="25">
        <f>+VLOOKUP(B86,[1]Balance_Gatún!$A$13:$AD$5087,15)/35.32</f>
        <v>7.073480635173274</v>
      </c>
      <c r="R86" s="24">
        <f>+VLOOKUP(B86,[1]Balance_Madden!$A$12:$V$5087,14)/35.32</f>
        <v>21.503704742240739</v>
      </c>
      <c r="S86" s="26">
        <f>[1]Balance_Gatún!X85/35.32</f>
        <v>87.097121566396495</v>
      </c>
      <c r="T86" s="25">
        <v>31.893359897482441</v>
      </c>
      <c r="U86" s="25">
        <v>29.797920761988347</v>
      </c>
      <c r="V86" s="29">
        <f>LOOKUP(D86,[1]Parámetros!$A$7:$A$24,[1]Parámetros!$B$7:$B$24)</f>
        <v>48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48</v>
      </c>
      <c r="AC86" s="32">
        <f>IFERROR($A87-LOOKUP($A87,$Z$14:$Z86),"")</f>
        <v>9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236.84899999999999</v>
      </c>
      <c r="D87" s="25">
        <f>+VLOOKUP(B87,[1]Balance_Gatún!$A$13:$E$5087,2)</f>
        <v>83.257213184928204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2.7027027027027026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5.9025291078784656</v>
      </c>
      <c r="P87" s="24">
        <f>+VLOOKUP(B87,[1]Balance_Madden!$A$12:$V$5087,12)/35.32</f>
        <v>2.1526556320822414</v>
      </c>
      <c r="Q87" s="25">
        <f>+VLOOKUP(B87,[1]Balance_Gatún!$A$13:$AD$5087,15)/35.32</f>
        <v>20.09447040654943</v>
      </c>
      <c r="R87" s="24">
        <f>+VLOOKUP(B87,[1]Balance_Madden!$A$12:$V$5087,14)/35.32</f>
        <v>22.900107500711911</v>
      </c>
      <c r="S87" s="26">
        <f>[1]Balance_Gatún!X86/35.32</f>
        <v>100.0357118105678</v>
      </c>
      <c r="T87" s="25">
        <v>43.144456966685432</v>
      </c>
      <c r="U87" s="25">
        <v>37.794355521625505</v>
      </c>
      <c r="V87" s="29">
        <f>LOOKUP(D87,[1]Parámetros!$A$7:$A$24,[1]Parámetros!$B$7:$B$24)</f>
        <v>48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48</v>
      </c>
      <c r="AC87" s="32">
        <f>IFERROR($A88-LOOKUP($A88,$Z$14:$Z87),"")</f>
        <v>10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236.96700000000001</v>
      </c>
      <c r="D88" s="25">
        <f>+VLOOKUP(B88,[1]Balance_Gatún!$A$13:$E$5087,2)</f>
        <v>83.23515912914786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2.7027027027027026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5.8984478714465913</v>
      </c>
      <c r="P88" s="24">
        <f>+VLOOKUP(B88,[1]Balance_Madden!$A$12:$V$5087,12)/35.32</f>
        <v>2.5729764496581686</v>
      </c>
      <c r="Q88" s="25">
        <f>+VLOOKUP(B88,[1]Balance_Gatún!$A$13:$AD$5087,15)/35.32</f>
        <v>23.973526978973723</v>
      </c>
      <c r="R88" s="24">
        <f>+VLOOKUP(B88,[1]Balance_Madden!$A$12:$V$5087,14)/35.32</f>
        <v>23.320428318287838</v>
      </c>
      <c r="S88" s="26">
        <f>[1]Balance_Gatún!X87/35.32</f>
        <v>103.86754297728126</v>
      </c>
      <c r="T88" s="25">
        <v>56.246436803878893</v>
      </c>
      <c r="U88" s="25">
        <v>35.724110384315956</v>
      </c>
      <c r="V88" s="29">
        <f>LOOKUP(D88,[1]Parámetros!$A$7:$A$24,[1]Parámetros!$B$7:$B$24)</f>
        <v>48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48</v>
      </c>
      <c r="AC88" s="32">
        <f>IFERROR($A89-LOOKUP($A89,$Z$14:$Z88),"")</f>
        <v>11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237.04499999999999</v>
      </c>
      <c r="D89" s="25">
        <f>+VLOOKUP(B89,[1]Balance_Gatún!$A$13:$E$5087,2)</f>
        <v>83.192485183282201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2.7027027027027026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5.8905507996202848</v>
      </c>
      <c r="P89" s="24">
        <f>+VLOOKUP(B89,[1]Balance_Madden!$A$12:$V$5087,12)/35.32</f>
        <v>2.4293341833120534</v>
      </c>
      <c r="Q89" s="25">
        <f>+VLOOKUP(B89,[1]Balance_Gatún!$A$13:$AD$5087,15)/35.32</f>
        <v>22.599186938776029</v>
      </c>
      <c r="R89" s="24">
        <f>+VLOOKUP(B89,[1]Balance_Madden!$A$12:$V$5087,14)/35.32</f>
        <v>23.176786051941725</v>
      </c>
      <c r="S89" s="26">
        <f>[1]Balance_Gatún!X88/35.32</f>
        <v>102.4018231733403</v>
      </c>
      <c r="T89" s="25">
        <v>20.655212741567915</v>
      </c>
      <c r="U89" s="25">
        <v>28.145020430518777</v>
      </c>
      <c r="V89" s="29">
        <f>LOOKUP(D89,[1]Parámetros!$A$7:$A$24,[1]Parámetros!$B$7:$B$24)</f>
        <v>48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48</v>
      </c>
      <c r="AC89" s="32">
        <f>IFERROR($A90-LOOKUP($A90,$Z$14:$Z89),"")</f>
        <v>12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237.21299999999999</v>
      </c>
      <c r="D90" s="25">
        <f>+VLOOKUP(B90,[1]Balance_Gatún!$A$13:$E$5087,2)</f>
        <v>83.216716279392656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2.7027027027027026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5.8950349105346298</v>
      </c>
      <c r="P90" s="24">
        <f>+VLOOKUP(B90,[1]Balance_Madden!$A$12:$V$5087,12)/35.32</f>
        <v>2.412120131104984</v>
      </c>
      <c r="Q90" s="25">
        <f>+VLOOKUP(B90,[1]Balance_Gatún!$A$13:$AD$5087,15)/35.32</f>
        <v>22.396071808681107</v>
      </c>
      <c r="R90" s="24">
        <f>+VLOOKUP(B90,[1]Balance_Madden!$A$12:$V$5087,14)/35.32</f>
        <v>23.159571999734656</v>
      </c>
      <c r="S90" s="26">
        <f>[1]Balance_Gatún!X89/35.32</f>
        <v>102.25059524966365</v>
      </c>
      <c r="T90" s="25">
        <v>26.443413481667108</v>
      </c>
      <c r="U90" s="25">
        <v>21.078527619610782</v>
      </c>
      <c r="V90" s="29">
        <f>LOOKUP(D90,[1]Parámetros!$A$7:$A$24,[1]Parámetros!$B$7:$B$24)</f>
        <v>48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48</v>
      </c>
      <c r="AC90" s="32">
        <f>IFERROR($A91-LOOKUP($A91,$Z$14:$Z90),"")</f>
        <v>13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237.756</v>
      </c>
      <c r="D91" s="25">
        <f>+VLOOKUP(B91,[1]Balance_Gatún!$A$13:$E$5087,2)</f>
        <v>83.243200936837837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2.7027027027027026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5.8999360566062444</v>
      </c>
      <c r="P91" s="24">
        <f>+VLOOKUP(B91,[1]Balance_Madden!$A$12:$V$5087,12)/35.32</f>
        <v>2.3514412754714233</v>
      </c>
      <c r="Q91" s="25">
        <f>+VLOOKUP(B91,[1]Balance_Gatún!$A$13:$AD$5087,15)/35.32</f>
        <v>21.683647966576874</v>
      </c>
      <c r="R91" s="24">
        <f>+VLOOKUP(B91,[1]Balance_Madden!$A$12:$V$5087,14)/35.32</f>
        <v>23.098893144101094</v>
      </c>
      <c r="S91" s="26">
        <f>[1]Balance_Gatún!X90/35.32</f>
        <v>101.59488427277654</v>
      </c>
      <c r="T91" s="25">
        <v>26.641096769612801</v>
      </c>
      <c r="U91" s="25">
        <v>23.504636737283047</v>
      </c>
      <c r="V91" s="29">
        <f>LOOKUP(D91,[1]Parámetros!$A$7:$A$24,[1]Parámetros!$B$7:$B$24)</f>
        <v>48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48</v>
      </c>
      <c r="AC91" s="32">
        <f>IFERROR($A92-LOOKUP($A92,$Z$14:$Z91),"")</f>
        <v>14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237.88200000000001</v>
      </c>
      <c r="D92" s="25">
        <f>+VLOOKUP(B92,[1]Balance_Gatún!$A$13:$E$5087,2)</f>
        <v>83.211801705625362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2.7027027027027026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5.8941254389296809</v>
      </c>
      <c r="P92" s="24">
        <f>+VLOOKUP(B92,[1]Balance_Madden!$A$12:$V$5087,12)/35.32</f>
        <v>1.4411397544016176</v>
      </c>
      <c r="Q92" s="25">
        <f>+VLOOKUP(B92,[1]Balance_Gatún!$A$13:$AD$5087,15)/35.32</f>
        <v>13.261863294685863</v>
      </c>
      <c r="R92" s="24">
        <f>+VLOOKUP(B92,[1]Balance_Madden!$A$12:$V$5087,14)/35.32</f>
        <v>22.188591623031289</v>
      </c>
      <c r="S92" s="26">
        <f>[1]Balance_Gatún!X91/35.32</f>
        <v>93.105862923523929</v>
      </c>
      <c r="T92" s="25">
        <v>50.347524403101964</v>
      </c>
      <c r="U92" s="25">
        <v>22.617956743483411</v>
      </c>
      <c r="V92" s="29">
        <f>LOOKUP(D92,[1]Parámetros!$A$7:$A$24,[1]Parámetros!$B$7:$B$24)</f>
        <v>48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48</v>
      </c>
      <c r="AC92" s="32">
        <f>IFERROR($A93-LOOKUP($A93,$Z$14:$Z92),"")</f>
        <v>15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237.96299999999999</v>
      </c>
      <c r="D93" s="25">
        <f>+VLOOKUP(B93,[1]Balance_Gatún!$A$13:$E$5087,2)</f>
        <v>83.175557134405835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2.7027027027027026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5.887418161774308</v>
      </c>
      <c r="P93" s="24">
        <f>+VLOOKUP(B93,[1]Balance_Madden!$A$12:$V$5087,12)/35.32</f>
        <v>1.0552781798703434</v>
      </c>
      <c r="Q93" s="25">
        <f>+VLOOKUP(B93,[1]Balance_Gatún!$A$13:$AD$5087,15)/35.32</f>
        <v>9.6960951751410658</v>
      </c>
      <c r="R93" s="24">
        <f>+VLOOKUP(B93,[1]Balance_Madden!$A$12:$V$5087,14)/35.32</f>
        <v>21.802730048500013</v>
      </c>
      <c r="S93" s="26">
        <f>[1]Balance_Gatún!X92/35.32</f>
        <v>89.462482568039135</v>
      </c>
      <c r="T93" s="25">
        <v>99.838942374957213</v>
      </c>
      <c r="U93" s="25">
        <v>81.133860951367282</v>
      </c>
      <c r="V93" s="29">
        <f>LOOKUP(D93,[1]Parámetros!$A$7:$A$24,[1]Parámetros!$B$7:$B$24)</f>
        <v>48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48</v>
      </c>
      <c r="AC93" s="32">
        <f>IFERROR($A94-LOOKUP($A94,$Z$14:$Z93),"")</f>
        <v>16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238.024</v>
      </c>
      <c r="D94" s="25">
        <f>+VLOOKUP(B94,[1]Balance_Gatún!$A$13:$E$5087,2)</f>
        <v>83.142586676258489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2.7027027027027026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5.881316779048757</v>
      </c>
      <c r="P94" s="24">
        <f>+VLOOKUP(B94,[1]Balance_Madden!$A$12:$V$5087,12)/35.32</f>
        <v>1.9449643340013687</v>
      </c>
      <c r="Q94" s="25">
        <f>+VLOOKUP(B94,[1]Balance_Gatún!$A$13:$AD$5087,15)/35.32</f>
        <v>17.848685353592124</v>
      </c>
      <c r="R94" s="24">
        <f>+VLOOKUP(B94,[1]Balance_Madden!$A$12:$V$5087,14)/35.32</f>
        <v>22.692416202631037</v>
      </c>
      <c r="S94" s="26">
        <f>[1]Balance_Gatún!X93/35.32</f>
        <v>97.544471525654046</v>
      </c>
      <c r="T94" s="25">
        <v>62.497494206702974</v>
      </c>
      <c r="U94" s="25">
        <v>49.22671790919064</v>
      </c>
      <c r="V94" s="29">
        <f>LOOKUP(D94,[1]Parámetros!$A$7:$A$24,[1]Parámetros!$B$7:$B$24)</f>
        <v>48</v>
      </c>
      <c r="W94" s="30" t="str">
        <f t="shared" si="7"/>
        <v/>
      </c>
      <c r="X94" s="31" t="str">
        <f t="shared" si="8"/>
        <v/>
      </c>
      <c r="Y94" s="30" t="str">
        <f>IF($W94="Cambio Calado",COUNTIF($W$14:W94,"Cambio Calado"),"")</f>
        <v/>
      </c>
      <c r="Z94" s="31" t="str">
        <f t="shared" si="9"/>
        <v/>
      </c>
      <c r="AA94" s="30" t="str">
        <f t="shared" si="10"/>
        <v/>
      </c>
      <c r="AB94" s="29">
        <f>IFERROR(LOOKUP($A94,$Z$14:$Z94,$AA$14:$AA94),$U94)</f>
        <v>48</v>
      </c>
      <c r="AC94" s="32">
        <f>IFERROR($A95-LOOKUP($A95,$Z$14:$Z94),"")</f>
        <v>17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238.11600000000001</v>
      </c>
      <c r="D95" s="25">
        <f>+VLOOKUP(B95,[1]Balance_Gatún!$A$13:$E$5087,2)</f>
        <v>83.108928265064137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2.7027027027027026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5.8750880864502815</v>
      </c>
      <c r="P95" s="24">
        <f>+VLOOKUP(B95,[1]Balance_Madden!$A$12:$V$5087,12)/35.32</f>
        <v>1.9040310075781286</v>
      </c>
      <c r="Q95" s="25">
        <f>+VLOOKUP(B95,[1]Balance_Gatún!$A$13:$AD$5087,15)/35.32</f>
        <v>17.444236895129155</v>
      </c>
      <c r="R95" s="24">
        <f>+VLOOKUP(B95,[1]Balance_Madden!$A$12:$V$5087,14)/35.32</f>
        <v>22.651482876207801</v>
      </c>
      <c r="S95" s="26">
        <f>[1]Balance_Gatún!X94/35.32</f>
        <v>97.067948699552431</v>
      </c>
      <c r="T95" s="25">
        <v>45.41809416430668</v>
      </c>
      <c r="U95" s="25">
        <v>30.305279317689177</v>
      </c>
      <c r="V95" s="29">
        <f>LOOKUP(D95,[1]Parámetros!$A$7:$A$24,[1]Parámetros!$B$7:$B$24)</f>
        <v>48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48</v>
      </c>
      <c r="AC95" s="32">
        <f>IFERROR($A96-LOOKUP($A96,$Z$14:$Z95),"")</f>
        <v>18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238.15100000000001</v>
      </c>
      <c r="D96" s="25">
        <f>+VLOOKUP(B96,[1]Balance_Gatún!$A$13:$E$5087,2)</f>
        <v>83.073941169689689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2.7027027027027026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5.8686135128067827</v>
      </c>
      <c r="P96" s="24">
        <f>+VLOOKUP(B96,[1]Balance_Madden!$A$12:$V$5087,12)/35.32</f>
        <v>1.3081454852544232</v>
      </c>
      <c r="Q96" s="25">
        <f>+VLOOKUP(B96,[1]Balance_Gatún!$A$13:$AD$5087,15)/35.32</f>
        <v>11.973920353242024</v>
      </c>
      <c r="R96" s="24">
        <f>+VLOOKUP(B96,[1]Balance_Madden!$A$12:$V$5087,14)/35.32</f>
        <v>22.055597353884092</v>
      </c>
      <c r="S96" s="26">
        <f>[1]Balance_Gatún!X95/35.32</f>
        <v>91.522712614967162</v>
      </c>
      <c r="T96" s="25">
        <v>43.613178070981867</v>
      </c>
      <c r="U96" s="25">
        <v>23.572027405610466</v>
      </c>
      <c r="V96" s="29">
        <f>LOOKUP(D96,[1]Parámetros!$A$7:$A$24,[1]Parámetros!$B$7:$B$24)</f>
        <v>48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48</v>
      </c>
      <c r="AC96" s="32">
        <f>IFERROR($A97-LOOKUP($A97,$Z$14:$Z96),"")</f>
        <v>19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238.166</v>
      </c>
      <c r="D97" s="25">
        <f>+VLOOKUP(B97,[1]Balance_Gatún!$A$13:$E$5087,2)</f>
        <v>83.036543109019888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2.7027027027027026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5.8616927754509307</v>
      </c>
      <c r="P97" s="24">
        <f>+VLOOKUP(B97,[1]Balance_Madden!$A$12:$V$5087,12)/35.32</f>
        <v>2.2752439410407082</v>
      </c>
      <c r="Q97" s="25">
        <f>+VLOOKUP(B97,[1]Balance_Gatún!$A$13:$AD$5087,15)/35.32</f>
        <v>20.811887259478283</v>
      </c>
      <c r="R97" s="24">
        <f>+VLOOKUP(B97,[1]Balance_Madden!$A$12:$V$5087,14)/35.32</f>
        <v>23.022695809670378</v>
      </c>
      <c r="S97" s="26">
        <f>[1]Balance_Gatún!X96/35.32</f>
        <v>100.28059726306819</v>
      </c>
      <c r="T97" s="25">
        <v>67.805431719465801</v>
      </c>
      <c r="U97" s="25">
        <v>37.950228960192611</v>
      </c>
      <c r="V97" s="29">
        <f>LOOKUP(D97,[1]Parámetros!$A$7:$A$24,[1]Parámetros!$B$7:$B$24)</f>
        <v>48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48</v>
      </c>
      <c r="AC97" s="32">
        <f>IFERROR($A98-LOOKUP($A98,$Z$14:$Z97),"")</f>
        <v>20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238.172</v>
      </c>
      <c r="D98" s="25">
        <f>+VLOOKUP(B98,[1]Balance_Gatún!$A$13:$E$5087,2)</f>
        <v>83.043114798714669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2.7027027027027026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5.8629089063825139</v>
      </c>
      <c r="P98" s="24">
        <f>+VLOOKUP(B98,[1]Balance_Madden!$A$12:$V$5087,12)/35.32</f>
        <v>2.3229720140553121</v>
      </c>
      <c r="Q98" s="25">
        <f>+VLOOKUP(B98,[1]Balance_Gatún!$A$13:$AD$5087,15)/35.32</f>
        <v>21.248594762990198</v>
      </c>
      <c r="R98" s="24">
        <f>+VLOOKUP(B98,[1]Balance_Madden!$A$12:$V$5087,14)/35.32</f>
        <v>23.070423882684981</v>
      </c>
      <c r="S98" s="26">
        <f>[1]Balance_Gatún!X97/35.32</f>
        <v>100.73137704041187</v>
      </c>
      <c r="T98" s="25">
        <v>48.734463531571286</v>
      </c>
      <c r="U98" s="25">
        <v>38.627017706436348</v>
      </c>
      <c r="V98" s="29">
        <f>LOOKUP(D98,[1]Parámetros!$A$7:$A$24,[1]Parámetros!$B$7:$B$24)</f>
        <v>48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48</v>
      </c>
      <c r="AC98" s="32">
        <f>IFERROR($A99-LOOKUP($A99,$Z$14:$Z98),"")</f>
        <v>21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238.53399999999999</v>
      </c>
      <c r="D99" s="25">
        <f>+VLOOKUP(B99,[1]Balance_Gatún!$A$13:$E$5087,2)</f>
        <v>83.024379805147376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2.7027027027027026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5.8594418824908852</v>
      </c>
      <c r="P99" s="24">
        <f>+VLOOKUP(B99,[1]Balance_Madden!$A$12:$V$5087,12)/35.32</f>
        <v>1.812600908331776</v>
      </c>
      <c r="Q99" s="25">
        <f>+VLOOKUP(B99,[1]Balance_Gatún!$A$13:$AD$5087,15)/35.32</f>
        <v>16.497331544857751</v>
      </c>
      <c r="R99" s="24">
        <f>+VLOOKUP(B99,[1]Balance_Madden!$A$12:$V$5087,14)/35.32</f>
        <v>22.560052776961449</v>
      </c>
      <c r="S99" s="26">
        <f>[1]Balance_Gatún!X98/35.32</f>
        <v>95.939995683420179</v>
      </c>
      <c r="T99" s="25">
        <v>17.275308391534619</v>
      </c>
      <c r="U99" s="25">
        <v>25.263727309246644</v>
      </c>
      <c r="V99" s="29">
        <f>LOOKUP(D99,[1]Parámetros!$A$7:$A$24,[1]Parámetros!$B$7:$B$24)</f>
        <v>48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48</v>
      </c>
      <c r="AC99" s="32">
        <f>IFERROR($A100-LOOKUP($A100,$Z$14:$Z99),"")</f>
        <v>22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238.60599999999999</v>
      </c>
      <c r="D100" s="25">
        <f>+VLOOKUP(B100,[1]Balance_Gatún!$A$13:$E$5087,2)</f>
        <v>83.0036387267631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2.7027027027027026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5.855603620468635</v>
      </c>
      <c r="P100" s="24">
        <f>+VLOOKUP(B100,[1]Balance_Madden!$A$12:$V$5087,12)/35.32</f>
        <v>2.4796462969604844</v>
      </c>
      <c r="Q100" s="25">
        <f>+VLOOKUP(B100,[1]Balance_Gatún!$A$13:$AD$5087,15)/35.32</f>
        <v>22.541007874549223</v>
      </c>
      <c r="R100" s="24">
        <f>+VLOOKUP(B100,[1]Balance_Madden!$A$12:$V$5087,14)/35.32</f>
        <v>23.227098165590153</v>
      </c>
      <c r="S100" s="26">
        <f>[1]Balance_Gatún!X99/35.32</f>
        <v>101.93925814877151</v>
      </c>
      <c r="T100" s="25">
        <v>28.599194885211464</v>
      </c>
      <c r="U100" s="25">
        <v>23.2424212681867</v>
      </c>
      <c r="V100" s="29">
        <f>LOOKUP(D100,[1]Parámetros!$A$7:$A$24,[1]Parámetros!$B$7:$B$24)</f>
        <v>48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48</v>
      </c>
      <c r="AC100" s="32">
        <f>IFERROR($A101-LOOKUP($A101,$Z$14:$Z100),"")</f>
        <v>23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238.63399999999999</v>
      </c>
      <c r="D101" s="25">
        <f>+VLOOKUP(B101,[1]Balance_Gatún!$A$13:$E$5087,2)</f>
        <v>82.97265211297568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2.7027027027027026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5.8498693601425895</v>
      </c>
      <c r="P101" s="24">
        <f>+VLOOKUP(B101,[1]Balance_Madden!$A$12:$V$5087,12)/35.32</f>
        <v>2.2953313118396115</v>
      </c>
      <c r="Q101" s="25">
        <f>+VLOOKUP(B101,[1]Balance_Gatún!$A$13:$AD$5087,15)/35.32</f>
        <v>20.849435980591728</v>
      </c>
      <c r="R101" s="24">
        <f>+VLOOKUP(B101,[1]Balance_Madden!$A$12:$V$5087,14)/35.32</f>
        <v>23.042783180469282</v>
      </c>
      <c r="S101" s="26">
        <f>[1]Balance_Gatún!X100/35.32</f>
        <v>100.18133313490306</v>
      </c>
      <c r="T101" s="25">
        <v>117.50874721896638</v>
      </c>
      <c r="U101" s="25">
        <v>46.51026447447974</v>
      </c>
      <c r="V101" s="29">
        <f>LOOKUP(D101,[1]Parámetros!$A$7:$A$24,[1]Parámetros!$B$7:$B$24)</f>
        <v>47.5</v>
      </c>
      <c r="W101" s="30" t="str">
        <f t="shared" si="7"/>
        <v>Cambio Calado</v>
      </c>
      <c r="X101" s="31">
        <f t="shared" si="8"/>
        <v>46291</v>
      </c>
      <c r="Y101" s="30">
        <f>IF($W101="Cambio Calado",COUNTIF($W$14:W101,"Cambio Calado"),"")</f>
        <v>5</v>
      </c>
      <c r="Z101" s="31">
        <f t="shared" si="9"/>
        <v>46291</v>
      </c>
      <c r="AA101" s="30">
        <f t="shared" si="10"/>
        <v>47.5</v>
      </c>
      <c r="AB101" s="29">
        <f>IFERROR(LOOKUP($A101,$Z$14:$Z101,$AA$14:$AA101),$U101)</f>
        <v>47.5</v>
      </c>
      <c r="AC101" s="32">
        <f>IFERROR($A102-LOOKUP($A102,$Z$14:$Z101),"")</f>
        <v>1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238.875</v>
      </c>
      <c r="D102" s="25">
        <f>+VLOOKUP(B102,[1]Balance_Gatún!$A$13:$E$5087,2)</f>
        <v>82.976259553382945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2.7027027027027026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5.8505369388121373</v>
      </c>
      <c r="P102" s="24">
        <f>+VLOOKUP(B102,[1]Balance_Madden!$A$12:$V$5087,12)/35.32</f>
        <v>1.4641744298579171</v>
      </c>
      <c r="Q102" s="25">
        <f>+VLOOKUP(B102,[1]Balance_Gatún!$A$13:$AD$5087,15)/35.32</f>
        <v>13.258329068299419</v>
      </c>
      <c r="R102" s="24">
        <f>+VLOOKUP(B102,[1]Balance_Madden!$A$12:$V$5087,14)/35.32</f>
        <v>22.211626298487587</v>
      </c>
      <c r="S102" s="26">
        <f>[1]Balance_Gatún!X101/35.32</f>
        <v>92.59795100749875</v>
      </c>
      <c r="T102" s="25">
        <v>39.605802753482372</v>
      </c>
      <c r="U102" s="25">
        <v>34.384243234767155</v>
      </c>
      <c r="V102" s="29">
        <f>LOOKUP(D102,[1]Parámetros!$A$7:$A$24,[1]Parámetros!$B$7:$B$24)</f>
        <v>47.5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47.5</v>
      </c>
      <c r="AC102" s="32">
        <f>IFERROR($A103-LOOKUP($A103,$Z$14:$Z102),"")</f>
        <v>2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239.054</v>
      </c>
      <c r="D103" s="25">
        <f>+VLOOKUP(B103,[1]Balance_Gatún!$A$13:$E$5087,2)</f>
        <v>82.963957932082792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2.7027027027027026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5.8482604493753936</v>
      </c>
      <c r="P103" s="24">
        <f>+VLOOKUP(B103,[1]Balance_Madden!$A$12:$V$5087,12)/35.32</f>
        <v>1.2817666163846606</v>
      </c>
      <c r="Q103" s="25">
        <f>+VLOOKUP(B103,[1]Balance_Gatún!$A$13:$AD$5087,15)/35.32</f>
        <v>11.577559709205287</v>
      </c>
      <c r="R103" s="24">
        <f>+VLOOKUP(B103,[1]Balance_Madden!$A$12:$V$5087,14)/35.32</f>
        <v>22.029218485014329</v>
      </c>
      <c r="S103" s="26">
        <f>[1]Balance_Gatún!X102/35.32</f>
        <v>90.890839597645936</v>
      </c>
      <c r="T103" s="25">
        <v>33.074210259485035</v>
      </c>
      <c r="U103" s="25">
        <v>28.58886482546875</v>
      </c>
      <c r="V103" s="29">
        <f>LOOKUP(D103,[1]Parámetros!$A$7:$A$24,[1]Parámetros!$B$7:$B$24)</f>
        <v>47.5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47.5</v>
      </c>
      <c r="AC103" s="32">
        <f>IFERROR($A104-LOOKUP($A104,$Z$14:$Z103),"")</f>
        <v>3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239.18700000000001</v>
      </c>
      <c r="D104" s="25">
        <f>+VLOOKUP(B104,[1]Balance_Gatún!$A$13:$E$5087,2)</f>
        <v>82.938130086330801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2.7027027027027026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5.8434808502807982</v>
      </c>
      <c r="P104" s="24">
        <f>+VLOOKUP(B104,[1]Balance_Madden!$A$12:$V$5087,12)/35.32</f>
        <v>1.1166993239182825</v>
      </c>
      <c r="Q104" s="25">
        <f>+VLOOKUP(B104,[1]Balance_Gatún!$A$13:$AD$5087,15)/35.32</f>
        <v>10.065667873539148</v>
      </c>
      <c r="R104" s="24">
        <f>+VLOOKUP(B104,[1]Balance_Madden!$A$12:$V$5087,14)/35.32</f>
        <v>21.864151192547954</v>
      </c>
      <c r="S104" s="26">
        <f>[1]Balance_Gatún!X103/35.32</f>
        <v>89.323641359093003</v>
      </c>
      <c r="T104" s="25">
        <v>46.315581836797037</v>
      </c>
      <c r="U104" s="25">
        <v>32.267276974351454</v>
      </c>
      <c r="V104" s="29">
        <f>LOOKUP(D104,[1]Parámetros!$A$7:$A$24,[1]Parámetros!$B$7:$B$24)</f>
        <v>47.5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47.5</v>
      </c>
      <c r="AC104" s="32">
        <f>IFERROR($A105-LOOKUP($A105,$Z$14:$Z104),"")</f>
        <v>4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239.292</v>
      </c>
      <c r="D105" s="25">
        <f>+VLOOKUP(B105,[1]Balance_Gatún!$A$13:$E$5087,2)</f>
        <v>82.91263649124447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2.7027027027027026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5.8387631062938388</v>
      </c>
      <c r="P105" s="24">
        <f>+VLOOKUP(B105,[1]Balance_Madden!$A$12:$V$5087,12)/35.32</f>
        <v>1.1723930592857494</v>
      </c>
      <c r="Q105" s="25">
        <f>+VLOOKUP(B105,[1]Balance_Gatún!$A$13:$AD$5087,15)/35.32</f>
        <v>10.549681321130318</v>
      </c>
      <c r="R105" s="24">
        <f>+VLOOKUP(B105,[1]Balance_Madden!$A$12:$V$5087,14)/35.32</f>
        <v>21.919844927915417</v>
      </c>
      <c r="S105" s="26">
        <f>[1]Balance_Gatún!X104/35.32</f>
        <v>89.753064150753531</v>
      </c>
      <c r="T105" s="25">
        <v>43.29790228335429</v>
      </c>
      <c r="U105" s="25">
        <v>23.886961083390851</v>
      </c>
      <c r="V105" s="29">
        <f>LOOKUP(D105,[1]Parámetros!$A$7:$A$24,[1]Parámetros!$B$7:$B$24)</f>
        <v>47.5</v>
      </c>
      <c r="W105" s="30" t="str">
        <f t="shared" si="7"/>
        <v/>
      </c>
      <c r="X105" s="31" t="str">
        <f t="shared" si="8"/>
        <v/>
      </c>
      <c r="Y105" s="30" t="str">
        <f>IF($W105="Cambio Calado",COUNTIF($W$14:W105,"Cambio Calado"),"")</f>
        <v/>
      </c>
      <c r="Z105" s="31" t="str">
        <f t="shared" si="9"/>
        <v/>
      </c>
      <c r="AA105" s="30" t="str">
        <f t="shared" si="10"/>
        <v/>
      </c>
      <c r="AB105" s="29">
        <f>IFERROR(LOOKUP($A105,$Z$14:$Z105,$AA$14:$AA105),$U105)</f>
        <v>47.5</v>
      </c>
      <c r="AC105" s="32">
        <f>IFERROR($A106-LOOKUP($A106,$Z$14:$Z105),"")</f>
        <v>5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239.38300000000001</v>
      </c>
      <c r="D106" s="25">
        <f>+VLOOKUP(B106,[1]Balance_Gatún!$A$13:$E$5087,2)</f>
        <v>82.88297792958889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2.7027027027027026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5.0937543870932913</v>
      </c>
      <c r="P106" s="24">
        <f>+VLOOKUP(B106,[1]Balance_Madden!$A$12:$V$5087,12)/35.32</f>
        <v>1.9531524209493742</v>
      </c>
      <c r="Q106" s="25">
        <f>+VLOOKUP(B106,[1]Balance_Gatún!$A$13:$AD$5087,15)/35.32</f>
        <v>17.547621949334427</v>
      </c>
      <c r="R106" s="24">
        <f>+VLOOKUP(B106,[1]Balance_Madden!$A$12:$V$5087,14)/35.32</f>
        <v>22.700604289579044</v>
      </c>
      <c r="S106" s="26">
        <f>[1]Balance_Gatún!X105/35.32</f>
        <v>88.130249865671573</v>
      </c>
      <c r="T106" s="25">
        <v>43.445725335284848</v>
      </c>
      <c r="U106" s="25">
        <v>22.784704413547551</v>
      </c>
      <c r="V106" s="29">
        <f>LOOKUP(D106,[1]Parámetros!$A$7:$A$24,[1]Parámetros!$B$7:$B$24)</f>
        <v>47.5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47.5</v>
      </c>
      <c r="AC106" s="32">
        <f>IFERROR($A107-LOOKUP($A107,$Z$14:$Z106),"")</f>
        <v>6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239.45500000000001</v>
      </c>
      <c r="D107" s="25">
        <f>+VLOOKUP(B107,[1]Balance_Gatún!$A$13:$E$5087,2)</f>
        <v>82.853854976036487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2.7027027027027026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5.0892068743726764</v>
      </c>
      <c r="P107" s="24">
        <f>+VLOOKUP(B107,[1]Balance_Madden!$A$12:$V$5087,12)/35.32</f>
        <v>1.7716470120608612</v>
      </c>
      <c r="Q107" s="25">
        <f>+VLOOKUP(B107,[1]Balance_Gatún!$A$13:$AD$5087,15)/35.32</f>
        <v>15.895945825542686</v>
      </c>
      <c r="R107" s="24">
        <f>+VLOOKUP(B107,[1]Balance_Madden!$A$12:$V$5087,14)/35.32</f>
        <v>22.519098880690532</v>
      </c>
      <c r="S107" s="26">
        <f>[1]Balance_Gatún!X106/35.32</f>
        <v>86.425952891117802</v>
      </c>
      <c r="T107" s="25">
        <v>59.570332851783952</v>
      </c>
      <c r="U107" s="25">
        <v>22.80393099216375</v>
      </c>
      <c r="V107" s="29">
        <f>LOOKUP(D107,[1]Parámetros!$A$7:$A$24,[1]Parámetros!$B$7:$B$24)</f>
        <v>47.5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47.5</v>
      </c>
      <c r="AC107" s="32">
        <f>IFERROR($A108-LOOKUP($A108,$Z$14:$Z107),"")</f>
        <v>7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239.51599999999999</v>
      </c>
      <c r="D108" s="25">
        <f>+VLOOKUP(B108,[1]Balance_Gatún!$A$13:$E$5087,2)</f>
        <v>82.823778677111221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2.7027027027027026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5.0845104979661562</v>
      </c>
      <c r="P108" s="24">
        <f>+VLOOKUP(B108,[1]Balance_Madden!$A$12:$V$5087,12)/35.32</f>
        <v>0.48370926948302478</v>
      </c>
      <c r="Q108" s="25">
        <f>+VLOOKUP(B108,[1]Balance_Gatún!$A$13:$AD$5087,15)/35.32</f>
        <v>4.3348864025271672</v>
      </c>
      <c r="R108" s="24">
        <f>+VLOOKUP(B108,[1]Balance_Madden!$A$12:$V$5087,14)/35.32</f>
        <v>21.231161138112693</v>
      </c>
      <c r="S108" s="26">
        <f>[1]Balance_Gatún!X107/35.32</f>
        <v>74.810550063873933</v>
      </c>
      <c r="T108" s="25">
        <v>118.38852410411407</v>
      </c>
      <c r="U108" s="25">
        <v>51.044064501527423</v>
      </c>
      <c r="V108" s="29">
        <f>LOOKUP(D108,[1]Parámetros!$A$7:$A$24,[1]Parámetros!$B$7:$B$24)</f>
        <v>47.5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47.5</v>
      </c>
      <c r="AC108" s="32">
        <f>IFERROR($A109-LOOKUP($A109,$Z$14:$Z108),"")</f>
        <v>8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239.52199999999999</v>
      </c>
      <c r="D109" s="25">
        <f>+VLOOKUP(B109,[1]Balance_Gatún!$A$13:$E$5087,2)</f>
        <v>82.796669398731254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2.7027027027027026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5.0802774181015824</v>
      </c>
      <c r="P109" s="24">
        <f>+VLOOKUP(B109,[1]Balance_Madden!$A$12:$V$5087,12)/35.32</f>
        <v>1.0263852294819851</v>
      </c>
      <c r="Q109" s="25">
        <f>+VLOOKUP(B109,[1]Balance_Gatún!$A$13:$AD$5087,15)/35.32</f>
        <v>9.194249713584778</v>
      </c>
      <c r="R109" s="24">
        <f>+VLOOKUP(B109,[1]Balance_Madden!$A$12:$V$5087,14)/35.32</f>
        <v>21.773837098111656</v>
      </c>
      <c r="S109" s="26">
        <f>[1]Balance_Gatún!X108/35.32</f>
        <v>79.620930936068248</v>
      </c>
      <c r="T109" s="25">
        <v>52.397743735287953</v>
      </c>
      <c r="U109" s="25">
        <v>35.020775475747669</v>
      </c>
      <c r="V109" s="29">
        <f>LOOKUP(D109,[1]Parámetros!$A$7:$A$24,[1]Parámetros!$B$7:$B$24)</f>
        <v>47.5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47.5</v>
      </c>
      <c r="AC109" s="32">
        <f>IFERROR($A110-LOOKUP($A110,$Z$14:$Z109),"")</f>
        <v>9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239.64</v>
      </c>
      <c r="D110" s="25">
        <f>+VLOOKUP(B110,[1]Balance_Gatún!$A$13:$E$5087,2)</f>
        <v>82.769141094336007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2.7027027027027026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5.075978907849553</v>
      </c>
      <c r="P110" s="24">
        <f>+VLOOKUP(B110,[1]Balance_Madden!$A$12:$V$5087,12)/35.32</f>
        <v>1.1926343269795023</v>
      </c>
      <c r="Q110" s="25">
        <f>+VLOOKUP(B110,[1]Balance_Gatún!$A$13:$AD$5087,15)/35.32</f>
        <v>10.6632368188634</v>
      </c>
      <c r="R110" s="24">
        <f>+VLOOKUP(B110,[1]Balance_Madden!$A$12:$V$5087,14)/35.32</f>
        <v>21.940086195609172</v>
      </c>
      <c r="S110" s="26">
        <f>[1]Balance_Gatún!X109/35.32</f>
        <v>81.040178484721608</v>
      </c>
      <c r="T110" s="25">
        <v>32.556971259099619</v>
      </c>
      <c r="U110" s="25">
        <v>18.692628400028969</v>
      </c>
      <c r="V110" s="29">
        <f>LOOKUP(D110,[1]Parámetros!$A$7:$A$24,[1]Parámetros!$B$7:$B$24)</f>
        <v>47.5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47.5</v>
      </c>
      <c r="AC110" s="32">
        <f>IFERROR($A111-LOOKUP($A111,$Z$14:$Z110),"")</f>
        <v>10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239.96100000000001</v>
      </c>
      <c r="D111" s="25">
        <f>+VLOOKUP(B111,[1]Balance_Gatún!$A$13:$E$5087,2)</f>
        <v>82.759127241547176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2.7027027027027026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5.0744152572789591</v>
      </c>
      <c r="P111" s="24">
        <f>+VLOOKUP(B111,[1]Balance_Madden!$A$12:$V$5087,12)/35.32</f>
        <v>1.0793993823307435</v>
      </c>
      <c r="Q111" s="25">
        <f>+VLOOKUP(B111,[1]Balance_Gatún!$A$13:$AD$5087,15)/35.32</f>
        <v>9.6093079626988231</v>
      </c>
      <c r="R111" s="24">
        <f>+VLOOKUP(B111,[1]Balance_Madden!$A$12:$V$5087,14)/35.32</f>
        <v>21.826851250960413</v>
      </c>
      <c r="S111" s="26">
        <f>[1]Balance_Gatún!X110/35.32</f>
        <v>79.968156084157229</v>
      </c>
      <c r="T111" s="25">
        <v>39.691461499170678</v>
      </c>
      <c r="U111" s="25">
        <v>28.988720564165657</v>
      </c>
      <c r="V111" s="29">
        <f>LOOKUP(D111,[1]Parámetros!$A$7:$A$24,[1]Parámetros!$B$7:$B$24)</f>
        <v>47.5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47.5</v>
      </c>
      <c r="AC111" s="32">
        <f>IFERROR($A112-LOOKUP($A112,$Z$14:$Z111),"")</f>
        <v>11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240.04599999999999</v>
      </c>
      <c r="D112" s="25">
        <f>+VLOOKUP(B112,[1]Balance_Gatún!$A$13:$E$5087,2)</f>
        <v>82.744369963774233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2.7027027027027026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5.0721109268382527</v>
      </c>
      <c r="P112" s="24">
        <f>+VLOOKUP(B112,[1]Balance_Madden!$A$12:$V$5087,12)/35.32</f>
        <v>2.2874248420194481</v>
      </c>
      <c r="Q112" s="25">
        <f>+VLOOKUP(B112,[1]Balance_Gatún!$A$13:$AD$5087,15)/35.32</f>
        <v>20.337299688632427</v>
      </c>
      <c r="R112" s="24">
        <f>+VLOOKUP(B112,[1]Balance_Madden!$A$12:$V$5087,14)/35.32</f>
        <v>23.034876710649119</v>
      </c>
      <c r="S112" s="26">
        <f>[1]Balance_Gatún!X111/35.32</f>
        <v>90.669483601395555</v>
      </c>
      <c r="T112" s="25">
        <v>67.585516310929094</v>
      </c>
      <c r="U112" s="25">
        <v>25.081329634056036</v>
      </c>
      <c r="V112" s="29">
        <f>LOOKUP(D112,[1]Parámetros!$A$7:$A$24,[1]Parámetros!$B$7:$B$24)</f>
        <v>47.5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47.5</v>
      </c>
      <c r="AC112" s="32">
        <f>IFERROR($A113-LOOKUP($A113,$Z$14:$Z112),"")</f>
        <v>12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240.077</v>
      </c>
      <c r="D113" s="25">
        <f>+VLOOKUP(B113,[1]Balance_Gatún!$A$13:$E$5087,2)</f>
        <v>82.74912573862099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2.7027027027027026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5.072853535123949</v>
      </c>
      <c r="P113" s="24">
        <f>+VLOOKUP(B113,[1]Balance_Madden!$A$12:$V$5087,12)/35.32</f>
        <v>2.6000624184029113</v>
      </c>
      <c r="Q113" s="25">
        <f>+VLOOKUP(B113,[1]Balance_Gatún!$A$13:$AD$5087,15)/35.32</f>
        <v>23.109056303733031</v>
      </c>
      <c r="R113" s="24">
        <f>+VLOOKUP(B113,[1]Balance_Madden!$A$12:$V$5087,14)/35.32</f>
        <v>23.347514287032581</v>
      </c>
      <c r="S113" s="26">
        <f>[1]Balance_Gatún!X112/35.32</f>
        <v>93.449833195158803</v>
      </c>
      <c r="T113" s="25">
        <v>204.69380258397032</v>
      </c>
      <c r="U113" s="25">
        <v>35.857551461759215</v>
      </c>
      <c r="V113" s="29">
        <f>LOOKUP(D113,[1]Parámetros!$A$7:$A$24,[1]Parámetros!$B$7:$B$24)</f>
        <v>47.5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47.5</v>
      </c>
      <c r="AC113" s="32">
        <f>IFERROR($A114-LOOKUP($A114,$Z$14:$Z113),"")</f>
        <v>13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240.14500000000001</v>
      </c>
      <c r="D114" s="25">
        <f>+VLOOKUP(B114,[1]Balance_Gatún!$A$13:$E$5087,2)</f>
        <v>82.70939489379991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2.7027027027027026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5.0666496134681474</v>
      </c>
      <c r="P114" s="24">
        <f>+VLOOKUP(B114,[1]Balance_Madden!$A$12:$V$5087,12)/35.32</f>
        <v>1.363605723031716</v>
      </c>
      <c r="Q114" s="25">
        <f>+VLOOKUP(B114,[1]Balance_Gatún!$A$13:$AD$5087,15)/35.32</f>
        <v>12.10259629363606</v>
      </c>
      <c r="R114" s="24">
        <f>+VLOOKUP(B114,[1]Balance_Madden!$A$12:$V$5087,14)/35.32</f>
        <v>22.111057591661385</v>
      </c>
      <c r="S114" s="26">
        <f>[1]Balance_Gatún!X113/35.32</f>
        <v>82.371585450613182</v>
      </c>
      <c r="T114" s="25">
        <v>47.734117403704545</v>
      </c>
      <c r="U114" s="25">
        <v>28.785252665853712</v>
      </c>
      <c r="V114" s="29">
        <f>LOOKUP(D114,[1]Parámetros!$A$7:$A$24,[1]Parámetros!$B$7:$B$24)</f>
        <v>47.5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47.5</v>
      </c>
      <c r="AC114" s="32">
        <f>IFERROR($A115-LOOKUP($A115,$Z$14:$Z114),"")</f>
        <v>14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240.16300000000001</v>
      </c>
      <c r="D115" s="25">
        <f>+VLOOKUP(B115,[1]Balance_Gatún!$A$13:$E$5087,2)</f>
        <v>82.67224293421495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2.7027027027027026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5.060848381511903</v>
      </c>
      <c r="P115" s="24">
        <f>+VLOOKUP(B115,[1]Balance_Madden!$A$12:$V$5087,12)/35.32</f>
        <v>0.89742437683445919</v>
      </c>
      <c r="Q115" s="25">
        <f>+VLOOKUP(B115,[1]Balance_Gatún!$A$13:$AD$5087,15)/35.32</f>
        <v>7.9593115581797278</v>
      </c>
      <c r="R115" s="24">
        <f>+VLOOKUP(B115,[1]Balance_Madden!$A$12:$V$5087,14)/35.32</f>
        <v>21.644876245464129</v>
      </c>
      <c r="S115" s="26">
        <f>[1]Balance_Gatún!X114/35.32</f>
        <v>78.161172643228269</v>
      </c>
      <c r="T115" s="25">
        <v>37.875891094260012</v>
      </c>
      <c r="U115" s="25">
        <v>20.27148025772458</v>
      </c>
      <c r="V115" s="29">
        <f>LOOKUP(D115,[1]Parámetros!$A$7:$A$24,[1]Parámetros!$B$7:$B$24)</f>
        <v>47.5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47.5</v>
      </c>
      <c r="AC115" s="32">
        <f>IFERROR($A116-LOOKUP($A116,$Z$14:$Z115),"")</f>
        <v>15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240.203</v>
      </c>
      <c r="D116" s="25">
        <f>+VLOOKUP(B116,[1]Balance_Gatún!$A$13:$E$5087,2)</f>
        <v>82.651808110773104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2.7027027027027026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5.0576575094261402</v>
      </c>
      <c r="P116" s="24">
        <f>+VLOOKUP(B116,[1]Balance_Madden!$A$12:$V$5087,12)/35.32</f>
        <v>1.0315063175800339</v>
      </c>
      <c r="Q116" s="25">
        <f>+VLOOKUP(B116,[1]Balance_Gatún!$A$13:$AD$5087,15)/35.32</f>
        <v>9.1413034278681877</v>
      </c>
      <c r="R116" s="24">
        <f>+VLOOKUP(B116,[1]Balance_Madden!$A$12:$V$5087,14)/35.32</f>
        <v>21.778958186209707</v>
      </c>
      <c r="S116" s="26">
        <f>[1]Balance_Gatún!X115/35.32</f>
        <v>79.306241822615164</v>
      </c>
      <c r="T116" s="25">
        <v>46.651994581617785</v>
      </c>
      <c r="U116" s="25">
        <v>29.953333522022159</v>
      </c>
      <c r="V116" s="29">
        <f>LOOKUP(D116,[1]Parámetros!$A$7:$A$24,[1]Parámetros!$B$7:$B$24)</f>
        <v>47.5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47.5</v>
      </c>
      <c r="AC116" s="32">
        <f>IFERROR($A117-LOOKUP($A117,$Z$14:$Z116),"")</f>
        <v>16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240.21799999999999</v>
      </c>
      <c r="D117" s="25">
        <f>+VLOOKUP(B117,[1]Balance_Gatún!$A$13:$E$5087,2)</f>
        <v>82.619631103381877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2.7027027027027026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5.0526331100238044</v>
      </c>
      <c r="P117" s="24">
        <f>+VLOOKUP(B117,[1]Balance_Madden!$A$12:$V$5087,12)/35.32</f>
        <v>0.74940719579429271</v>
      </c>
      <c r="Q117" s="25">
        <f>+VLOOKUP(B117,[1]Balance_Gatún!$A$13:$AD$5087,15)/35.32</f>
        <v>6.6372323822533481</v>
      </c>
      <c r="R117" s="24">
        <f>+VLOOKUP(B117,[1]Balance_Madden!$A$12:$V$5087,14)/35.32</f>
        <v>21.496859064423962</v>
      </c>
      <c r="S117" s="26">
        <f>[1]Balance_Gatún!X116/35.32</f>
        <v>76.744031704640918</v>
      </c>
      <c r="T117" s="25">
        <v>58.55144899206865</v>
      </c>
      <c r="U117" s="25">
        <v>34.15898559240533</v>
      </c>
      <c r="V117" s="29">
        <f>LOOKUP(D117,[1]Parámetros!$A$7:$A$24,[1]Parámetros!$B$7:$B$24)</f>
        <v>47.5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47.5</v>
      </c>
      <c r="AC117" s="32">
        <f>IFERROR($A118-LOOKUP($A118,$Z$14:$Z117),"")</f>
        <v>17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240.29300000000001</v>
      </c>
      <c r="D118" s="25">
        <f>+VLOOKUP(B118,[1]Balance_Gatún!$A$13:$E$5087,2)</f>
        <v>82.629326111641049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2.7027027027027026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5.0541469734204441</v>
      </c>
      <c r="P118" s="24">
        <f>+VLOOKUP(B118,[1]Balance_Madden!$A$12:$V$5087,12)/35.32</f>
        <v>1.4004017520564092</v>
      </c>
      <c r="Q118" s="25">
        <f>+VLOOKUP(B118,[1]Balance_Gatún!$A$13:$AD$5087,15)/35.32</f>
        <v>12.392363241396747</v>
      </c>
      <c r="R118" s="24">
        <f>+VLOOKUP(B118,[1]Balance_Madden!$A$12:$V$5087,14)/35.32</f>
        <v>22.147853620686082</v>
      </c>
      <c r="S118" s="26">
        <f>[1]Balance_Gatún!X117/35.32</f>
        <v>82.516680003484396</v>
      </c>
      <c r="T118" s="25">
        <v>71.876754401139422</v>
      </c>
      <c r="U118" s="25">
        <v>126.47774129636791</v>
      </c>
      <c r="V118" s="29">
        <f>LOOKUP(D118,[1]Parámetros!$A$7:$A$24,[1]Parámetros!$B$7:$B$24)</f>
        <v>47.5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47.5</v>
      </c>
      <c r="AC118" s="32">
        <f>IFERROR($A119-LOOKUP($A119,$Z$14:$Z118),"")</f>
        <v>18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240.60300000000001</v>
      </c>
      <c r="D119" s="25">
        <f>+VLOOKUP(B119,[1]Balance_Gatún!$A$13:$E$5087,2)</f>
        <v>82.636348588503523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2.7027027027027026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5.0552435243868468</v>
      </c>
      <c r="P119" s="24">
        <f>+VLOOKUP(B119,[1]Balance_Madden!$A$12:$V$5087,12)/35.32</f>
        <v>2.5451995050618876</v>
      </c>
      <c r="Q119" s="25">
        <f>+VLOOKUP(B119,[1]Balance_Gatún!$A$13:$AD$5087,15)/35.32</f>
        <v>22.434612260141847</v>
      </c>
      <c r="R119" s="24">
        <f>+VLOOKUP(B119,[1]Balance_Madden!$A$12:$V$5087,14)/35.32</f>
        <v>23.292651373691559</v>
      </c>
      <c r="S119" s="26">
        <f>[1]Balance_Gatún!X118/35.32</f>
        <v>92.571617594708783</v>
      </c>
      <c r="T119" s="25">
        <v>59.137939329785709</v>
      </c>
      <c r="U119" s="25">
        <v>51.371757915392124</v>
      </c>
      <c r="V119" s="29">
        <f>LOOKUP(D119,[1]Parámetros!$A$7:$A$24,[1]Parámetros!$B$7:$B$24)</f>
        <v>47.5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47.5</v>
      </c>
      <c r="AC119" s="32">
        <f>IFERROR($A120-LOOKUP($A120,$Z$14:$Z119),"")</f>
        <v>19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240.63800000000001</v>
      </c>
      <c r="D120" s="25">
        <f>+VLOOKUP(B120,[1]Balance_Gatún!$A$13:$E$5087,2)</f>
        <v>82.600917147237411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2.7027027027027026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5.0497109492111338</v>
      </c>
      <c r="P120" s="24">
        <f>+VLOOKUP(B120,[1]Balance_Madden!$A$12:$V$5087,12)/35.32</f>
        <v>0.76845826339864021</v>
      </c>
      <c r="Q120" s="25">
        <f>+VLOOKUP(B120,[1]Balance_Gatún!$A$13:$AD$5087,15)/35.32</f>
        <v>6.7673602010510292</v>
      </c>
      <c r="R120" s="24">
        <f>+VLOOKUP(B120,[1]Balance_Madden!$A$12:$V$5087,14)/35.32</f>
        <v>21.51591013202831</v>
      </c>
      <c r="S120" s="26">
        <f>[1]Balance_Gatún!X119/35.32</f>
        <v>76.840346184703066</v>
      </c>
      <c r="T120" s="25">
        <v>56.833445306837056</v>
      </c>
      <c r="U120" s="25">
        <v>31.990266633606449</v>
      </c>
      <c r="V120" s="29">
        <f>LOOKUP(D120,[1]Parámetros!$A$7:$A$24,[1]Parámetros!$B$7:$B$24)</f>
        <v>47.5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47.5</v>
      </c>
      <c r="AC120" s="32">
        <f>IFERROR($A121-LOOKUP($A121,$Z$14:$Z120),"")</f>
        <v>20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240.65199999999999</v>
      </c>
      <c r="D121" s="25">
        <f>+VLOOKUP(B121,[1]Balance_Gatún!$A$13:$E$5087,2)</f>
        <v>82.56985311215962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2.7027027027027026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5.0448603390415414</v>
      </c>
      <c r="P121" s="24">
        <f>+VLOOKUP(B121,[1]Balance_Madden!$A$12:$V$5087,12)/35.32</f>
        <v>1.0932490237535517</v>
      </c>
      <c r="Q121" s="25">
        <f>+VLOOKUP(B121,[1]Balance_Gatún!$A$13:$AD$5087,15)/35.32</f>
        <v>9.621950607650108</v>
      </c>
      <c r="R121" s="24">
        <f>+VLOOKUP(B121,[1]Balance_Madden!$A$12:$V$5087,14)/35.32</f>
        <v>21.840700892383222</v>
      </c>
      <c r="S121" s="26">
        <f>[1]Balance_Gatún!X120/35.32</f>
        <v>79.638808494577574</v>
      </c>
      <c r="T121" s="25">
        <v>99.547395493714404</v>
      </c>
      <c r="U121" s="25">
        <v>73.72867094699798</v>
      </c>
      <c r="V121" s="29">
        <f>LOOKUP(D121,[1]Parámetros!$A$7:$A$24,[1]Parámetros!$B$7:$B$24)</f>
        <v>47.5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47.5</v>
      </c>
      <c r="AC121" s="32">
        <f>IFERROR($A122-LOOKUP($A122,$Z$14:$Z121),"")</f>
        <v>21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240.65</v>
      </c>
      <c r="D122" s="25">
        <f>+VLOOKUP(B122,[1]Balance_Gatún!$A$13:$E$5087,2)</f>
        <v>82.537324700471331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2.7027027027027026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5.0397810682983533</v>
      </c>
      <c r="P122" s="24">
        <f>+VLOOKUP(B122,[1]Balance_Madden!$A$12:$V$5087,12)/35.32</f>
        <v>2.3503465478331549</v>
      </c>
      <c r="Q122" s="25">
        <f>+VLOOKUP(B122,[1]Balance_Gatún!$A$13:$AD$5087,15)/35.32</f>
        <v>20.677711352384051</v>
      </c>
      <c r="R122" s="24">
        <f>+VLOOKUP(B122,[1]Balance_Madden!$A$12:$V$5087,14)/35.32</f>
        <v>23.097798416462826</v>
      </c>
      <c r="S122" s="26">
        <f>[1]Balance_Gatún!X121/35.32</f>
        <v>90.635795231589512</v>
      </c>
      <c r="T122" s="25">
        <v>75.515808974979151</v>
      </c>
      <c r="U122" s="25">
        <v>77.051664943345386</v>
      </c>
      <c r="V122" s="29">
        <f>LOOKUP(D122,[1]Parámetros!$A$7:$A$24,[1]Parámetros!$B$7:$B$24)</f>
        <v>47.5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47.5</v>
      </c>
      <c r="AC122" s="32">
        <f>IFERROR($A123-LOOKUP($A123,$Z$14:$Z122),"")</f>
        <v>22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240.761</v>
      </c>
      <c r="D123" s="25">
        <f>+VLOOKUP(B123,[1]Balance_Gatún!$A$13:$E$5087,2)</f>
        <v>82.506132258221726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2.7027027027027026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5.0349104075097095</v>
      </c>
      <c r="P123" s="24">
        <f>+VLOOKUP(B123,[1]Balance_Madden!$A$12:$V$5087,12)/35.32</f>
        <v>1.0003335353517167</v>
      </c>
      <c r="Q123" s="25">
        <f>+VLOOKUP(B123,[1]Balance_Gatún!$A$13:$AD$5087,15)/35.32</f>
        <v>8.7844527767718876</v>
      </c>
      <c r="R123" s="24">
        <f>+VLOOKUP(B123,[1]Balance_Madden!$A$12:$V$5087,14)/35.32</f>
        <v>21.747785403981386</v>
      </c>
      <c r="S123" s="26">
        <f>[1]Balance_Gatún!X122/35.32</f>
        <v>78.686176546568561</v>
      </c>
      <c r="T123" s="25">
        <v>60.474222055556616</v>
      </c>
      <c r="U123" s="25">
        <v>54.672552926518669</v>
      </c>
      <c r="V123" s="29">
        <f>LOOKUP(D123,[1]Parámetros!$A$7:$A$24,[1]Parámetros!$B$7:$B$24)</f>
        <v>47.5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47.5</v>
      </c>
      <c r="AC123" s="32">
        <f>IFERROR($A124-LOOKUP($A124,$Z$14:$Z123),"")</f>
        <v>23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240.821</v>
      </c>
      <c r="D124" s="25">
        <f>+VLOOKUP(B124,[1]Balance_Gatún!$A$13:$E$5087,2)</f>
        <v>82.481705698476702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2.7027027027027026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5.0310962307998679</v>
      </c>
      <c r="P124" s="24">
        <f>+VLOOKUP(B124,[1]Balance_Madden!$A$12:$V$5087,12)/35.32</f>
        <v>0.89218037434178488</v>
      </c>
      <c r="Q124" s="25">
        <f>+VLOOKUP(B124,[1]Balance_Gatún!$A$13:$AD$5087,15)/35.32</f>
        <v>7.8261277296089684</v>
      </c>
      <c r="R124" s="24">
        <f>+VLOOKUP(B124,[1]Balance_Madden!$A$12:$V$5087,14)/35.32</f>
        <v>21.639632242971455</v>
      </c>
      <c r="S124" s="26">
        <f>[1]Balance_Gatún!X123/35.32</f>
        <v>77.68371633458932</v>
      </c>
      <c r="T124" s="25">
        <v>45.903176419873461</v>
      </c>
      <c r="U124" s="25">
        <v>44.427563304352809</v>
      </c>
      <c r="V124" s="29">
        <f>LOOKUP(D124,[1]Parámetros!$A$7:$A$24,[1]Parámetros!$B$7:$B$24)</f>
        <v>47</v>
      </c>
      <c r="W124" s="30" t="str">
        <f t="shared" si="7"/>
        <v>Cambio Calado</v>
      </c>
      <c r="X124" s="31">
        <f t="shared" si="8"/>
        <v>46314</v>
      </c>
      <c r="Y124" s="30">
        <f>IF($W124="Cambio Calado",COUNTIF($W$14:W124,"Cambio Calado"),"")</f>
        <v>6</v>
      </c>
      <c r="Z124" s="31">
        <f t="shared" si="9"/>
        <v>46314</v>
      </c>
      <c r="AA124" s="30">
        <f t="shared" si="10"/>
        <v>47</v>
      </c>
      <c r="AB124" s="29">
        <f>IFERROR(LOOKUP($A124,$Z$14:$Z124,$AA$14:$AA124),$U124)</f>
        <v>47</v>
      </c>
      <c r="AC124" s="32">
        <f>IFERROR($A125-LOOKUP($A125,$Z$14:$Z124),"")</f>
        <v>1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240.857</v>
      </c>
      <c r="D125" s="25">
        <f>+VLOOKUP(B125,[1]Balance_Gatún!$A$13:$E$5087,2)</f>
        <v>82.452345971159829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2.7027027027027026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5.0265117461524911</v>
      </c>
      <c r="P125" s="24">
        <f>+VLOOKUP(B125,[1]Balance_Madden!$A$12:$V$5087,12)/35.32</f>
        <v>2.2348713164048926</v>
      </c>
      <c r="Q125" s="25">
        <f>+VLOOKUP(B125,[1]Balance_Gatún!$A$13:$AD$5087,15)/35.32</f>
        <v>19.587448847841728</v>
      </c>
      <c r="R125" s="24">
        <f>+VLOOKUP(B125,[1]Balance_Madden!$A$12:$V$5087,14)/35.32</f>
        <v>22.982323185034563</v>
      </c>
      <c r="S125" s="26">
        <f>[1]Balance_Gatún!X124/35.32</f>
        <v>89.391988787041143</v>
      </c>
      <c r="T125" s="25">
        <v>100.09624266776075</v>
      </c>
      <c r="U125" s="25">
        <v>69.10508592452905</v>
      </c>
      <c r="V125" s="29">
        <f>LOOKUP(D125,[1]Parámetros!$A$7:$A$24,[1]Parámetros!$B$7:$B$24)</f>
        <v>47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47</v>
      </c>
      <c r="AC125" s="32">
        <f>IFERROR($A126-LOOKUP($A126,$Z$14:$Z125),"")</f>
        <v>2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240.88200000000001</v>
      </c>
      <c r="D126" s="25">
        <f>+VLOOKUP(B126,[1]Balance_Gatún!$A$13:$E$5087,2)</f>
        <v>82.460163800308919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2.7027027027027026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5.0277324903822631</v>
      </c>
      <c r="P126" s="24">
        <f>+VLOOKUP(B126,[1]Balance_Madden!$A$12:$V$5087,12)/35.32</f>
        <v>0.99315195753097563</v>
      </c>
      <c r="Q126" s="25">
        <f>+VLOOKUP(B126,[1]Balance_Gatún!$A$13:$AD$5087,15)/35.32</f>
        <v>8.7025242809239387</v>
      </c>
      <c r="R126" s="24">
        <f>+VLOOKUP(B126,[1]Balance_Madden!$A$12:$V$5087,14)/35.32</f>
        <v>21.740603826160648</v>
      </c>
      <c r="S126" s="26">
        <f>[1]Balance_Gatún!X125/35.32</f>
        <v>78.521189876032395</v>
      </c>
      <c r="T126" s="25">
        <v>113.75105955066908</v>
      </c>
      <c r="U126" s="25">
        <v>97.620255058317312</v>
      </c>
      <c r="V126" s="29">
        <f>LOOKUP(D126,[1]Parámetros!$A$7:$A$24,[1]Parámetros!$B$7:$B$24)</f>
        <v>47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47</v>
      </c>
      <c r="AC126" s="32">
        <f>IFERROR($A127-LOOKUP($A127,$Z$14:$Z126),"")</f>
        <v>3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241.28399999999999</v>
      </c>
      <c r="D127" s="25">
        <f>+VLOOKUP(B127,[1]Balance_Gatún!$A$13:$E$5087,2)</f>
        <v>82.45286176047712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2.7027027027027026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5.0265922860083565</v>
      </c>
      <c r="P127" s="24">
        <f>+VLOOKUP(B127,[1]Balance_Madden!$A$12:$V$5087,12)/35.32</f>
        <v>1.3490879903956599</v>
      </c>
      <c r="Q127" s="25">
        <f>+VLOOKUP(B127,[1]Balance_Gatún!$A$13:$AD$5087,15)/35.32</f>
        <v>11.759163775846396</v>
      </c>
      <c r="R127" s="24">
        <f>+VLOOKUP(B127,[1]Balance_Madden!$A$12:$V$5087,14)/35.32</f>
        <v>22.096539859025331</v>
      </c>
      <c r="S127" s="26">
        <f>[1]Balance_Gatún!X126/35.32</f>
        <v>81.564635669719991</v>
      </c>
      <c r="T127" s="25">
        <v>57.053931840383413</v>
      </c>
      <c r="U127" s="25">
        <v>58.894078501749277</v>
      </c>
      <c r="V127" s="29">
        <f>LOOKUP(D127,[1]Parámetros!$A$7:$A$24,[1]Parámetros!$B$7:$B$24)</f>
        <v>47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47</v>
      </c>
      <c r="AC127" s="32">
        <f>IFERROR($A128-LOOKUP($A128,$Z$14:$Z127),"")</f>
        <v>4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241.38</v>
      </c>
      <c r="D128" s="25">
        <f>+VLOOKUP(B128,[1]Balance_Gatún!$A$13:$E$5087,2)</f>
        <v>82.438659439944786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2.7027027027027026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5.0243746114456842</v>
      </c>
      <c r="P128" s="24">
        <f>+VLOOKUP(B128,[1]Balance_Madden!$A$12:$V$5087,12)/35.32</f>
        <v>1.2844997774221505</v>
      </c>
      <c r="Q128" s="25">
        <f>+VLOOKUP(B128,[1]Balance_Gatún!$A$13:$AD$5087,15)/35.32</f>
        <v>11.180279390948169</v>
      </c>
      <c r="R128" s="24">
        <f>+VLOOKUP(B128,[1]Balance_Madden!$A$12:$V$5087,14)/35.32</f>
        <v>22.031951646051819</v>
      </c>
      <c r="S128" s="26">
        <f>[1]Balance_Gatún!X127/35.32</f>
        <v>80.960089801419599</v>
      </c>
      <c r="T128" s="25">
        <v>60.969628923458295</v>
      </c>
      <c r="U128" s="25">
        <v>43.867333741881502</v>
      </c>
      <c r="V128" s="29">
        <f>LOOKUP(D128,[1]Parámetros!$A$7:$A$24,[1]Parámetros!$B$7:$B$24)</f>
        <v>47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47</v>
      </c>
      <c r="AC128" s="32">
        <f>IFERROR($A129-LOOKUP($A129,$Z$14:$Z128),"")</f>
        <v>5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241.435</v>
      </c>
      <c r="D129" s="25">
        <f>+VLOOKUP(B129,[1]Balance_Gatún!$A$13:$E$5087,2)</f>
        <v>82.419334176794948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2.7027027027027026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5.0213569958097901</v>
      </c>
      <c r="P129" s="24">
        <f>+VLOOKUP(B129,[1]Balance_Madden!$A$12:$V$5087,12)/35.32</f>
        <v>1.9687537152878489</v>
      </c>
      <c r="Q129" s="25">
        <f>+VLOOKUP(B129,[1]Balance_Gatún!$A$13:$AD$5087,15)/35.32</f>
        <v>17.11956563688026</v>
      </c>
      <c r="R129" s="24">
        <f>+VLOOKUP(B129,[1]Balance_Madden!$A$12:$V$5087,14)/35.32</f>
        <v>22.716205583917517</v>
      </c>
      <c r="S129" s="26">
        <f>[1]Balance_Gatún!X128/35.32</f>
        <v>86.864458167669085</v>
      </c>
      <c r="T129" s="25">
        <v>51.39400126353123</v>
      </c>
      <c r="U129" s="25">
        <v>74.251272557746603</v>
      </c>
      <c r="V129" s="29">
        <f>LOOKUP(D129,[1]Parámetros!$A$7:$A$24,[1]Parámetros!$B$7:$B$24)</f>
        <v>47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47</v>
      </c>
      <c r="AC129" s="32">
        <f>IFERROR($A130-LOOKUP($A130,$Z$14:$Z129),"")</f>
        <v>6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241.81299999999999</v>
      </c>
      <c r="D130" s="25">
        <f>+VLOOKUP(B130,[1]Balance_Gatún!$A$13:$E$5087,2)</f>
        <v>82.446084526308013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2.7027027027027026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5.0255340293813591</v>
      </c>
      <c r="P130" s="24">
        <f>+VLOOKUP(B130,[1]Balance_Madden!$A$12:$V$5087,12)/35.32</f>
        <v>0.69571003862505543</v>
      </c>
      <c r="Q130" s="25">
        <f>+VLOOKUP(B130,[1]Balance_Gatún!$A$13:$AD$5087,15)/35.32</f>
        <v>6.0224421085391384</v>
      </c>
      <c r="R130" s="24">
        <f>+VLOOKUP(B130,[1]Balance_Madden!$A$12:$V$5087,14)/35.32</f>
        <v>21.443161907254723</v>
      </c>
      <c r="S130" s="26">
        <f>[1]Balance_Gatún!X129/35.32</f>
        <v>75.815668547048801</v>
      </c>
      <c r="T130" s="25">
        <v>85.433425096942514</v>
      </c>
      <c r="U130" s="25">
        <v>72.800633080122722</v>
      </c>
      <c r="V130" s="29">
        <f>LOOKUP(D130,[1]Parámetros!$A$7:$A$24,[1]Parámetros!$B$7:$B$24)</f>
        <v>47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47</v>
      </c>
      <c r="AC130" s="32">
        <f>IFERROR($A131-LOOKUP($A131,$Z$14:$Z130),"")</f>
        <v>7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242.11</v>
      </c>
      <c r="D131" s="25">
        <f>+VLOOKUP(B131,[1]Balance_Gatún!$A$13:$E$5087,2)</f>
        <v>82.454262756644113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2.7027027027027026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5.0268110498050804</v>
      </c>
      <c r="P131" s="24">
        <f>+VLOOKUP(B131,[1]Balance_Madden!$A$12:$V$5087,12)/35.32</f>
        <v>0.65028414567452741</v>
      </c>
      <c r="Q131" s="25">
        <f>+VLOOKUP(B131,[1]Balance_Gatún!$A$13:$AD$5087,15)/35.32</f>
        <v>5.6084249261483103</v>
      </c>
      <c r="R131" s="24">
        <f>+VLOOKUP(B131,[1]Balance_Madden!$A$12:$V$5087,14)/35.32</f>
        <v>21.397736014304201</v>
      </c>
      <c r="S131" s="26">
        <f>[1]Balance_Gatún!X130/35.32</f>
        <v>75.416428211973241</v>
      </c>
      <c r="T131" s="25">
        <v>71.62648060046638</v>
      </c>
      <c r="U131" s="25">
        <v>46.148220617700396</v>
      </c>
      <c r="V131" s="29">
        <f>LOOKUP(D131,[1]Parámetros!$A$7:$A$24,[1]Parámetros!$B$7:$B$24)</f>
        <v>47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47</v>
      </c>
      <c r="AC131" s="32">
        <f>IFERROR($A132-LOOKUP($A132,$Z$14:$Z131),"")</f>
        <v>8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242.346</v>
      </c>
      <c r="D132" s="25">
        <f>+VLOOKUP(B132,[1]Balance_Gatún!$A$13:$E$5087,2)</f>
        <v>82.444483310703063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2.7027027027027026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5.0252840015701734</v>
      </c>
      <c r="P132" s="24">
        <f>+VLOOKUP(B132,[1]Balance_Madden!$A$12:$V$5087,12)/35.32</f>
        <v>0.59558175254529633</v>
      </c>
      <c r="Q132" s="25">
        <f>+VLOOKUP(B132,[1]Balance_Gatún!$A$13:$AD$5087,15)/35.32</f>
        <v>5.1205010773926531</v>
      </c>
      <c r="R132" s="24">
        <f>+VLOOKUP(B132,[1]Balance_Madden!$A$12:$V$5087,14)/35.32</f>
        <v>21.343033621174968</v>
      </c>
      <c r="S132" s="26">
        <f>[1]Balance_Gatún!X131/35.32</f>
        <v>74.910834357169833</v>
      </c>
      <c r="T132" s="25">
        <v>43.717313470291721</v>
      </c>
      <c r="U132" s="25">
        <v>40.497187379686039</v>
      </c>
      <c r="V132" s="29">
        <f>LOOKUP(D132,[1]Parámetros!$A$7:$A$24,[1]Parámetros!$B$7:$B$24)</f>
        <v>47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47</v>
      </c>
      <c r="AC132" s="32">
        <f>IFERROR($A133-LOOKUP($A133,$Z$14:$Z132),"")</f>
        <v>9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242.54400000000001</v>
      </c>
      <c r="D133" s="25">
        <f>+VLOOKUP(B133,[1]Balance_Gatún!$A$13:$E$5087,2)</f>
        <v>82.434140660095224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2.7027027027027026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5.0236690096319618</v>
      </c>
      <c r="P133" s="24">
        <f>+VLOOKUP(B133,[1]Balance_Madden!$A$12:$V$5087,12)/35.32</f>
        <v>1.2293107490213597</v>
      </c>
      <c r="Q133" s="25">
        <f>+VLOOKUP(B133,[1]Balance_Gatún!$A$13:$AD$5087,15)/35.32</f>
        <v>10.54085170000932</v>
      </c>
      <c r="R133" s="24">
        <f>+VLOOKUP(B133,[1]Balance_Madden!$A$12:$V$5087,14)/35.32</f>
        <v>21.97676261765103</v>
      </c>
      <c r="S133" s="26">
        <f>[1]Balance_Gatún!X132/35.32</f>
        <v>80.312497346571675</v>
      </c>
      <c r="T133" s="25">
        <v>94.845521073450229</v>
      </c>
      <c r="U133" s="25">
        <v>44.838127189272456</v>
      </c>
      <c r="V133" s="29">
        <f>LOOKUP(D133,[1]Parámetros!$A$7:$A$24,[1]Parámetros!$B$7:$B$24)</f>
        <v>47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47</v>
      </c>
      <c r="AC133" s="32">
        <f>IFERROR($A134-LOOKUP($A134,$Z$14:$Z133),"")</f>
        <v>10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242.72</v>
      </c>
      <c r="D134" s="25">
        <f>+VLOOKUP(B134,[1]Balance_Gatún!$A$13:$E$5087,2)</f>
        <v>82.415269307916518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2.7027027027027026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5.0207222716256856</v>
      </c>
      <c r="P134" s="24">
        <f>+VLOOKUP(B134,[1]Balance_Madden!$A$12:$V$5087,12)/35.32</f>
        <v>1.1289410439306229</v>
      </c>
      <c r="Q134" s="25">
        <f>+VLOOKUP(B134,[1]Balance_Gatún!$A$13:$AD$5087,15)/35.32</f>
        <v>9.6561288558911134</v>
      </c>
      <c r="R134" s="24">
        <f>+VLOOKUP(B134,[1]Balance_Madden!$A$12:$V$5087,14)/35.32</f>
        <v>21.876392912560295</v>
      </c>
      <c r="S134" s="26">
        <f>[1]Balance_Gatún!X133/35.32</f>
        <v>79.393676772465795</v>
      </c>
      <c r="T134" s="25">
        <v>85.908200429490464</v>
      </c>
      <c r="U134" s="25">
        <v>40.291184593691185</v>
      </c>
      <c r="V134" s="29">
        <f>LOOKUP(D134,[1]Parámetros!$A$7:$A$24,[1]Parámetros!$B$7:$B$24)</f>
        <v>47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47</v>
      </c>
      <c r="AC134" s="32">
        <f>IFERROR($A135-LOOKUP($A135,$Z$14:$Z134),"")</f>
        <v>11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242.87899999999999</v>
      </c>
      <c r="D135" s="25">
        <f>+VLOOKUP(B135,[1]Balance_Gatún!$A$13:$E$5087,2)</f>
        <v>82.396322517982881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2.7027027027027026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5.0177637541084632</v>
      </c>
      <c r="P135" s="24">
        <f>+VLOOKUP(B135,[1]Balance_Madden!$A$12:$V$5087,12)/35.32</f>
        <v>0.90055378147835974</v>
      </c>
      <c r="Q135" s="25">
        <f>+VLOOKUP(B135,[1]Balance_Gatún!$A$13:$AD$5087,15)/35.32</f>
        <v>7.6851788683400519</v>
      </c>
      <c r="R135" s="24">
        <f>+VLOOKUP(B135,[1]Balance_Madden!$A$12:$V$5087,14)/35.32</f>
        <v>21.648005650108029</v>
      </c>
      <c r="S135" s="26">
        <f>[1]Balance_Gatún!X134/35.32</f>
        <v>77.388492750110402</v>
      </c>
      <c r="T135" s="25">
        <v>40.034455211041333</v>
      </c>
      <c r="U135" s="25">
        <v>39.557654685497894</v>
      </c>
      <c r="V135" s="29">
        <f>LOOKUP(D135,[1]Parámetros!$A$7:$A$24,[1]Parámetros!$B$7:$B$24)</f>
        <v>47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47</v>
      </c>
      <c r="AC135" s="32">
        <f>IFERROR($A136-LOOKUP($A136,$Z$14:$Z135),"")</f>
        <v>12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243.024</v>
      </c>
      <c r="D136" s="25">
        <f>+VLOOKUP(B136,[1]Balance_Gatún!$A$13:$E$5087,2)</f>
        <v>82.376136277053917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2.7027027027027026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5.0146116978707358</v>
      </c>
      <c r="P136" s="24">
        <f>+VLOOKUP(B136,[1]Balance_Madden!$A$12:$V$5087,12)/35.32</f>
        <v>1.4608561940682137</v>
      </c>
      <c r="Q136" s="25">
        <f>+VLOOKUP(B136,[1]Balance_Gatún!$A$13:$AD$5087,15)/35.32</f>
        <v>12.440435306530576</v>
      </c>
      <c r="R136" s="24">
        <f>+VLOOKUP(B136,[1]Balance_Madden!$A$12:$V$5087,14)/35.32</f>
        <v>22.208308062697885</v>
      </c>
      <c r="S136" s="26">
        <f>[1]Balance_Gatún!X135/35.32</f>
        <v>82.107275649672403</v>
      </c>
      <c r="T136" s="25">
        <v>154.68412596180875</v>
      </c>
      <c r="U136" s="25">
        <v>56.949022130690039</v>
      </c>
      <c r="V136" s="29">
        <f>LOOKUP(D136,[1]Parámetros!$A$7:$A$24,[1]Parámetros!$B$7:$B$24)</f>
        <v>47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47</v>
      </c>
      <c r="AC136" s="32">
        <f>IFERROR($A137-LOOKUP($A137,$Z$14:$Z136),"")</f>
        <v>13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243.12100000000001</v>
      </c>
      <c r="D137" s="25">
        <f>+VLOOKUP(B137,[1]Balance_Gatún!$A$13:$E$5087,2)</f>
        <v>82.35724487376693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2.7027027027027026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5.0116618289090153</v>
      </c>
      <c r="P137" s="24">
        <f>+VLOOKUP(B137,[1]Balance_Madden!$A$12:$V$5087,12)/35.32</f>
        <v>1.4369334402305034</v>
      </c>
      <c r="Q137" s="25">
        <f>+VLOOKUP(B137,[1]Balance_Gatún!$A$13:$AD$5087,15)/35.32</f>
        <v>12.218605022949863</v>
      </c>
      <c r="R137" s="24">
        <f>+VLOOKUP(B137,[1]Balance_Madden!$A$12:$V$5087,14)/35.32</f>
        <v>22.184385308860175</v>
      </c>
      <c r="S137" s="26">
        <f>[1]Balance_Gatún!X136/35.32</f>
        <v>81.851311406730005</v>
      </c>
      <c r="T137" s="25">
        <v>134.47879779015221</v>
      </c>
      <c r="U137" s="25">
        <v>45.026535618167458</v>
      </c>
      <c r="V137" s="29">
        <f>LOOKUP(D137,[1]Parámetros!$A$7:$A$24,[1]Parámetros!$B$7:$B$24)</f>
        <v>47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47</v>
      </c>
      <c r="AC137" s="32">
        <f>IFERROR($A138-LOOKUP($A138,$Z$14:$Z137),"")</f>
        <v>14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243.40100000000001</v>
      </c>
      <c r="D138" s="25">
        <f>+VLOOKUP(B138,[1]Balance_Gatún!$A$13:$E$5087,2)</f>
        <v>82.344915051140006</v>
      </c>
      <c r="E138" s="24">
        <f>+VLOOKUP(B138,[1]Balance_Madden!$A$12:$E$5087,5)/35.32</f>
        <v>112.39493204983013</v>
      </c>
      <c r="F138" s="26">
        <f>+VLOOKUP(B138,[1]Balance_Gatún!$A$13:$E$5087,5)/35.32</f>
        <v>84.937712344280854</v>
      </c>
      <c r="G138" s="24">
        <f>+VLOOKUP(B138,[1]Balance_Madden!$A$12:$K$5087,9)/111</f>
        <v>2.7027027027027026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5.0097365425489651</v>
      </c>
      <c r="P138" s="24">
        <f>+VLOOKUP(B138,[1]Balance_Madden!$A$12:$V$5087,12)/35.32</f>
        <v>1.2517745344891034</v>
      </c>
      <c r="Q138" s="25">
        <f>+VLOOKUP(B138,[1]Balance_Gatún!$A$13:$AD$5087,15)/35.32</f>
        <v>10.604663449930177</v>
      </c>
      <c r="R138" s="24">
        <f>+VLOOKUP(B138,[1]Balance_Madden!$A$12:$V$5087,14)/35.32</f>
        <v>21.999226403118776</v>
      </c>
      <c r="S138" s="26">
        <f>[1]Balance_Gatún!X137/35.32</f>
        <v>80.215091675857735</v>
      </c>
      <c r="T138" s="25">
        <v>147.32603309026803</v>
      </c>
      <c r="U138" s="25">
        <v>108.19965762334256</v>
      </c>
      <c r="V138" s="29">
        <f>LOOKUP(D138,[1]Parámetros!$A$7:$A$24,[1]Parámetros!$B$7:$B$24)</f>
        <v>47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47</v>
      </c>
      <c r="AC138" s="32">
        <f>IFERROR($A139-LOOKUP($A139,$Z$14:$Z138),"")</f>
        <v>15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244.00200000000001</v>
      </c>
      <c r="D139" s="25">
        <f>+VLOOKUP(B139,[1]Balance_Gatún!$A$13:$E$5087,2)</f>
        <v>82.354071756049407</v>
      </c>
      <c r="E139" s="24">
        <f>+VLOOKUP(B139,[1]Balance_Madden!$A$12:$E$5087,5)/35.32</f>
        <v>57.508805209513021</v>
      </c>
      <c r="F139" s="26">
        <f>+VLOOKUP(B139,[1]Balance_Gatún!$A$13:$E$5087,5)/35.32</f>
        <v>56.625141562853905</v>
      </c>
      <c r="G139" s="24">
        <f>+VLOOKUP(B139,[1]Balance_Madden!$A$12:$K$5087,9)/111</f>
        <v>2.7027027027027026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5.0111663505517647</v>
      </c>
      <c r="P139" s="24">
        <f>+VLOOKUP(B139,[1]Balance_Madden!$A$12:$V$5087,12)/35.32</f>
        <v>1.7357223953419068</v>
      </c>
      <c r="Q139" s="25">
        <f>+VLOOKUP(B139,[1]Balance_Gatún!$A$13:$AD$5087,15)/35.32</f>
        <v>14.594844966124652</v>
      </c>
      <c r="R139" s="24">
        <f>+VLOOKUP(B139,[1]Balance_Madden!$A$12:$V$5087,14)/35.32</f>
        <v>22.483174263971577</v>
      </c>
      <c r="S139" s="26">
        <f>[1]Balance_Gatún!X138/35.32</f>
        <v>84.221817997565935</v>
      </c>
      <c r="T139" s="25">
        <v>153.71348700386881</v>
      </c>
      <c r="U139" s="25">
        <v>72.267083988264702</v>
      </c>
      <c r="V139" s="29">
        <f>LOOKUP(D139,[1]Parámetros!$A$7:$A$24,[1]Parámetros!$B$7:$B$24)</f>
        <v>47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47</v>
      </c>
      <c r="AC139" s="32">
        <f>IFERROR($A140-LOOKUP($A140,$Z$14:$Z139),"")</f>
        <v>16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244.23500000000001</v>
      </c>
      <c r="D140" s="25">
        <f>+VLOOKUP(B140,[1]Balance_Gatún!$A$13:$E$5087,2)</f>
        <v>82.340836354004665</v>
      </c>
      <c r="E140" s="24">
        <f>+VLOOKUP(B140,[1]Balance_Madden!$A$12:$E$5087,5)/35.32</f>
        <v>46.483125707814274</v>
      </c>
      <c r="F140" s="26">
        <f>+VLOOKUP(B140,[1]Balance_Gatún!$A$13:$E$5087,5)/35.32</f>
        <v>113.25028312570781</v>
      </c>
      <c r="G140" s="24">
        <f>+VLOOKUP(B140,[1]Balance_Madden!$A$12:$K$5087,9)/111</f>
        <v>2.7027027027027026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5.00909965909986</v>
      </c>
      <c r="P140" s="24">
        <f>+VLOOKUP(B140,[1]Balance_Madden!$A$12:$V$5087,12)/35.32</f>
        <v>2.1184066681127587</v>
      </c>
      <c r="Q140" s="25">
        <f>+VLOOKUP(B140,[1]Balance_Gatún!$A$13:$AD$5087,15)/35.32</f>
        <v>17.757269915080496</v>
      </c>
      <c r="R140" s="24">
        <f>+VLOOKUP(B140,[1]Balance_Madden!$A$12:$V$5087,14)/35.32</f>
        <v>22.865858536742429</v>
      </c>
      <c r="S140" s="26">
        <f>[1]Balance_Gatún!X139/35.32</f>
        <v>87.360328541187897</v>
      </c>
      <c r="T140" s="25">
        <v>92.294960472008114</v>
      </c>
      <c r="U140" s="25">
        <v>47.76335913785843</v>
      </c>
      <c r="V140" s="29">
        <f>LOOKUP(D140,[1]Parámetros!$A$7:$A$24,[1]Parámetros!$B$7:$B$24)</f>
        <v>47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47</v>
      </c>
      <c r="AC140" s="32">
        <f>IFERROR($A141-LOOKUP($A141,$Z$14:$Z140),"")</f>
        <v>17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244.392</v>
      </c>
      <c r="D141" s="25">
        <f>+VLOOKUP(B141,[1]Balance_Gatún!$A$13:$E$5087,2)</f>
        <v>82.364657412039051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2.7027027027027026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5.0128192874759794</v>
      </c>
      <c r="P141" s="24">
        <f>+VLOOKUP(B141,[1]Balance_Madden!$A$12:$V$5087,12)/35.32</f>
        <v>1.0211966031932171</v>
      </c>
      <c r="Q141" s="25">
        <f>+VLOOKUP(B141,[1]Balance_Gatún!$A$13:$AD$5087,15)/35.32</f>
        <v>8.5457966518316759</v>
      </c>
      <c r="R141" s="24">
        <f>+VLOOKUP(B141,[1]Balance_Madden!$A$12:$V$5087,14)/35.32</f>
        <v>21.768648471822885</v>
      </c>
      <c r="S141" s="26">
        <f>[1]Balance_Gatún!X140/35.32</f>
        <v>78.19189639111346</v>
      </c>
      <c r="T141" s="25">
        <v>72.899853934388091</v>
      </c>
      <c r="U141" s="25">
        <v>38.617409553917199</v>
      </c>
      <c r="V141" s="29">
        <f>LOOKUP(D141,[1]Parámetros!$A$7:$A$24,[1]Parámetros!$B$7:$B$24)</f>
        <v>47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47</v>
      </c>
      <c r="AC141" s="32">
        <f>IFERROR($A142-LOOKUP($A142,$Z$14:$Z141),"")</f>
        <v>18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244.62299999999999</v>
      </c>
      <c r="D142" s="25">
        <f>+VLOOKUP(B142,[1]Balance_Gatún!$A$13:$E$5087,2)</f>
        <v>82.349042046412208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2.7027027027027026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5.0103809676916429</v>
      </c>
      <c r="P142" s="24">
        <f>+VLOOKUP(B142,[1]Balance_Madden!$A$12:$V$5087,12)/35.32</f>
        <v>1.7985136265639818</v>
      </c>
      <c r="Q142" s="25">
        <f>+VLOOKUP(B142,[1]Balance_Gatún!$A$13:$AD$5087,15)/35.32</f>
        <v>15.003945440745136</v>
      </c>
      <c r="R142" s="24">
        <f>+VLOOKUP(B142,[1]Balance_Madden!$A$12:$V$5087,14)/35.32</f>
        <v>22.545965495193652</v>
      </c>
      <c r="S142" s="26">
        <f>[1]Balance_Gatún!X141/35.32</f>
        <v>84.621830534051313</v>
      </c>
      <c r="T142" s="25">
        <v>55.520688700808741</v>
      </c>
      <c r="U142" s="25">
        <v>34.356003309927182</v>
      </c>
      <c r="V142" s="29">
        <f>LOOKUP(D142,[1]Parámetros!$A$7:$A$24,[1]Parámetros!$B$7:$B$24)</f>
        <v>47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47</v>
      </c>
      <c r="AC142" s="32">
        <f>IFERROR($A143-LOOKUP($A143,$Z$14:$Z142),"")</f>
        <v>19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244.75</v>
      </c>
      <c r="D143" s="25">
        <f>+VLOOKUP(B143,[1]Balance_Gatún!$A$13:$E$5087,2)</f>
        <v>82.317885712700715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2.7027027027027026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5.0055159452060005</v>
      </c>
      <c r="P143" s="24">
        <f>+VLOOKUP(B143,[1]Balance_Madden!$A$12:$V$5087,12)/35.32</f>
        <v>1.736485075827273</v>
      </c>
      <c r="Q143" s="25">
        <f>+VLOOKUP(B143,[1]Balance_Gatún!$A$13:$AD$5087,15)/35.32</f>
        <v>14.457464261283997</v>
      </c>
      <c r="R143" s="24">
        <f>+VLOOKUP(B143,[1]Balance_Madden!$A$12:$V$5087,14)/35.32</f>
        <v>22.483936944456943</v>
      </c>
      <c r="S143" s="26">
        <f>[1]Balance_Gatún!X142/35.32</f>
        <v>84.019054487945724</v>
      </c>
      <c r="T143" s="25">
        <v>84.332708855904201</v>
      </c>
      <c r="U143" s="25">
        <v>34.304646299100277</v>
      </c>
      <c r="V143" s="29">
        <f>LOOKUP(D143,[1]Parámetros!$A$7:$A$24,[1]Parámetros!$B$7:$B$24)</f>
        <v>47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47</v>
      </c>
      <c r="AC143" s="32">
        <f>IFERROR($A144-LOOKUP($A144,$Z$14:$Z143),"")</f>
        <v>20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244.92599999999999</v>
      </c>
      <c r="D144" s="25">
        <f>+VLOOKUP(B144,[1]Balance_Gatún!$A$13:$E$5087,2)</f>
        <v>82.303424707976234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2.7027027027027026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5.0032578774307286</v>
      </c>
      <c r="P144" s="24">
        <f>+VLOOKUP(B144,[1]Balance_Madden!$A$12:$V$5087,12)/35.32</f>
        <v>1.135870158647307</v>
      </c>
      <c r="Q144" s="25">
        <f>+VLOOKUP(B144,[1]Balance_Gatún!$A$13:$AD$5087,15)/35.32</f>
        <v>9.4342566637672434</v>
      </c>
      <c r="R144" s="24">
        <f>+VLOOKUP(B144,[1]Balance_Madden!$A$12:$V$5087,14)/35.32</f>
        <v>21.883322027276975</v>
      </c>
      <c r="S144" s="26">
        <f>[1]Balance_Gatún!X143/35.32</f>
        <v>78.969718003119979</v>
      </c>
      <c r="T144" s="25">
        <v>78.910895454299464</v>
      </c>
      <c r="U144" s="25">
        <v>35.218633636930932</v>
      </c>
      <c r="V144" s="29">
        <f>LOOKUP(D144,[1]Parámetros!$A$7:$A$24,[1]Parámetros!$B$7:$B$24)</f>
        <v>47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47</v>
      </c>
      <c r="AC144" s="32">
        <f>IFERROR($A145-LOOKUP($A145,$Z$14:$Z144),"")</f>
        <v>21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245.05799999999999</v>
      </c>
      <c r="D145" s="25">
        <f>+VLOOKUP(B145,[1]Balance_Gatún!$A$13:$E$5087,2)</f>
        <v>82.276009388415048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2.7027027027027026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4.9989770096190229</v>
      </c>
      <c r="P145" s="24">
        <f>+VLOOKUP(B145,[1]Balance_Madden!$A$12:$V$5087,12)/35.32</f>
        <v>0.74294952039304729</v>
      </c>
      <c r="Q145" s="25">
        <f>+VLOOKUP(B145,[1]Balance_Gatún!$A$13:$AD$5087,15)/35.32</f>
        <v>6.1583320828453161</v>
      </c>
      <c r="R145" s="24">
        <f>+VLOOKUP(B145,[1]Balance_Madden!$A$12:$V$5087,14)/35.32</f>
        <v>21.490401389022715</v>
      </c>
      <c r="S145" s="26">
        <f>[1]Balance_Gatún!X144/35.32</f>
        <v>75.644258012383673</v>
      </c>
      <c r="T145" s="25">
        <v>153.39546408649119</v>
      </c>
      <c r="U145" s="25">
        <v>82.483574882405946</v>
      </c>
      <c r="V145" s="29">
        <f>LOOKUP(D145,[1]Parámetros!$A$7:$A$24,[1]Parámetros!$B$7:$B$24)</f>
        <v>47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47</v>
      </c>
      <c r="AC145" s="32">
        <f>IFERROR($A146-LOOKUP($A146,$Z$14:$Z145),"")</f>
        <v>22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245.285</v>
      </c>
      <c r="D146" s="25">
        <f>+VLOOKUP(B146,[1]Balance_Gatún!$A$13:$E$5087,2)</f>
        <v>82.311176121600212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2.7027027027027026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5.00446825095944</v>
      </c>
      <c r="P146" s="24">
        <f>+VLOOKUP(B146,[1]Balance_Madden!$A$12:$V$5087,12)/35.32</f>
        <v>1.3134431326479006</v>
      </c>
      <c r="Q146" s="25">
        <f>+VLOOKUP(B146,[1]Balance_Gatún!$A$13:$AD$5087,15)/35.32</f>
        <v>10.86126815532255</v>
      </c>
      <c r="R146" s="24">
        <f>+VLOOKUP(B146,[1]Balance_Madden!$A$12:$V$5087,14)/35.32</f>
        <v>22.060895001277572</v>
      </c>
      <c r="S146" s="26">
        <f>[1]Balance_Gatún!X145/35.32</f>
        <v>80.410735147596696</v>
      </c>
      <c r="T146" s="25">
        <v>152.94291907956011</v>
      </c>
      <c r="U146" s="25">
        <v>111.94700860128678</v>
      </c>
      <c r="V146" s="29">
        <f>LOOKUP(D146,[1]Parámetros!$A$7:$A$24,[1]Parámetros!$B$7:$B$24)</f>
        <v>47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47</v>
      </c>
      <c r="AC146" s="32">
        <f>IFERROR($A147-LOOKUP($A147,$Z$14:$Z146),"")</f>
        <v>23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245.91399999999999</v>
      </c>
      <c r="D147" s="25">
        <f>+VLOOKUP(B147,[1]Balance_Gatún!$A$13:$E$5087,2)</f>
        <v>82.344997146187708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2.7027027027027026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5.009749361587839</v>
      </c>
      <c r="P147" s="24">
        <f>+VLOOKUP(B147,[1]Balance_Madden!$A$12:$V$5087,12)/35.32</f>
        <v>0.60887891774926284</v>
      </c>
      <c r="Q147" s="25">
        <f>+VLOOKUP(B147,[1]Balance_Gatún!$A$13:$AD$5087,15)/35.32</f>
        <v>4.9978276247114932</v>
      </c>
      <c r="R147" s="24">
        <f>+VLOOKUP(B147,[1]Balance_Madden!$A$12:$V$5087,14)/35.32</f>
        <v>21.356330786378933</v>
      </c>
      <c r="S147" s="26">
        <f>[1]Balance_Gatún!X146/35.32</f>
        <v>74.608404184194782</v>
      </c>
      <c r="T147" s="25">
        <v>140.08128447965612</v>
      </c>
      <c r="U147" s="25">
        <v>58.677014706942437</v>
      </c>
      <c r="V147" s="29">
        <f>LOOKUP(D147,[1]Parámetros!$A$7:$A$24,[1]Parámetros!$B$7:$B$24)</f>
        <v>47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47</v>
      </c>
      <c r="AC147" s="32">
        <f>IFERROR($A148-LOOKUP($A148,$Z$14:$Z147),"")</f>
        <v>24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246.095</v>
      </c>
      <c r="D148" s="25">
        <f>+VLOOKUP(B148,[1]Balance_Gatún!$A$13:$E$5087,2)</f>
        <v>82.32949906159503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2.7027027027027026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5.007329355090091</v>
      </c>
      <c r="P148" s="24">
        <f>+VLOOKUP(B148,[1]Balance_Madden!$A$12:$V$5087,12)/35.32</f>
        <v>1.2990989765647984</v>
      </c>
      <c r="Q148" s="25">
        <f>+VLOOKUP(B148,[1]Balance_Gatún!$A$13:$AD$5087,15)/35.32</f>
        <v>10.637153194812168</v>
      </c>
      <c r="R148" s="24">
        <f>+VLOOKUP(B148,[1]Balance_Madden!$A$12:$V$5087,14)/35.32</f>
        <v>22.046550845194467</v>
      </c>
      <c r="S148" s="26">
        <f>[1]Balance_Gatún!X147/35.32</f>
        <v>80.2197270177261</v>
      </c>
      <c r="T148" s="25">
        <v>124.55919011001114</v>
      </c>
      <c r="U148" s="25">
        <v>53.627908606119263</v>
      </c>
      <c r="V148" s="29">
        <f>LOOKUP(D148,[1]Parámetros!$A$7:$A$24,[1]Parámetros!$B$7:$B$24)</f>
        <v>47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47</v>
      </c>
      <c r="AC148" s="32">
        <f>IFERROR($A149-LOOKUP($A149,$Z$14:$Z148),"")</f>
        <v>25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246.21600000000001</v>
      </c>
      <c r="D149" s="25">
        <f>+VLOOKUP(B149,[1]Balance_Gatún!$A$13:$E$5087,2)</f>
        <v>82.300371024656556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2.7027027027027026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5.0027810486051081</v>
      </c>
      <c r="P149" s="24">
        <f>+VLOOKUP(B149,[1]Balance_Madden!$A$12:$V$5087,12)/35.32</f>
        <v>0.92552588596941743</v>
      </c>
      <c r="Q149" s="25">
        <f>+VLOOKUP(B149,[1]Balance_Gatún!$A$13:$AD$5087,15)/35.32</f>
        <v>7.564010332286931</v>
      </c>
      <c r="R149" s="24">
        <f>+VLOOKUP(B149,[1]Balance_Madden!$A$12:$V$5087,14)/35.32</f>
        <v>21.672977754599088</v>
      </c>
      <c r="S149" s="26">
        <f>[1]Balance_Gatún!X148/35.32</f>
        <v>77.093954119515345</v>
      </c>
      <c r="T149" s="25">
        <v>167.78704151538648</v>
      </c>
      <c r="U149" s="25">
        <v>64.978511709950041</v>
      </c>
      <c r="V149" s="29">
        <f>LOOKUP(D149,[1]Parámetros!$A$7:$A$24,[1]Parámetros!$B$7:$B$24)</f>
        <v>47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47</v>
      </c>
      <c r="AC149" s="32">
        <f>IFERROR($A150-LOOKUP($A150,$Z$14:$Z149),"")</f>
        <v>26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246.316</v>
      </c>
      <c r="D150" s="25">
        <f>+VLOOKUP(B150,[1]Balance_Gatún!$A$13:$E$5087,2)</f>
        <v>82.274123830122619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2.7027027027027026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4.9986825820533278</v>
      </c>
      <c r="P150" s="24">
        <f>+VLOOKUP(B150,[1]Balance_Madden!$A$12:$V$5087,12)/35.32</f>
        <v>1.9266400590363999</v>
      </c>
      <c r="Q150" s="25">
        <f>+VLOOKUP(B150,[1]Balance_Gatún!$A$13:$AD$5087,15)/35.32</f>
        <v>15.720803027671757</v>
      </c>
      <c r="R150" s="24">
        <f>+VLOOKUP(B150,[1]Balance_Madden!$A$12:$V$5087,14)/35.32</f>
        <v>22.674091927666069</v>
      </c>
      <c r="S150" s="26">
        <f>[1]Balance_Gatún!X149/35.32</f>
        <v>85.203322033481356</v>
      </c>
      <c r="T150" s="25">
        <v>154.85647474870919</v>
      </c>
      <c r="U150" s="25">
        <v>97.549360827433318</v>
      </c>
      <c r="V150" s="29">
        <f>LOOKUP(D150,[1]Parámetros!$A$7:$A$24,[1]Parámetros!$B$7:$B$24)</f>
        <v>47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47</v>
      </c>
      <c r="AC150" s="32">
        <f>IFERROR($A151-LOOKUP($A151,$Z$14:$Z150),"")</f>
        <v>27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246.47200000000001</v>
      </c>
      <c r="D151" s="25">
        <f>+VLOOKUP(B151,[1]Balance_Gatún!$A$13:$E$5087,2)</f>
        <v>82.259368623348294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2.7027027027027026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4.9963785749964602</v>
      </c>
      <c r="P151" s="24">
        <f>+VLOOKUP(B151,[1]Balance_Madden!$A$12:$V$5087,12)/35.32</f>
        <v>1.0063988203886782</v>
      </c>
      <c r="Q151" s="25">
        <f>+VLOOKUP(B151,[1]Balance_Gatún!$A$13:$AD$5087,15)/35.32</f>
        <v>8.1944299735068267</v>
      </c>
      <c r="R151" s="24">
        <f>+VLOOKUP(B151,[1]Balance_Madden!$A$12:$V$5087,14)/35.32</f>
        <v>21.75385068901835</v>
      </c>
      <c r="S151" s="26">
        <f>[1]Balance_Gatún!X150/35.32</f>
        <v>77.650288512607986</v>
      </c>
      <c r="T151" s="25">
        <v>117.41187734968231</v>
      </c>
      <c r="U151" s="25">
        <v>78.865884490565705</v>
      </c>
      <c r="V151" s="29">
        <f>LOOKUP(D151,[1]Parámetros!$A$7:$A$24,[1]Parámetros!$B$7:$B$24)</f>
        <v>47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47</v>
      </c>
      <c r="AC151" s="32">
        <f>IFERROR($A152-LOOKUP($A152,$Z$14:$Z151),"")</f>
        <v>28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246.566</v>
      </c>
      <c r="D152" s="25">
        <f>+VLOOKUP(B152,[1]Balance_Gatún!$A$13:$E$5087,2)</f>
        <v>82.24731863059462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2.7027027027027026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4.9944969837206292</v>
      </c>
      <c r="P152" s="24">
        <f>+VLOOKUP(B152,[1]Balance_Madden!$A$12:$V$5087,12)/35.32</f>
        <v>0.95266070421288007</v>
      </c>
      <c r="Q152" s="25">
        <f>+VLOOKUP(B152,[1]Balance_Gatún!$A$13:$AD$5087,15)/35.32</f>
        <v>7.7466088130745616</v>
      </c>
      <c r="R152" s="24">
        <f>+VLOOKUP(B152,[1]Balance_Madden!$A$12:$V$5087,14)/35.32</f>
        <v>21.700112572842549</v>
      </c>
      <c r="S152" s="26">
        <f>[1]Balance_Gatún!X151/35.32</f>
        <v>77.180694805334497</v>
      </c>
      <c r="T152" s="25">
        <v>97.898686443334014</v>
      </c>
      <c r="U152" s="25">
        <v>48.963583846072609</v>
      </c>
      <c r="V152" s="29">
        <f>LOOKUP(D152,[1]Parámetros!$A$7:$A$24,[1]Parámetros!$B$7:$B$24)</f>
        <v>47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47</v>
      </c>
      <c r="AC152" s="32">
        <f>IFERROR($A153-LOOKUP($A153,$Z$14:$Z152),"")</f>
        <v>29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246.63200000000001</v>
      </c>
      <c r="D153" s="25">
        <f>+VLOOKUP(B153,[1]Balance_Gatún!$A$13:$E$5087,2)</f>
        <v>82.226025611738066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2.7027027027027026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4.9911721054957514</v>
      </c>
      <c r="P153" s="24">
        <f>+VLOOKUP(B153,[1]Balance_Madden!$A$12:$V$5087,12)/35.32</f>
        <v>1.406816563882576</v>
      </c>
      <c r="Q153" s="25">
        <f>+VLOOKUP(B153,[1]Balance_Gatún!$A$13:$AD$5087,15)/35.32</f>
        <v>11.427045750809262</v>
      </c>
      <c r="R153" s="24">
        <f>+VLOOKUP(B153,[1]Balance_Madden!$A$12:$V$5087,14)/35.32</f>
        <v>22.154268432512247</v>
      </c>
      <c r="S153" s="26">
        <f>[1]Balance_Gatún!X152/35.32</f>
        <v>80.8226584211409</v>
      </c>
      <c r="T153" s="25">
        <v>69.643414614785726</v>
      </c>
      <c r="U153" s="25">
        <v>64.557155153535959</v>
      </c>
      <c r="V153" s="29">
        <f>LOOKUP(D153,[1]Parámetros!$A$7:$A$24,[1]Parámetros!$B$7:$B$24)</f>
        <v>47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47</v>
      </c>
      <c r="AC153" s="32">
        <f>IFERROR($A154-LOOKUP($A154,$Z$14:$Z153),"")</f>
        <v>30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246.69399999999999</v>
      </c>
      <c r="D154" s="25">
        <f>+VLOOKUP(B154,[1]Balance_Gatún!$A$13:$E$5087,2)</f>
        <v>82.279287445690528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2.7027027027027026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4.9994888741568113</v>
      </c>
      <c r="P154" s="24">
        <f>+VLOOKUP(B154,[1]Balance_Madden!$A$12:$V$5087,12)/35.32</f>
        <v>1.7490957538890433</v>
      </c>
      <c r="Q154" s="25">
        <f>+VLOOKUP(B154,[1]Balance_Gatún!$A$13:$AD$5087,15)/35.32</f>
        <v>14.206264997477263</v>
      </c>
      <c r="R154" s="24">
        <f>+VLOOKUP(B154,[1]Balance_Madden!$A$12:$V$5087,14)/35.32</f>
        <v>22.496547622518712</v>
      </c>
      <c r="S154" s="26">
        <f>[1]Balance_Gatún!X153/35.32</f>
        <v>83.698113889546605</v>
      </c>
      <c r="T154" s="25">
        <v>75.40987567522059</v>
      </c>
      <c r="U154" s="25">
        <v>58.963263944642044</v>
      </c>
      <c r="V154" s="29">
        <f>LOOKUP(D154,[1]Parámetros!$A$7:$A$24,[1]Parámetros!$B$7:$B$24)</f>
        <v>47</v>
      </c>
      <c r="W154" s="30" t="str">
        <f t="shared" si="12"/>
        <v/>
      </c>
      <c r="X154" s="31" t="str">
        <f t="shared" si="13"/>
        <v/>
      </c>
      <c r="Y154" s="30" t="str">
        <f>IF($W154="Cambio Calado",COUNTIF($W$14:W154,"Cambio Calado"),"")</f>
        <v/>
      </c>
      <c r="Z154" s="31" t="str">
        <f t="shared" si="14"/>
        <v/>
      </c>
      <c r="AA154" s="30" t="str">
        <f t="shared" si="15"/>
        <v/>
      </c>
      <c r="AB154" s="29">
        <f>IFERROR(LOOKUP($A154,$Z$14:$Z154,$AA$14:$AA154),$U154)</f>
        <v>47</v>
      </c>
      <c r="AC154" s="32">
        <f>IFERROR($A155-LOOKUP($A155,$Z$14:$Z154),"")</f>
        <v>31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247.17099999999999</v>
      </c>
      <c r="D155" s="25">
        <f>+VLOOKUP(B155,[1]Balance_Gatún!$A$13:$E$5087,2)</f>
        <v>82.292010731530112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2.7027027027027026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5.0014755993047064</v>
      </c>
      <c r="P155" s="24">
        <f>+VLOOKUP(B155,[1]Balance_Madden!$A$12:$V$5087,12)/35.32</f>
        <v>1.713245090035566</v>
      </c>
      <c r="Q155" s="25">
        <f>+VLOOKUP(B155,[1]Balance_Gatún!$A$13:$AD$5087,15)/35.32</f>
        <v>13.835509000138796</v>
      </c>
      <c r="R155" s="24">
        <f>+VLOOKUP(B155,[1]Balance_Madden!$A$12:$V$5087,14)/35.32</f>
        <v>22.460696958665238</v>
      </c>
      <c r="S155" s="26">
        <f>[1]Balance_Gatún!X154/35.32</f>
        <v>83.350346979635773</v>
      </c>
      <c r="T155" s="25">
        <v>119.68132099261564</v>
      </c>
      <c r="U155" s="25">
        <v>57.910364776468988</v>
      </c>
      <c r="V155" s="29">
        <f>LOOKUP(D155,[1]Parámetros!$A$7:$A$24,[1]Parámetros!$B$7:$B$24)</f>
        <v>47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47</v>
      </c>
      <c r="AC155" s="32">
        <f>IFERROR($A156-LOOKUP($A156,$Z$14:$Z155),"")</f>
        <v>32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247.304</v>
      </c>
      <c r="D156" s="25">
        <f>+VLOOKUP(B156,[1]Balance_Gatún!$A$13:$E$5087,2)</f>
        <v>82.296820318691289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2.7027027027027026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5.0022266103159012</v>
      </c>
      <c r="P156" s="24">
        <f>+VLOOKUP(B156,[1]Balance_Madden!$A$12:$V$5087,12)/35.32</f>
        <v>2.2452623191381207</v>
      </c>
      <c r="Q156" s="25">
        <f>+VLOOKUP(B156,[1]Balance_Gatún!$A$13:$AD$5087,15)/35.32</f>
        <v>18.103267293456668</v>
      </c>
      <c r="R156" s="24">
        <f>+VLOOKUP(B156,[1]Balance_Madden!$A$12:$V$5087,14)/35.32</f>
        <v>22.992714187767788</v>
      </c>
      <c r="S156" s="26">
        <f>[1]Balance_Gatún!X155/35.32</f>
        <v>87.626795482474478</v>
      </c>
      <c r="T156" s="25">
        <v>75.906980209524647</v>
      </c>
      <c r="U156" s="25">
        <v>66.255928951091633</v>
      </c>
      <c r="V156" s="29">
        <f>LOOKUP(D156,[1]Parámetros!$A$7:$A$24,[1]Parámetros!$B$7:$B$24)</f>
        <v>47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47</v>
      </c>
      <c r="AC156" s="32">
        <f>IFERROR($A157-LOOKUP($A157,$Z$14:$Z156),"")</f>
        <v>33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247.387</v>
      </c>
      <c r="D157" s="25">
        <f>+VLOOKUP(B157,[1]Balance_Gatún!$A$13:$E$5087,2)</f>
        <v>82.289246269248054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2.7027027027027026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5.0010439319818625</v>
      </c>
      <c r="P157" s="24">
        <f>+VLOOKUP(B157,[1]Balance_Madden!$A$12:$V$5087,12)/35.32</f>
        <v>2.2360182913567246</v>
      </c>
      <c r="Q157" s="25">
        <f>+VLOOKUP(B157,[1]Balance_Gatún!$A$13:$AD$5087,15)/35.32</f>
        <v>18.008491939277057</v>
      </c>
      <c r="R157" s="24">
        <f>+VLOOKUP(B157,[1]Balance_Madden!$A$12:$V$5087,14)/35.32</f>
        <v>22.983470159986393</v>
      </c>
      <c r="S157" s="26">
        <f>[1]Balance_Gatún!X156/35.32</f>
        <v>87.518334946100026</v>
      </c>
      <c r="T157" s="25">
        <v>100.84245474729944</v>
      </c>
      <c r="U157" s="25">
        <v>70.309723096960909</v>
      </c>
      <c r="V157" s="29">
        <f>LOOKUP(D157,[1]Parámetros!$A$7:$A$24,[1]Parámetros!$B$7:$B$24)</f>
        <v>47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47</v>
      </c>
      <c r="AC157" s="32">
        <f>IFERROR($A158-LOOKUP($A158,$Z$14:$Z157),"")</f>
        <v>34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247.715</v>
      </c>
      <c r="D158" s="25">
        <f>+VLOOKUP(B158,[1]Balance_Gatún!$A$13:$E$5087,2)</f>
        <v>82.31471567392542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2.7027027027027026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5.0050209476217216</v>
      </c>
      <c r="P158" s="24">
        <f>+VLOOKUP(B158,[1]Balance_Madden!$A$12:$V$5087,12)/35.32</f>
        <v>2.5717825300488344</v>
      </c>
      <c r="Q158" s="25">
        <f>+VLOOKUP(B158,[1]Balance_Gatún!$A$13:$AD$5087,15)/35.32</f>
        <v>20.636038830669911</v>
      </c>
      <c r="R158" s="24">
        <f>+VLOOKUP(B158,[1]Balance_Madden!$A$12:$V$5087,14)/35.32</f>
        <v>23.319234398678503</v>
      </c>
      <c r="S158" s="26">
        <f>[1]Balance_Gatún!X157/35.32</f>
        <v>90.191901268184012</v>
      </c>
      <c r="T158" s="25">
        <v>43.829946513136989</v>
      </c>
      <c r="U158" s="25">
        <v>46.637933803490782</v>
      </c>
      <c r="V158" s="29">
        <f>LOOKUP(D158,[1]Parámetros!$A$7:$A$24,[1]Parámetros!$B$7:$B$24)</f>
        <v>47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47</v>
      </c>
      <c r="AC158" s="32">
        <f>IFERROR($A159-LOOKUP($A159,$Z$14:$Z158),"")</f>
        <v>35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247.96199999999999</v>
      </c>
      <c r="D159" s="25">
        <f>+VLOOKUP(B159,[1]Balance_Gatún!$A$13:$E$5087,2)</f>
        <v>82.312381512798098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2.7027027027027026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5.0046564712852346</v>
      </c>
      <c r="P159" s="24">
        <f>+VLOOKUP(B159,[1]Balance_Madden!$A$12:$V$5087,12)/35.32</f>
        <v>1.2899786856225464</v>
      </c>
      <c r="Q159" s="25">
        <f>+VLOOKUP(B159,[1]Balance_Gatún!$A$13:$AD$5087,15)/35.32</f>
        <v>10.319112717774127</v>
      </c>
      <c r="R159" s="24">
        <f>+VLOOKUP(B159,[1]Balance_Madden!$A$12:$V$5087,14)/35.32</f>
        <v>22.037430554252218</v>
      </c>
      <c r="S159" s="26">
        <f>[1]Balance_Gatún!X158/35.32</f>
        <v>79.870757672878185</v>
      </c>
      <c r="T159" s="25">
        <v>88.700389971103363</v>
      </c>
      <c r="U159" s="25">
        <v>44.187748261378182</v>
      </c>
      <c r="V159" s="29">
        <f>LOOKUP(D159,[1]Parámetros!$A$7:$A$24,[1]Parámetros!$B$7:$B$24)</f>
        <v>47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47</v>
      </c>
      <c r="AC159" s="32">
        <f>IFERROR($A160-LOOKUP($A160,$Z$14:$Z159),"")</f>
        <v>36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248.16200000000001</v>
      </c>
      <c r="D160" s="25">
        <f>+VLOOKUP(B160,[1]Balance_Gatún!$A$13:$E$5087,2)</f>
        <v>82.299150314174469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2.7027027027027026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5.0025904361922739</v>
      </c>
      <c r="P160" s="24">
        <f>+VLOOKUP(B160,[1]Balance_Madden!$A$12:$V$5087,12)/35.32</f>
        <v>2.1681831179333955</v>
      </c>
      <c r="Q160" s="25">
        <f>+VLOOKUP(B160,[1]Balance_Gatún!$A$13:$AD$5087,15)/35.32</f>
        <v>17.298723315758</v>
      </c>
      <c r="R160" s="24">
        <f>+VLOOKUP(B160,[1]Balance_Madden!$A$12:$V$5087,14)/35.32</f>
        <v>22.915634986563067</v>
      </c>
      <c r="S160" s="26">
        <f>[1]Balance_Gatún!X159/35.32</f>
        <v>86.826461460485689</v>
      </c>
      <c r="T160" s="25">
        <v>61.086094323542028</v>
      </c>
      <c r="U160" s="25">
        <v>47.418998607128785</v>
      </c>
      <c r="V160" s="29">
        <f>LOOKUP(D160,[1]Parámetros!$A$7:$A$24,[1]Parámetros!$B$7:$B$24)</f>
        <v>47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47</v>
      </c>
      <c r="AC160" s="32">
        <f>IFERROR($A161-LOOKUP($A161,$Z$14:$Z160),"")</f>
        <v>37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248.322</v>
      </c>
      <c r="D161" s="25">
        <f>+VLOOKUP(B161,[1]Balance_Gatún!$A$13:$E$5087,2)</f>
        <v>82.280190771957422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2.7027027027027026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4.9996299274219682</v>
      </c>
      <c r="P161" s="24">
        <f>+VLOOKUP(B161,[1]Balance_Madden!$A$12:$V$5087,12)/35.32</f>
        <v>0.82043480634069876</v>
      </c>
      <c r="Q161" s="25">
        <f>+VLOOKUP(B161,[1]Balance_Gatún!$A$13:$AD$5087,15)/35.32</f>
        <v>6.5313373179819862</v>
      </c>
      <c r="R161" s="24">
        <f>+VLOOKUP(B161,[1]Balance_Madden!$A$12:$V$5087,14)/35.32</f>
        <v>21.567886674970367</v>
      </c>
      <c r="S161" s="26">
        <f>[1]Balance_Gatún!X160/35.32</f>
        <v>76.024818386423618</v>
      </c>
      <c r="T161" s="25">
        <v>99.637261307353199</v>
      </c>
      <c r="U161" s="25">
        <v>31.978673975788425</v>
      </c>
      <c r="V161" s="29">
        <f>LOOKUP(D161,[1]Parámetros!$A$7:$A$24,[1]Parámetros!$B$7:$B$24)</f>
        <v>47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47</v>
      </c>
      <c r="AC161" s="32">
        <f>IFERROR($A162-LOOKUP($A162,$Z$14:$Z161),"")</f>
        <v>38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248.47499999999999</v>
      </c>
      <c r="D162" s="25">
        <f>+VLOOKUP(B162,[1]Balance_Gatún!$A$13:$E$5087,2)</f>
        <v>82.26397749186755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2.7027027027027026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4.9970982440431193</v>
      </c>
      <c r="P162" s="24">
        <f>+VLOOKUP(B162,[1]Balance_Madden!$A$12:$V$5087,12)/35.32</f>
        <v>1.0291259455847954</v>
      </c>
      <c r="Q162" s="25">
        <f>+VLOOKUP(B162,[1]Balance_Gatún!$A$13:$AD$5087,15)/35.32</f>
        <v>8.1756122306649477</v>
      </c>
      <c r="R162" s="24">
        <f>+VLOOKUP(B162,[1]Balance_Madden!$A$12:$V$5087,14)/35.32</f>
        <v>21.776577814214466</v>
      </c>
      <c r="S162" s="26">
        <f>[1]Balance_Gatún!X161/35.32</f>
        <v>77.639798310518373</v>
      </c>
      <c r="T162" s="25">
        <v>76.709577469296008</v>
      </c>
      <c r="U162" s="25">
        <v>66.197048216194773</v>
      </c>
      <c r="V162" s="29">
        <f>LOOKUP(D162,[1]Parámetros!$A$7:$A$24,[1]Parámetros!$B$7:$B$24)</f>
        <v>47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47</v>
      </c>
      <c r="AC162" s="32">
        <f>IFERROR($A163-LOOKUP($A163,$Z$14:$Z162),"")</f>
        <v>39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248.61099999999999</v>
      </c>
      <c r="D163" s="25">
        <f>+VLOOKUP(B163,[1]Balance_Gatún!$A$13:$E$5087,2)</f>
        <v>82.24594040301983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2.7027027027027026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4.9942817752110589</v>
      </c>
      <c r="P163" s="24">
        <f>+VLOOKUP(B163,[1]Balance_Madden!$A$12:$V$5087,12)/35.32</f>
        <v>1.8728174183769029</v>
      </c>
      <c r="Q163" s="25">
        <f>+VLOOKUP(B163,[1]Balance_Gatún!$A$13:$AD$5087,15)/35.32</f>
        <v>14.849835654534127</v>
      </c>
      <c r="R163" s="24">
        <f>+VLOOKUP(B163,[1]Balance_Madden!$A$12:$V$5087,14)/35.32</f>
        <v>22.620269287006572</v>
      </c>
      <c r="S163" s="26">
        <f>[1]Balance_Gatún!X162/35.32</f>
        <v>84.281431394306495</v>
      </c>
      <c r="T163" s="25">
        <v>102.94956953876898</v>
      </c>
      <c r="U163" s="25">
        <v>47.2056647183935</v>
      </c>
      <c r="V163" s="29">
        <f>LOOKUP(D163,[1]Parámetros!$A$7:$A$24,[1]Parámetros!$B$7:$B$24)</f>
        <v>47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47</v>
      </c>
      <c r="AC163" s="32">
        <f>IFERROR($A164-LOOKUP($A164,$Z$14:$Z163),"")</f>
        <v>40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248.72800000000001</v>
      </c>
      <c r="D164" s="25">
        <f>+VLOOKUP(B164,[1]Balance_Gatún!$A$13:$E$5087,2)</f>
        <v>82.220692516701789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2.7027027027027026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4.9903393493855539</v>
      </c>
      <c r="P164" s="24">
        <f>+VLOOKUP(B164,[1]Balance_Madden!$A$12:$V$5087,12)/35.32</f>
        <v>0.95177304695008069</v>
      </c>
      <c r="Q164" s="25">
        <f>+VLOOKUP(B164,[1]Balance_Gatún!$A$13:$AD$5087,15)/35.32</f>
        <v>7.5334589002261687</v>
      </c>
      <c r="R164" s="24">
        <f>+VLOOKUP(B164,[1]Balance_Madden!$A$12:$V$5087,14)/35.32</f>
        <v>21.699224915579752</v>
      </c>
      <c r="S164" s="26">
        <f>[1]Balance_Gatún!X163/35.32</f>
        <v>76.919435460075434</v>
      </c>
      <c r="T164" s="25">
        <v>74.470080762582953</v>
      </c>
      <c r="U164" s="25">
        <v>77.822506698678211</v>
      </c>
      <c r="V164" s="29">
        <f>LOOKUP(D164,[1]Parámetros!$A$7:$A$24,[1]Parámetros!$B$7:$B$24)</f>
        <v>47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47</v>
      </c>
      <c r="AC164" s="32">
        <f>IFERROR($A165-LOOKUP($A165,$Z$14:$Z164),"")</f>
        <v>41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248.80799999999999</v>
      </c>
      <c r="D165" s="25">
        <f>+VLOOKUP(B165,[1]Balance_Gatún!$A$13:$E$5087,2)</f>
        <v>82.1932712363066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2.7027027027027026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4.9860575507970877</v>
      </c>
      <c r="P165" s="24">
        <f>+VLOOKUP(B165,[1]Balance_Madden!$A$12:$V$5087,12)/35.32</f>
        <v>1.024379308015094</v>
      </c>
      <c r="Q165" s="25">
        <f>+VLOOKUP(B165,[1]Balance_Gatún!$A$13:$AD$5087,15)/35.32</f>
        <v>8.0973130150638024</v>
      </c>
      <c r="R165" s="24">
        <f>+VLOOKUP(B165,[1]Balance_Madden!$A$12:$V$5087,14)/35.32</f>
        <v>21.771831176644763</v>
      </c>
      <c r="S165" s="26">
        <f>[1]Balance_Gatún!X164/35.32</f>
        <v>77.433743394757158</v>
      </c>
      <c r="T165" s="25">
        <v>75.149167624969493</v>
      </c>
      <c r="U165" s="25">
        <v>66.251685528588695</v>
      </c>
      <c r="V165" s="29">
        <f>LOOKUP(D165,[1]Parámetros!$A$7:$A$24,[1]Parámetros!$B$7:$B$24)</f>
        <v>47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47</v>
      </c>
      <c r="AC165" s="32">
        <f>IFERROR($A166-LOOKUP($A166,$Z$14:$Z165),"")</f>
        <v>42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249.048</v>
      </c>
      <c r="D166" s="25">
        <f>+VLOOKUP(B166,[1]Balance_Gatún!$A$13:$E$5087,2)</f>
        <v>82.168762907078332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2.7027027027027026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4.9822306058848538</v>
      </c>
      <c r="P166" s="24">
        <f>+VLOOKUP(B166,[1]Balance_Madden!$A$12:$V$5087,12)/35.32</f>
        <v>1.5744993503119438</v>
      </c>
      <c r="Q166" s="25">
        <f>+VLOOKUP(B166,[1]Balance_Gatún!$A$13:$AD$5087,15)/35.32</f>
        <v>12.405398423404248</v>
      </c>
      <c r="R166" s="24">
        <f>+VLOOKUP(B166,[1]Balance_Madden!$A$12:$V$5087,14)/35.32</f>
        <v>22.321951218941614</v>
      </c>
      <c r="S166" s="26">
        <f>[1]Balance_Gatún!X165/35.32</f>
        <v>81.697545892972187</v>
      </c>
      <c r="T166" s="25">
        <v>69.655165901869523</v>
      </c>
      <c r="U166" s="25">
        <v>28.463621498684756</v>
      </c>
      <c r="V166" s="29">
        <f>LOOKUP(D166,[1]Parámetros!$A$7:$A$24,[1]Parámetros!$B$7:$B$24)</f>
        <v>47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47</v>
      </c>
      <c r="AC166" s="32">
        <f>IFERROR($A167-LOOKUP($A167,$Z$14:$Z166),"")</f>
        <v>43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249.566</v>
      </c>
      <c r="D167" s="25">
        <f>+VLOOKUP(B167,[1]Balance_Gatún!$A$13:$E$5087,2)</f>
        <v>82.162172049603399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2.7027027027027026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0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4.9812014517452115</v>
      </c>
      <c r="P167" s="24">
        <f>+VLOOKUP(B167,[1]Balance_Madden!$A$12:$V$5087,12)/35.32</f>
        <v>2.5430242787451003</v>
      </c>
      <c r="Q167" s="25">
        <f>+VLOOKUP(B167,[1]Balance_Gatún!$A$13:$AD$5087,15)/35.32</f>
        <v>19.908689657419156</v>
      </c>
      <c r="R167" s="24">
        <f>+VLOOKUP(B167,[1]Balance_Madden!$A$12:$V$5087,14)/35.32</f>
        <v>23.290476147374772</v>
      </c>
      <c r="S167" s="26">
        <f>[1]Balance_Gatún!X166/35.32</f>
        <v>89.188928426622667</v>
      </c>
      <c r="T167" s="25">
        <v>89.701377069196127</v>
      </c>
      <c r="U167" s="25">
        <v>61.134482530271825</v>
      </c>
      <c r="V167" s="29">
        <f>LOOKUP(D167,[1]Parámetros!$A$7:$A$24,[1]Parámetros!$B$7:$B$24)</f>
        <v>47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47</v>
      </c>
      <c r="AC167" s="32">
        <f>IFERROR($A168-LOOKUP($A168,$Z$14:$Z167),"")</f>
        <v>44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249.75700000000001</v>
      </c>
      <c r="D168" s="25">
        <f>+VLOOKUP(B168,[1]Balance_Gatún!$A$13:$E$5087,2)</f>
        <v>82.144189598519603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2.7027027027027026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0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4.9783935145315539</v>
      </c>
      <c r="P168" s="24">
        <f>+VLOOKUP(B168,[1]Balance_Madden!$A$12:$V$5087,12)/35.32</f>
        <v>1.4594743907283798</v>
      </c>
      <c r="Q168" s="25">
        <f>+VLOOKUP(B168,[1]Balance_Gatún!$A$13:$AD$5087,15)/35.32</f>
        <v>11.396689120485282</v>
      </c>
      <c r="R168" s="24">
        <f>+VLOOKUP(B168,[1]Balance_Madden!$A$12:$V$5087,14)/35.32</f>
        <v>22.206926259358049</v>
      </c>
      <c r="S168" s="26">
        <f>[1]Balance_Gatún!X167/35.32</f>
        <v>80.64443627193053</v>
      </c>
      <c r="T168" s="25">
        <v>58.186499934852009</v>
      </c>
      <c r="U168" s="25">
        <v>50.675011154889091</v>
      </c>
      <c r="V168" s="29">
        <f>LOOKUP(D168,[1]Parámetros!$A$7:$A$24,[1]Parámetros!$B$7:$B$24)</f>
        <v>47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47</v>
      </c>
      <c r="AC168" s="32">
        <f>IFERROR($A169-LOOKUP($A169,$Z$14:$Z168),"")</f>
        <v>45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249.89</v>
      </c>
      <c r="D169" s="25">
        <f>+VLOOKUP(B169,[1]Balance_Gatún!$A$13:$E$5087,2)</f>
        <v>82.162496385092084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2.7027027027027026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0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4.98125209632554</v>
      </c>
      <c r="P169" s="24">
        <f>+VLOOKUP(B169,[1]Balance_Madden!$A$12:$V$5087,12)/35.32</f>
        <v>1.0014177886424951</v>
      </c>
      <c r="Q169" s="25">
        <f>+VLOOKUP(B169,[1]Balance_Gatún!$A$13:$AD$5087,15)/35.32</f>
        <v>7.8091068614846204</v>
      </c>
      <c r="R169" s="24">
        <f>+VLOOKUP(B169,[1]Balance_Madden!$A$12:$V$5087,14)/35.32</f>
        <v>21.748869657272163</v>
      </c>
      <c r="S169" s="26">
        <f>[1]Balance_Gatún!X168/35.32</f>
        <v>77.089931656735118</v>
      </c>
      <c r="T169" s="25">
        <v>77.521001027846751</v>
      </c>
      <c r="U169" s="25">
        <v>40.530931485463967</v>
      </c>
      <c r="V169" s="29">
        <f>LOOKUP(D169,[1]Parámetros!$A$7:$A$24,[1]Parámetros!$B$7:$B$24)</f>
        <v>47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47</v>
      </c>
      <c r="AC169" s="32">
        <f>IFERROR($A170-LOOKUP($A170,$Z$14:$Z169),"")</f>
        <v>46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250.08</v>
      </c>
      <c r="D170" s="25">
        <f>+VLOOKUP(B170,[1]Balance_Gatún!$A$13:$E$5087,2)</f>
        <v>82.13522678599179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2.7027027027027026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0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4.9769939825812877</v>
      </c>
      <c r="P170" s="24">
        <f>+VLOOKUP(B170,[1]Balance_Madden!$A$12:$V$5087,12)/35.32</f>
        <v>1.4604485836204002</v>
      </c>
      <c r="Q170" s="25">
        <f>+VLOOKUP(B170,[1]Balance_Gatún!$A$13:$AD$5087,15)/35.32</f>
        <v>11.358391619603516</v>
      </c>
      <c r="R170" s="24">
        <f>+VLOOKUP(B170,[1]Balance_Madden!$A$12:$V$5087,14)/35.32</f>
        <v>22.207900452250069</v>
      </c>
      <c r="S170" s="26">
        <f>[1]Balance_Gatún!X169/35.32</f>
        <v>80.589944300265245</v>
      </c>
      <c r="T170" s="25">
        <v>215.0580491505099</v>
      </c>
      <c r="U170" s="25">
        <v>77.942628034928887</v>
      </c>
      <c r="V170" s="29">
        <f>LOOKUP(D170,[1]Parámetros!$A$7:$A$24,[1]Parámetros!$B$7:$B$24)</f>
        <v>47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47</v>
      </c>
      <c r="AC170" s="32">
        <f>IFERROR($A171-LOOKUP($A171,$Z$14:$Z170),"")</f>
        <v>47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250.179</v>
      </c>
      <c r="D171" s="25">
        <f>+VLOOKUP(B171,[1]Balance_Gatún!$A$13:$E$5087,2)</f>
        <v>82.099822492194306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2.7027027027027026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0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4.9714656464488014</v>
      </c>
      <c r="P171" s="24">
        <f>+VLOOKUP(B171,[1]Balance_Madden!$A$12:$V$5087,12)/35.32</f>
        <v>1.2455872122850571</v>
      </c>
      <c r="Q171" s="25">
        <f>+VLOOKUP(B171,[1]Balance_Gatún!$A$13:$AD$5087,15)/35.32</f>
        <v>9.6712379837902098</v>
      </c>
      <c r="R171" s="24">
        <f>+VLOOKUP(B171,[1]Balance_Madden!$A$12:$V$5087,14)/35.32</f>
        <v>21.993039080914727</v>
      </c>
      <c r="S171" s="26">
        <f>[1]Balance_Gatún!X170/35.32</f>
        <v>78.838820364980052</v>
      </c>
      <c r="T171" s="25">
        <v>95.22858664002348</v>
      </c>
      <c r="U171" s="25">
        <v>55.735693890947303</v>
      </c>
      <c r="V171" s="29">
        <f>LOOKUP(D171,[1]Parámetros!$A$7:$A$24,[1]Parámetros!$B$7:$B$24)</f>
        <v>47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47</v>
      </c>
      <c r="AC171" s="32">
        <f>IFERROR($A172-LOOKUP($A172,$Z$14:$Z171),"")</f>
        <v>48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250.215</v>
      </c>
      <c r="D172" s="25">
        <f>+VLOOKUP(B172,[1]Balance_Gatún!$A$13:$E$5087,2)</f>
        <v>82.07136729598318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2.7027027027027026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0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4.9670224032006578</v>
      </c>
      <c r="P172" s="24">
        <f>+VLOOKUP(B172,[1]Balance_Madden!$A$12:$V$5087,12)/35.32</f>
        <v>2.3338034536308641</v>
      </c>
      <c r="Q172" s="25">
        <f>+VLOOKUP(B172,[1]Balance_Gatún!$A$13:$AD$5087,15)/35.32</f>
        <v>18.105914805827002</v>
      </c>
      <c r="R172" s="24">
        <f>+VLOOKUP(B172,[1]Balance_Madden!$A$12:$V$5087,14)/35.32</f>
        <v>23.081255322260535</v>
      </c>
      <c r="S172" s="26">
        <f>[1]Balance_Gatún!X171/35.32</f>
        <v>87.222082874573005</v>
      </c>
      <c r="T172" s="25">
        <v>107.19362673507062</v>
      </c>
      <c r="U172" s="25">
        <v>59.235608534950714</v>
      </c>
      <c r="V172" s="29">
        <f>LOOKUP(D172,[1]Parámetros!$A$7:$A$24,[1]Parámetros!$B$7:$B$24)</f>
        <v>47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47</v>
      </c>
      <c r="AC172" s="32">
        <f>IFERROR($A173-LOOKUP($A173,$Z$14:$Z172),"")</f>
        <v>49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250.22300000000001</v>
      </c>
      <c r="D173" s="25">
        <f>+VLOOKUP(B173,[1]Balance_Gatún!$A$13:$E$5087,2)</f>
        <v>82.030028287951183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2.7027027027027026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0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4.9605673688737006</v>
      </c>
      <c r="P173" s="24">
        <f>+VLOOKUP(B173,[1]Balance_Madden!$A$12:$V$5087,12)/35.32</f>
        <v>1.2753269144205848</v>
      </c>
      <c r="Q173" s="25">
        <f>+VLOOKUP(B173,[1]Balance_Gatún!$A$13:$AD$5087,15)/35.32</f>
        <v>9.8877940174956951</v>
      </c>
      <c r="R173" s="24">
        <f>+VLOOKUP(B173,[1]Balance_Madden!$A$12:$V$5087,14)/35.32</f>
        <v>22.022778783050256</v>
      </c>
      <c r="S173" s="26">
        <f>[1]Balance_Gatún!X172/35.32</f>
        <v>78.929268639768665</v>
      </c>
      <c r="T173" s="25">
        <v>99.386010502713319</v>
      </c>
      <c r="U173" s="25">
        <v>52.020754394864007</v>
      </c>
      <c r="V173" s="29">
        <f>LOOKUP(D173,[1]Parámetros!$A$7:$A$24,[1]Parámetros!$B$7:$B$24)</f>
        <v>47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47</v>
      </c>
      <c r="AC173" s="32">
        <f>IFERROR($A174-LOOKUP($A174,$Z$14:$Z173),"")</f>
        <v>50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250.28899999999999</v>
      </c>
      <c r="D174" s="25">
        <f>+VLOOKUP(B174,[1]Balance_Gatún!$A$13:$E$5087,2)</f>
        <v>82.020249637861468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2.7027027027027026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0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4.9590404449099816</v>
      </c>
      <c r="P174" s="24">
        <f>+VLOOKUP(B174,[1]Balance_Madden!$A$12:$V$5087,12)/35.32</f>
        <v>1.7896277634450162</v>
      </c>
      <c r="Q174" s="25">
        <f>+VLOOKUP(B174,[1]Balance_Gatún!$A$13:$AD$5087,15)/35.32</f>
        <v>13.862386672532191</v>
      </c>
      <c r="R174" s="24">
        <f>+VLOOKUP(B174,[1]Balance_Madden!$A$12:$V$5087,14)/35.32</f>
        <v>22.537079632074686</v>
      </c>
      <c r="S174" s="26">
        <f>[1]Balance_Gatún!X173/35.32</f>
        <v>82.886192726742536</v>
      </c>
      <c r="T174" s="25">
        <v>157.7468088160598</v>
      </c>
      <c r="U174" s="25">
        <v>46.832167799046353</v>
      </c>
      <c r="V174" s="29">
        <f>LOOKUP(D174,[1]Parámetros!$A$7:$A$24,[1]Parámetros!$B$7:$B$24)</f>
        <v>47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47</v>
      </c>
      <c r="AC174" s="32">
        <f>IFERROR($A175-LOOKUP($A175,$Z$14:$Z174),"")</f>
        <v>51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250.56800000000001</v>
      </c>
      <c r="D175" s="25">
        <f>+VLOOKUP(B175,[1]Balance_Gatún!$A$13:$E$5087,2)</f>
        <v>82.008561517153794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2.7027027027027026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0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4.9572153595008857</v>
      </c>
      <c r="P175" s="24">
        <f>+VLOOKUP(B175,[1]Balance_Madden!$A$12:$V$5087,12)/35.32</f>
        <v>1.4935081401538726</v>
      </c>
      <c r="Q175" s="25">
        <f>+VLOOKUP(B175,[1]Balance_Gatún!$A$13:$AD$5087,15)/35.32</f>
        <v>11.527954930004535</v>
      </c>
      <c r="R175" s="24">
        <f>+VLOOKUP(B175,[1]Balance_Madden!$A$12:$V$5087,14)/35.32</f>
        <v>22.240960008783542</v>
      </c>
      <c r="S175" s="26">
        <f>[1]Balance_Gatún!X174/35.32</f>
        <v>80.53064228640352</v>
      </c>
      <c r="T175" s="25">
        <v>199.29396402084583</v>
      </c>
      <c r="U175" s="25">
        <v>42.84353067966758</v>
      </c>
      <c r="V175" s="29">
        <f>LOOKUP(D175,[1]Parámetros!$A$7:$A$24,[1]Parámetros!$B$7:$B$24)</f>
        <v>47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47</v>
      </c>
      <c r="AC175" s="32">
        <f>IFERROR($A176-LOOKUP($A176,$Z$14:$Z175),"")</f>
        <v>52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250.608</v>
      </c>
      <c r="D176" s="25">
        <f>+VLOOKUP(B176,[1]Balance_Gatún!$A$13:$E$5087,2)</f>
        <v>81.975653307636932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2.7027027027027026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0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4.9520767838024646</v>
      </c>
      <c r="P176" s="24">
        <f>+VLOOKUP(B176,[1]Balance_Madden!$A$12:$V$5087,12)/35.32</f>
        <v>0.71798060597233915</v>
      </c>
      <c r="Q176" s="25">
        <f>+VLOOKUP(B176,[1]Balance_Gatún!$A$13:$AD$5087,15)/35.32</f>
        <v>5.5368086862914137</v>
      </c>
      <c r="R176" s="24">
        <f>+VLOOKUP(B176,[1]Balance_Madden!$A$12:$V$5087,14)/35.32</f>
        <v>21.465432474602007</v>
      </c>
      <c r="S176" s="26">
        <f>[1]Balance_Gatún!X175/35.32</f>
        <v>74.480035796712343</v>
      </c>
      <c r="T176" s="25">
        <v>167.9789142060726</v>
      </c>
      <c r="U176" s="25">
        <v>53.335654951234417</v>
      </c>
      <c r="V176" s="29">
        <f>LOOKUP(D176,[1]Parámetros!$A$7:$A$24,[1]Parámetros!$B$7:$B$24)</f>
        <v>46.5</v>
      </c>
      <c r="W176" s="30" t="str">
        <f t="shared" si="12"/>
        <v>Cambio Calado</v>
      </c>
      <c r="X176" s="31">
        <f t="shared" si="13"/>
        <v>46366</v>
      </c>
      <c r="Y176" s="30">
        <f>IF($W176="Cambio Calado",COUNTIF($W$14:W176,"Cambio Calado"),"")</f>
        <v>7</v>
      </c>
      <c r="Z176" s="31">
        <f t="shared" si="14"/>
        <v>46366</v>
      </c>
      <c r="AA176" s="30">
        <f t="shared" si="15"/>
        <v>46.5</v>
      </c>
      <c r="AB176" s="29">
        <f>IFERROR(LOOKUP($A176,$Z$14:$Z176,$AA$14:$AA176),$U176)</f>
        <v>46.5</v>
      </c>
      <c r="AC176" s="32">
        <f>IFERROR($A177-LOOKUP($A177,$Z$14:$Z176),"")</f>
        <v>1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250.62299999999999</v>
      </c>
      <c r="D177" s="25">
        <f>+VLOOKUP(B177,[1]Balance_Gatún!$A$13:$E$5087,2)</f>
        <v>81.942771469613774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2.7027027027027026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0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4.946942325979756</v>
      </c>
      <c r="P177" s="24">
        <f>+VLOOKUP(B177,[1]Balance_Madden!$A$12:$V$5087,12)/35.32</f>
        <v>1.0201089829915713</v>
      </c>
      <c r="Q177" s="25">
        <f>+VLOOKUP(B177,[1]Balance_Gatún!$A$13:$AD$5087,15)/35.32</f>
        <v>7.8618836319785039</v>
      </c>
      <c r="R177" s="24">
        <f>+VLOOKUP(B177,[1]Balance_Madden!$A$12:$V$5087,14)/35.32</f>
        <v>21.767560851621241</v>
      </c>
      <c r="S177" s="26">
        <f>[1]Balance_Gatún!X176/35.32</f>
        <v>76.745698145792957</v>
      </c>
      <c r="T177" s="25">
        <v>86.521655377046656</v>
      </c>
      <c r="U177" s="25">
        <v>48.077621951440619</v>
      </c>
      <c r="V177" s="29">
        <f>LOOKUP(D177,[1]Parámetros!$A$7:$A$24,[1]Parámetros!$B$7:$B$24)</f>
        <v>46.5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46.5</v>
      </c>
      <c r="AC177" s="32">
        <f>IFERROR($A178-LOOKUP($A178,$Z$14:$Z177),"")</f>
        <v>2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250.62299999999999</v>
      </c>
      <c r="D178" s="25">
        <f>+VLOOKUP(B178,[1]Balance_Gatún!$A$13:$E$5087,2)</f>
        <v>81.908607293137408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2.7027027027027026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0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4.9416076326137102</v>
      </c>
      <c r="P178" s="24">
        <f>+VLOOKUP(B178,[1]Balance_Madden!$A$12:$V$5087,12)/35.32</f>
        <v>1.445942877583521</v>
      </c>
      <c r="Q178" s="25">
        <f>+VLOOKUP(B178,[1]Balance_Gatún!$A$13:$AD$5087,15)/35.32</f>
        <v>11.138727651926137</v>
      </c>
      <c r="R178" s="24">
        <f>+VLOOKUP(B178,[1]Balance_Madden!$A$12:$V$5087,14)/35.32</f>
        <v>22.19339474621319</v>
      </c>
      <c r="S178" s="26">
        <f>[1]Balance_Gatún!X177/35.32</f>
        <v>79.960812574044581</v>
      </c>
      <c r="T178" s="25">
        <v>157.28097947654513</v>
      </c>
      <c r="U178" s="25">
        <v>61.14033559967708</v>
      </c>
      <c r="V178" s="29">
        <f>LOOKUP(D178,[1]Parámetros!$A$7:$A$24,[1]Parámetros!$B$7:$B$24)</f>
        <v>46.5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46.5</v>
      </c>
      <c r="AC178" s="32">
        <f>IFERROR($A179-LOOKUP($A179,$Z$14:$Z178),"")</f>
        <v>3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250.69399999999999</v>
      </c>
      <c r="D179" s="25">
        <f>+VLOOKUP(B179,[1]Balance_Gatún!$A$13:$E$5087,2)</f>
        <v>81.87844149352226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2.7027027027027026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0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4.9368972807865656</v>
      </c>
      <c r="P179" s="24">
        <f>+VLOOKUP(B179,[1]Balance_Madden!$A$12:$V$5087,12)/35.32</f>
        <v>0.77148682909314104</v>
      </c>
      <c r="Q179" s="25">
        <f>+VLOOKUP(B179,[1]Balance_Gatún!$A$13:$AD$5087,15)/35.32</f>
        <v>5.9356497223802629</v>
      </c>
      <c r="R179" s="24">
        <f>+VLOOKUP(B179,[1]Balance_Madden!$A$12:$V$5087,14)/35.32</f>
        <v>21.51893869772281</v>
      </c>
      <c r="S179" s="26">
        <f>[1]Balance_Gatún!X178/35.32</f>
        <v>74.703229525819367</v>
      </c>
      <c r="T179" s="25">
        <v>86.396046221147387</v>
      </c>
      <c r="U179" s="25">
        <v>60.390551803122754</v>
      </c>
      <c r="V179" s="29">
        <f>LOOKUP(D179,[1]Parámetros!$A$7:$A$24,[1]Parámetros!$B$7:$B$24)</f>
        <v>46.5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46.5</v>
      </c>
      <c r="AC179" s="32">
        <f>IFERROR($A180-LOOKUP($A180,$Z$14:$Z179),"")</f>
        <v>4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250.72300000000001</v>
      </c>
      <c r="D180" s="25">
        <f>+VLOOKUP(B180,[1]Balance_Gatún!$A$13:$E$5087,2)</f>
        <v>81.85093295610325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2.7027027027027026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0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4.9326018571231174</v>
      </c>
      <c r="P180" s="24">
        <f>+VLOOKUP(B180,[1]Balance_Madden!$A$12:$V$5087,12)/35.32</f>
        <v>2.3432732541356014</v>
      </c>
      <c r="Q180" s="25">
        <f>+VLOOKUP(B180,[1]Balance_Gatún!$A$13:$AD$5087,15)/35.32</f>
        <v>18.015785691469627</v>
      </c>
      <c r="R180" s="24">
        <f>+VLOOKUP(B180,[1]Balance_Madden!$A$12:$V$5087,14)/35.32</f>
        <v>23.090725122765271</v>
      </c>
      <c r="S180" s="26">
        <f>[1]Balance_Gatún!X179/35.32</f>
        <v>86.733661654273078</v>
      </c>
      <c r="T180" s="25">
        <v>60.454300049610268</v>
      </c>
      <c r="U180" s="25">
        <v>44.413309906159647</v>
      </c>
      <c r="V180" s="29">
        <f>LOOKUP(D180,[1]Parámetros!$A$7:$A$24,[1]Parámetros!$B$7:$B$24)</f>
        <v>46.5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46.5</v>
      </c>
      <c r="AC180" s="32">
        <f>IFERROR($A181-LOOKUP($A181,$Z$14:$Z180),"")</f>
        <v>5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250.72399999999999</v>
      </c>
      <c r="D181" s="25">
        <f>+VLOOKUP(B181,[1]Balance_Gatún!$A$13:$E$5087,2)</f>
        <v>81.81125350544977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2.7027027027027026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0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4.9264059606022146</v>
      </c>
      <c r="P181" s="24">
        <f>+VLOOKUP(B181,[1]Balance_Madden!$A$12:$V$5087,12)/35.32</f>
        <v>1.9271506468218198</v>
      </c>
      <c r="Q181" s="25">
        <f>+VLOOKUP(B181,[1]Balance_Gatún!$A$13:$AD$5087,15)/35.32</f>
        <v>14.808574391599963</v>
      </c>
      <c r="R181" s="24">
        <f>+VLOOKUP(B181,[1]Balance_Madden!$A$12:$V$5087,14)/35.32</f>
        <v>22.674602515451493</v>
      </c>
      <c r="S181" s="26">
        <f>[1]Balance_Gatún!X180/35.32</f>
        <v>83.454755481580847</v>
      </c>
      <c r="T181" s="25">
        <v>98.243342325601049</v>
      </c>
      <c r="U181" s="25">
        <v>63.368923336280176</v>
      </c>
      <c r="V181" s="29">
        <f>LOOKUP(D181,[1]Parámetros!$A$7:$A$24,[1]Parámetros!$B$7:$B$24)</f>
        <v>46.5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46.5</v>
      </c>
      <c r="AC181" s="32">
        <f>IFERROR($A182-LOOKUP($A182,$Z$14:$Z181),"")</f>
        <v>6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250.726</v>
      </c>
      <c r="D182" s="25">
        <f>+VLOOKUP(B182,[1]Balance_Gatún!$A$13:$E$5087,2)</f>
        <v>81.804223510724995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2.7027027027027026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0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4.9253082357310305</v>
      </c>
      <c r="P182" s="24">
        <f>+VLOOKUP(B182,[1]Balance_Madden!$A$12:$V$5087,12)/35.32</f>
        <v>1.3145374888794308</v>
      </c>
      <c r="Q182" s="25">
        <f>+VLOOKUP(B182,[1]Balance_Gatún!$A$13:$AD$5087,15)/35.32</f>
        <v>10.099962952408948</v>
      </c>
      <c r="R182" s="24">
        <f>+VLOOKUP(B182,[1]Balance_Madden!$A$12:$V$5087,14)/35.32</f>
        <v>22.061989357509102</v>
      </c>
      <c r="S182" s="26">
        <f>[1]Balance_Gatún!X181/35.32</f>
        <v>78.733441886250191</v>
      </c>
      <c r="T182" s="25">
        <v>73.857926159513028</v>
      </c>
      <c r="U182" s="25">
        <v>54.541123684154925</v>
      </c>
      <c r="V182" s="29">
        <f>LOOKUP(D182,[1]Parámetros!$A$7:$A$24,[1]Parámetros!$B$7:$B$24)</f>
        <v>46.5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46.5</v>
      </c>
      <c r="AC182" s="32">
        <f>IFERROR($A183-LOOKUP($A183,$Z$14:$Z182),"")</f>
        <v>7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251.011</v>
      </c>
      <c r="D183" s="25">
        <f>+VLOOKUP(B183,[1]Balance_Gatún!$A$13:$E$5087,2)</f>
        <v>81.785297484650386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2.7027027027027026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0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4.922352960464389</v>
      </c>
      <c r="P183" s="24">
        <f>+VLOOKUP(B183,[1]Balance_Madden!$A$12:$V$5087,12)/35.32</f>
        <v>1.003160833185043</v>
      </c>
      <c r="Q183" s="25">
        <f>+VLOOKUP(B183,[1]Balance_Gatún!$A$13:$AD$5087,15)/35.32</f>
        <v>7.6792355654703668</v>
      </c>
      <c r="R183" s="24">
        <f>+VLOOKUP(B183,[1]Balance_Madden!$A$12:$V$5087,14)/35.32</f>
        <v>21.750612701814713</v>
      </c>
      <c r="S183" s="26">
        <f>[1]Balance_Gatún!X182/35.32</f>
        <v>76.278517981715993</v>
      </c>
      <c r="T183" s="25">
        <v>76.193383965248685</v>
      </c>
      <c r="U183" s="25">
        <v>40.577926109948933</v>
      </c>
      <c r="V183" s="29">
        <f>LOOKUP(D183,[1]Parámetros!$A$7:$A$24,[1]Parámetros!$B$7:$B$24)</f>
        <v>46.5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46.5</v>
      </c>
      <c r="AC183" s="32">
        <f>IFERROR($A184-LOOKUP($A184,$Z$14:$Z183),"")</f>
        <v>8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251.06800000000001</v>
      </c>
      <c r="D184" s="25">
        <f>+VLOOKUP(B184,[1]Balance_Gatún!$A$13:$E$5087,2)</f>
        <v>81.764864041132256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2.7027027027027026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0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4.9191623038519863</v>
      </c>
      <c r="P184" s="24">
        <f>+VLOOKUP(B184,[1]Balance_Madden!$A$12:$V$5087,12)/35.32</f>
        <v>1.8518886888982149</v>
      </c>
      <c r="Q184" s="25">
        <f>+VLOOKUP(B184,[1]Balance_Gatún!$A$13:$AD$5087,15)/35.32</f>
        <v>14.162739302432588</v>
      </c>
      <c r="R184" s="24">
        <f>+VLOOKUP(B184,[1]Balance_Madden!$A$12:$V$5087,14)/35.32</f>
        <v>22.599340557527885</v>
      </c>
      <c r="S184" s="26">
        <f>[1]Balance_Gatún!X183/35.32</f>
        <v>82.725101521693816</v>
      </c>
      <c r="T184" s="25">
        <v>74.993245766349048</v>
      </c>
      <c r="U184" s="25">
        <v>35.423037741783645</v>
      </c>
      <c r="V184" s="29">
        <f>LOOKUP(D184,[1]Parámetros!$A$7:$A$24,[1]Parámetros!$B$7:$B$24)</f>
        <v>46.5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46.5</v>
      </c>
      <c r="AC184" s="32">
        <f>IFERROR($A185-LOOKUP($A185,$Z$14:$Z184),"")</f>
        <v>9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251.08799999999999</v>
      </c>
      <c r="D185" s="25">
        <f>+VLOOKUP(B185,[1]Balance_Gatún!$A$13:$E$5087,2)</f>
        <v>81.736206643668837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2.7027027027027026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0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4.9146874871315553</v>
      </c>
      <c r="P185" s="24">
        <f>+VLOOKUP(B185,[1]Balance_Madden!$A$12:$V$5087,12)/35.32</f>
        <v>1.0089002846474191</v>
      </c>
      <c r="Q185" s="25">
        <f>+VLOOKUP(B185,[1]Balance_Gatún!$A$13:$AD$5087,15)/35.32</f>
        <v>7.7110178673980263</v>
      </c>
      <c r="R185" s="24">
        <f>+VLOOKUP(B185,[1]Balance_Madden!$A$12:$V$5087,14)/35.32</f>
        <v>21.756352153277088</v>
      </c>
      <c r="S185" s="26">
        <f>[1]Balance_Gatún!X184/35.32</f>
        <v>76.221600426590172</v>
      </c>
      <c r="T185" s="25">
        <v>132.56648057926034</v>
      </c>
      <c r="U185" s="25">
        <v>80.226628638938266</v>
      </c>
      <c r="V185" s="29">
        <f>LOOKUP(D185,[1]Parámetros!$A$7:$A$24,[1]Parámetros!$B$7:$B$24)</f>
        <v>46.5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46.5</v>
      </c>
      <c r="AC185" s="32">
        <f>IFERROR($A186-LOOKUP($A186,$Z$14:$Z185),"")</f>
        <v>10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251.22</v>
      </c>
      <c r="D186" s="25">
        <f>+VLOOKUP(B186,[1]Balance_Gatún!$A$13:$E$5087,2)</f>
        <v>81.728802026760064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2.7027027027027026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0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4.9135312654755561</v>
      </c>
      <c r="P186" s="24">
        <f>+VLOOKUP(B186,[1]Balance_Madden!$A$12:$V$5087,12)/35.32</f>
        <v>1.1394196495456113</v>
      </c>
      <c r="Q186" s="25">
        <f>+VLOOKUP(B186,[1]Balance_Gatún!$A$13:$AD$5087,15)/35.32</f>
        <v>8.6939171432916034</v>
      </c>
      <c r="R186" s="24">
        <f>+VLOOKUP(B186,[1]Balance_Madden!$A$12:$V$5087,14)/35.32</f>
        <v>21.88687151817528</v>
      </c>
      <c r="S186" s="26">
        <f>[1]Balance_Gatún!X185/35.32</f>
        <v>77.191120659708929</v>
      </c>
      <c r="T186" s="25">
        <v>110.97800424872834</v>
      </c>
      <c r="U186" s="25">
        <v>43.615864736151835</v>
      </c>
      <c r="V186" s="29">
        <f>LOOKUP(D186,[1]Parámetros!$A$7:$A$24,[1]Parámetros!$B$7:$B$24)</f>
        <v>46.5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46.5</v>
      </c>
      <c r="AC186" s="32">
        <f>IFERROR($A187-LOOKUP($A187,$Z$14:$Z186),"")</f>
        <v>11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251.30799999999999</v>
      </c>
      <c r="D187" s="25">
        <f>+VLOOKUP(B187,[1]Balance_Gatún!$A$13:$E$5087,2)</f>
        <v>81.709154875862666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2.7027027027027026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0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4.9104633874710446</v>
      </c>
      <c r="P187" s="24">
        <f>+VLOOKUP(B187,[1]Balance_Madden!$A$12:$V$5087,12)/35.32</f>
        <v>0.83309695080473944</v>
      </c>
      <c r="Q187" s="25">
        <f>+VLOOKUP(B187,[1]Balance_Gatún!$A$13:$AD$5087,15)/35.32</f>
        <v>6.3482707324547931</v>
      </c>
      <c r="R187" s="24">
        <f>+VLOOKUP(B187,[1]Balance_Madden!$A$12:$V$5087,14)/35.32</f>
        <v>21.580548819434409</v>
      </c>
      <c r="S187" s="26">
        <f>[1]Balance_Gatún!X186/35.32</f>
        <v>74.809974765847087</v>
      </c>
      <c r="T187" s="25">
        <v>85.74637928136687</v>
      </c>
      <c r="U187" s="25">
        <v>51.134790360737938</v>
      </c>
      <c r="V187" s="29">
        <f>LOOKUP(D187,[1]Parámetros!$A$7:$A$24,[1]Parámetros!$B$7:$B$24)</f>
        <v>46.5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46.5</v>
      </c>
      <c r="AC187" s="32">
        <f>IFERROR($A188-LOOKUP($A188,$Z$14:$Z187),"")</f>
        <v>12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251.36799999999999</v>
      </c>
      <c r="D188" s="25">
        <f>+VLOOKUP(B188,[1]Balance_Gatún!$A$13:$E$5087,2)</f>
        <v>81.683118699523845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2.7027027027027026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0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4.9063978711461322</v>
      </c>
      <c r="P188" s="24">
        <f>+VLOOKUP(B188,[1]Balance_Madden!$A$12:$V$5087,12)/35.32</f>
        <v>1.7192348904191896</v>
      </c>
      <c r="Q188" s="25">
        <f>+VLOOKUP(B188,[1]Balance_Gatún!$A$13:$AD$5087,15)/35.32</f>
        <v>13.086777745410616</v>
      </c>
      <c r="R188" s="24">
        <f>+VLOOKUP(B188,[1]Balance_Madden!$A$12:$V$5087,14)/35.32</f>
        <v>22.466686759048859</v>
      </c>
      <c r="S188" s="26">
        <f>[1]Balance_Gatún!X187/35.32</f>
        <v>81.501438275915262</v>
      </c>
      <c r="T188" s="25">
        <v>82.942781649967188</v>
      </c>
      <c r="U188" s="25">
        <v>40.170383842724107</v>
      </c>
      <c r="V188" s="29">
        <f>LOOKUP(D188,[1]Parámetros!$A$7:$A$24,[1]Parámetros!$B$7:$B$24)</f>
        <v>46.5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46.5</v>
      </c>
      <c r="AC188" s="32">
        <f>IFERROR($A189-LOOKUP($A189,$Z$14:$Z188),"")</f>
        <v>13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251.404</v>
      </c>
      <c r="D189" s="25">
        <f>+VLOOKUP(B189,[1]Balance_Gatún!$A$13:$E$5087,2)</f>
        <v>81.651993231019276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2.7027027027027026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0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4.9015376682238925</v>
      </c>
      <c r="P189" s="24">
        <f>+VLOOKUP(B189,[1]Balance_Madden!$A$12:$V$5087,12)/35.32</f>
        <v>1.9748627950469144</v>
      </c>
      <c r="Q189" s="25">
        <f>+VLOOKUP(B189,[1]Balance_Gatún!$A$13:$AD$5087,15)/35.32</f>
        <v>15.019932200407307</v>
      </c>
      <c r="R189" s="24">
        <f>+VLOOKUP(B189,[1]Balance_Madden!$A$12:$V$5087,14)/35.32</f>
        <v>22.722314663676585</v>
      </c>
      <c r="S189" s="26">
        <f>[1]Balance_Gatún!X188/35.32</f>
        <v>83.378353633111288</v>
      </c>
      <c r="T189" s="25">
        <v>50.756731238073016</v>
      </c>
      <c r="U189" s="25">
        <v>36.314321336479772</v>
      </c>
      <c r="V189" s="29">
        <f>LOOKUP(D189,[1]Parámetros!$A$7:$A$24,[1]Parámetros!$B$7:$B$24)</f>
        <v>46.5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46.5</v>
      </c>
      <c r="AC189" s="32">
        <f>IFERROR($A190-LOOKUP($A190,$Z$14:$Z189),"")</f>
        <v>14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251.43</v>
      </c>
      <c r="D190" s="25">
        <f>+VLOOKUP(B190,[1]Balance_Gatún!$A$13:$E$5087,2)</f>
        <v>81.617428012315955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2.7027027027027026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0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4.8961403526164142</v>
      </c>
      <c r="P190" s="24">
        <f>+VLOOKUP(B190,[1]Balance_Madden!$A$12:$V$5087,12)/35.32</f>
        <v>1.9110998323149788</v>
      </c>
      <c r="Q190" s="25">
        <f>+VLOOKUP(B190,[1]Balance_Gatún!$A$13:$AD$5087,15)/35.32</f>
        <v>14.52380010868027</v>
      </c>
      <c r="R190" s="24">
        <f>+VLOOKUP(B190,[1]Balance_Madden!$A$12:$V$5087,14)/35.32</f>
        <v>22.658551700944649</v>
      </c>
      <c r="S190" s="26">
        <f>[1]Balance_Gatún!X189/35.32</f>
        <v>82.819767325960257</v>
      </c>
      <c r="T190" s="25">
        <v>193.9515237575263</v>
      </c>
      <c r="U190" s="25">
        <v>67.152119282282015</v>
      </c>
      <c r="V190" s="29">
        <f>LOOKUP(D190,[1]Parámetros!$A$7:$A$24,[1]Parámetros!$B$7:$B$24)</f>
        <v>46.5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46.5</v>
      </c>
      <c r="AC190" s="32">
        <f>IFERROR($A191-LOOKUP($A191,$Z$14:$Z190),"")</f>
        <v>15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251.44800000000001</v>
      </c>
      <c r="D191" s="25">
        <f>+VLOOKUP(B191,[1]Balance_Gatún!$A$13:$E$5087,2)</f>
        <v>81.582925829414066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2.7027027027027026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0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4.8907528799703792</v>
      </c>
      <c r="P191" s="24">
        <f>+VLOOKUP(B191,[1]Balance_Madden!$A$12:$V$5087,12)/35.32</f>
        <v>2.3599032816652965</v>
      </c>
      <c r="Q191" s="25">
        <f>+VLOOKUP(B191,[1]Balance_Gatún!$A$13:$AD$5087,15)/35.32</f>
        <v>17.922513547779555</v>
      </c>
      <c r="R191" s="24">
        <f>+VLOOKUP(B191,[1]Balance_Madden!$A$12:$V$5087,14)/35.32</f>
        <v>23.107355150294968</v>
      </c>
      <c r="S191" s="26">
        <f>[1]Balance_Gatún!X190/35.32</f>
        <v>86.156140445964539</v>
      </c>
      <c r="T191" s="25">
        <v>94.977756283396815</v>
      </c>
      <c r="U191" s="25">
        <v>58.838532451589103</v>
      </c>
      <c r="V191" s="29">
        <f>LOOKUP(D191,[1]Parámetros!$A$7:$A$24,[1]Parámetros!$B$7:$B$24)</f>
        <v>46.5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46.5</v>
      </c>
      <c r="AC191" s="32">
        <f>IFERROR($A192-LOOKUP($A192,$Z$14:$Z191),"")</f>
        <v>16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251.45599999999999</v>
      </c>
      <c r="D192" s="25">
        <f>+VLOOKUP(B192,[1]Balance_Gatún!$A$13:$E$5087,2)</f>
        <v>81.544913468289408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2.7027027027027026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0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4.8848172973913657</v>
      </c>
      <c r="P192" s="24">
        <f>+VLOOKUP(B192,[1]Balance_Madden!$A$12:$V$5087,12)/35.32</f>
        <v>0.68632740744054588</v>
      </c>
      <c r="Q192" s="25">
        <f>+VLOOKUP(B192,[1]Balance_Gatún!$A$13:$AD$5087,15)/35.32</f>
        <v>5.2092560696944821</v>
      </c>
      <c r="R192" s="24">
        <f>+VLOOKUP(B192,[1]Balance_Madden!$A$12:$V$5087,14)/35.32</f>
        <v>21.433779276070215</v>
      </c>
      <c r="S192" s="26">
        <f>[1]Balance_Gatún!X191/35.32</f>
        <v>73.374200278184048</v>
      </c>
      <c r="T192" s="25">
        <v>96.544403138638629</v>
      </c>
      <c r="U192" s="25">
        <v>74.942286223092026</v>
      </c>
      <c r="V192" s="29">
        <f>LOOKUP(D192,[1]Parámetros!$A$7:$A$24,[1]Parámetros!$B$7:$B$24)</f>
        <v>46.5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46.5</v>
      </c>
      <c r="AC192" s="32">
        <f>IFERROR($A193-LOOKUP($A193,$Z$14:$Z192),"")</f>
        <v>17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251.428</v>
      </c>
      <c r="D193" s="25">
        <f>+VLOOKUP(B193,[1]Balance_Gatún!$A$13:$E$5087,2)</f>
        <v>81.512936817274579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2.7027027027027026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0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4.8798241833862575</v>
      </c>
      <c r="P193" s="24">
        <f>+VLOOKUP(B193,[1]Balance_Madden!$A$12:$V$5087,12)/35.32</f>
        <v>1.481618964728902</v>
      </c>
      <c r="Q193" s="25">
        <f>+VLOOKUP(B193,[1]Balance_Gatún!$A$13:$AD$5087,15)/35.32</f>
        <v>11.244567859806859</v>
      </c>
      <c r="R193" s="24">
        <f>+VLOOKUP(B193,[1]Balance_Madden!$A$12:$V$5087,14)/35.32</f>
        <v>22.229070833358573</v>
      </c>
      <c r="S193" s="26">
        <f>[1]Balance_Gatún!X192/35.32</f>
        <v>79.351735010145561</v>
      </c>
      <c r="T193" s="25">
        <v>83.535512912937406</v>
      </c>
      <c r="U193" s="25">
        <v>159.37491214473945</v>
      </c>
      <c r="V193" s="29">
        <f>LOOKUP(D193,[1]Parámetros!$A$7:$A$24,[1]Parámetros!$B$7:$B$24)</f>
        <v>46.5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46.5</v>
      </c>
      <c r="AC193" s="32">
        <f>IFERROR($A194-LOOKUP($A194,$Z$14:$Z193),"")</f>
        <v>18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251.46600000000001</v>
      </c>
      <c r="D194" s="25">
        <f>+VLOOKUP(B194,[1]Balance_Gatún!$A$13:$E$5087,2)</f>
        <v>81.478312127601711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2.7027027027027026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0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4.8744175814613726</v>
      </c>
      <c r="P194" s="24">
        <f>+VLOOKUP(B194,[1]Balance_Madden!$A$12:$V$5087,12)/35.32</f>
        <v>0.83684106630055521</v>
      </c>
      <c r="Q194" s="25">
        <f>+VLOOKUP(B194,[1]Balance_Gatún!$A$13:$AD$5087,15)/35.32</f>
        <v>6.3452956079575804</v>
      </c>
      <c r="R194" s="24">
        <f>+VLOOKUP(B194,[1]Balance_Madden!$A$12:$V$5087,14)/35.32</f>
        <v>21.584292934930225</v>
      </c>
      <c r="S194" s="26">
        <f>[1]Balance_Gatún!X193/35.32</f>
        <v>74.38990108766491</v>
      </c>
      <c r="T194" s="25">
        <v>83.741234987008227</v>
      </c>
      <c r="U194" s="25">
        <v>75.295784723503459</v>
      </c>
      <c r="V194" s="29">
        <f>LOOKUP(D194,[1]Parámetros!$A$7:$A$24,[1]Parámetros!$B$7:$B$24)</f>
        <v>46</v>
      </c>
      <c r="W194" s="30" t="str">
        <f t="shared" si="12"/>
        <v>Cambio Calado</v>
      </c>
      <c r="X194" s="31">
        <f t="shared" si="13"/>
        <v>46384</v>
      </c>
      <c r="Y194" s="30">
        <f>IF($W194="Cambio Calado",COUNTIF($W$14:W194,"Cambio Calado"),"")</f>
        <v>8</v>
      </c>
      <c r="Z194" s="31">
        <f t="shared" si="14"/>
        <v>46384</v>
      </c>
      <c r="AA194" s="30">
        <f t="shared" si="15"/>
        <v>46</v>
      </c>
      <c r="AB194" s="29">
        <f>IFERROR(LOOKUP($A194,$Z$14:$Z194,$AA$14:$AA194),$U194)</f>
        <v>46</v>
      </c>
      <c r="AC194" s="32">
        <f>IFERROR($A195-LOOKUP($A195,$Z$14:$Z194),"")</f>
        <v>1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251.63200000000001</v>
      </c>
      <c r="D195" s="25">
        <f>+VLOOKUP(B195,[1]Balance_Gatún!$A$13:$E$5087,2)</f>
        <v>81.457045528937456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2.7027027027027026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0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4.871096828716432</v>
      </c>
      <c r="P195" s="24">
        <f>+VLOOKUP(B195,[1]Balance_Madden!$A$12:$V$5087,12)/35.32</f>
        <v>1.253931265925238</v>
      </c>
      <c r="Q195" s="25">
        <f>+VLOOKUP(B195,[1]Balance_Gatún!$A$13:$AD$5087,15)/35.32</f>
        <v>9.4862751665728595</v>
      </c>
      <c r="R195" s="24">
        <f>+VLOOKUP(B195,[1]Balance_Madden!$A$12:$V$5087,14)/35.32</f>
        <v>22.00138313455491</v>
      </c>
      <c r="S195" s="26">
        <f>[1]Balance_Gatún!X194/35.32</f>
        <v>77.492455061714594</v>
      </c>
      <c r="T195" s="25">
        <v>83.312340491788078</v>
      </c>
      <c r="U195" s="25">
        <v>55.307151562534223</v>
      </c>
      <c r="V195" s="29">
        <f>LOOKUP(D195,[1]Parámetros!$A$7:$A$24,[1]Parámetros!$B$7:$B$24)</f>
        <v>46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46</v>
      </c>
      <c r="AC195" s="32">
        <f>IFERROR($A196-LOOKUP($A196,$Z$14:$Z195),"")</f>
        <v>2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251.654</v>
      </c>
      <c r="D196" s="25">
        <f>+VLOOKUP(B196,[1]Balance_Gatún!$A$13:$E$5087,2)</f>
        <v>81.430665835358511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2.7027027027027026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0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4.8669776726047296</v>
      </c>
      <c r="P196" s="24">
        <f>+VLOOKUP(B196,[1]Balance_Madden!$A$12:$V$5087,12)/35.32</f>
        <v>0.97458926612416352</v>
      </c>
      <c r="Q196" s="25">
        <f>+VLOOKUP(B196,[1]Balance_Gatún!$A$13:$AD$5087,15)/35.32</f>
        <v>7.3684668546413867</v>
      </c>
      <c r="R196" s="24">
        <f>+VLOOKUP(B196,[1]Balance_Madden!$A$12:$V$5087,14)/35.32</f>
        <v>21.72204113475383</v>
      </c>
      <c r="S196" s="26">
        <f>[1]Balance_Gatún!X195/35.32</f>
        <v>75.32698256227313</v>
      </c>
      <c r="T196" s="25">
        <v>66.694991251287803</v>
      </c>
      <c r="U196" s="25">
        <v>79.273982441728961</v>
      </c>
      <c r="V196" s="29">
        <f>LOOKUP(D196,[1]Parámetros!$A$7:$A$24,[1]Parámetros!$B$7:$B$24)</f>
        <v>46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46</v>
      </c>
      <c r="AC196" s="32">
        <f>IFERROR($A197-LOOKUP($A197,$Z$14:$Z196),"")</f>
        <v>3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251.649</v>
      </c>
      <c r="D197" s="25">
        <f>+VLOOKUP(B197,[1]Balance_Gatún!$A$13:$E$5087,2)</f>
        <v>81.420184148579168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0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4.8653409703424817</v>
      </c>
      <c r="P197" s="24">
        <f>+VLOOKUP(B197,[1]Balance_Madden!$A$12:$V$5087,12)/35.32</f>
        <v>1.5713786168360235</v>
      </c>
      <c r="Q197" s="25">
        <f>+VLOOKUP(B197,[1]Balance_Gatún!$A$13:$AD$5087,15)/35.32</f>
        <v>11.879603933936073</v>
      </c>
      <c r="R197" s="24">
        <f>+VLOOKUP(B197,[1]Balance_Madden!$A$12:$V$5087,14)/35.32</f>
        <v>13.82505925103761</v>
      </c>
      <c r="S197" s="26">
        <f>[1]Balance_Gatún!X196/35.32</f>
        <v>79.819180790645376</v>
      </c>
      <c r="T197" s="25">
        <v>20.997374833938132</v>
      </c>
      <c r="U197" s="25">
        <v>87.882793237950651</v>
      </c>
      <c r="V197" s="29">
        <f>LOOKUP(D197,[1]Parámetros!$A$7:$A$24,[1]Parámetros!$B$7:$B$24)</f>
        <v>46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46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2026-08-03T19:48:30Z</dcterms:modified>
</cp:coreProperties>
</file>