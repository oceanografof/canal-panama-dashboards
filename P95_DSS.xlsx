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ncanal-my.sharepoint.com/personal/jfrodriguez_pancanal_com/Documents/Documents/Doc Doctorado/Articulo 1/Borrador Articulo/nuevo/MareasTest/DATA/TuRepo/"/>
    </mc:Choice>
  </mc:AlternateContent>
  <xr:revisionPtr revIDLastSave="22" documentId="8_{29E71870-274C-47BF-AFC6-36C7708B9818}" xr6:coauthVersionLast="47" xr6:coauthVersionMax="47" xr10:uidLastSave="{2D59DAB1-7893-4B19-B865-BDE23A08E856}"/>
  <bookViews>
    <workbookView xWindow="-28920" yWindow="-120" windowWidth="29040" windowHeight="17520" xr2:uid="{E6F809A6-540B-408C-B3E0-0EE9CB858D76}"/>
  </bookViews>
  <sheets>
    <sheet name="Resumen 1  " sheetId="4" r:id="rId1"/>
    <sheet name="Sheet1" sheetId="1" r:id="rId2"/>
  </sheets>
  <externalReferences>
    <externalReference r:id="rId3"/>
  </externalReferences>
  <definedNames>
    <definedName name="ABRIL">#REF!</definedName>
    <definedName name="ACACFTLOCK">#REF!</definedName>
    <definedName name="ACCCAACFTLOCK">#REF!</definedName>
    <definedName name="ACLLOCKONLYACFTLOCK">#REF!</definedName>
    <definedName name="agosto">#REF!</definedName>
    <definedName name="CCLLOCKONLYACFTLOCK">#REF!</definedName>
    <definedName name="COCACFTLOCK">#REF!</definedName>
    <definedName name="COCCCAACFTLOCK">#REF!</definedName>
    <definedName name="_xlnm.Database">#REF!</definedName>
    <definedName name="diciembre">#REF!</definedName>
    <definedName name="ENERO">#REF!</definedName>
    <definedName name="epfeb">#REF!</definedName>
    <definedName name="epjan">#REF!</definedName>
    <definedName name="febrero">#REF!</definedName>
    <definedName name="GAT_DAY">#REF!</definedName>
    <definedName name="GAT_ELEV">#REF!</definedName>
    <definedName name="GAT_ESA_ACFT">#REF!</definedName>
    <definedName name="GAT_ESA_AREA">#REF!</definedName>
    <definedName name="GAT_ESA_ELEV">#REF!</definedName>
    <definedName name="GAT_EVAP_AVG">#REF!</definedName>
    <definedName name="GAT_MONTH">#REF!</definedName>
    <definedName name="GATACFTLOCK">#REF!</definedName>
    <definedName name="Jan">#REF!</definedName>
    <definedName name="Julio">#REF!</definedName>
    <definedName name="JUNIO">#REF!</definedName>
    <definedName name="MAD_ESA_ACFT">#REF!</definedName>
    <definedName name="MAD_ESA_AREA">#REF!</definedName>
    <definedName name="MAD_ESA_ELEV">#REF!</definedName>
    <definedName name="MAD_EVAP_AVG">#REF!</definedName>
    <definedName name="MAD_SED_EA">#REF!</definedName>
    <definedName name="MAD_SED_ES">#REF!</definedName>
    <definedName name="Marzo">#REF!</definedName>
    <definedName name="MAYO">#REF!</definedName>
    <definedName name="MONTH_POR">#REF!</definedName>
    <definedName name="noviembre">#REF!</definedName>
    <definedName name="octubre">#REF!</definedName>
    <definedName name="PMACFTLOCK">#REF!</definedName>
    <definedName name="ROUNDED_ELEV">#REF!</definedName>
    <definedName name="septiembre">#REF!</definedName>
    <definedName name="YEAR_PO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77" i="4" l="1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A161" i="4"/>
  <c r="B160" i="4"/>
  <c r="A160" i="4" s="1"/>
  <c r="B159" i="4"/>
  <c r="B158" i="4"/>
  <c r="B157" i="4"/>
  <c r="B156" i="4"/>
  <c r="A156" i="4" s="1"/>
  <c r="B155" i="4"/>
  <c r="B154" i="4"/>
  <c r="B153" i="4"/>
  <c r="B152" i="4"/>
  <c r="B151" i="4"/>
  <c r="B150" i="4"/>
  <c r="B149" i="4"/>
  <c r="B148" i="4"/>
  <c r="A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A133" i="4"/>
  <c r="B132" i="4"/>
  <c r="F132" i="4" s="1"/>
  <c r="B131" i="4"/>
  <c r="A131" i="4"/>
  <c r="B130" i="4"/>
  <c r="A130" i="4" s="1"/>
  <c r="B129" i="4"/>
  <c r="B128" i="4"/>
  <c r="B127" i="4"/>
  <c r="B126" i="4"/>
  <c r="A126" i="4" s="1"/>
  <c r="B125" i="4"/>
  <c r="B124" i="4"/>
  <c r="B123" i="4"/>
  <c r="B122" i="4"/>
  <c r="B121" i="4"/>
  <c r="B120" i="4"/>
  <c r="B119" i="4"/>
  <c r="B118" i="4"/>
  <c r="B117" i="4"/>
  <c r="B116" i="4"/>
  <c r="B115" i="4"/>
  <c r="A115" i="4" s="1"/>
  <c r="B114" i="4"/>
  <c r="B113" i="4"/>
  <c r="A113" i="4" s="1"/>
  <c r="B112" i="4"/>
  <c r="B111" i="4"/>
  <c r="B110" i="4"/>
  <c r="B109" i="4"/>
  <c r="B108" i="4"/>
  <c r="B107" i="4"/>
  <c r="B106" i="4"/>
  <c r="B105" i="4"/>
  <c r="B104" i="4"/>
  <c r="B103" i="4"/>
  <c r="A103" i="4"/>
  <c r="B102" i="4"/>
  <c r="A102" i="4" s="1"/>
  <c r="B101" i="4"/>
  <c r="B100" i="4"/>
  <c r="B99" i="4"/>
  <c r="A99" i="4" s="1"/>
  <c r="B98" i="4"/>
  <c r="B97" i="4"/>
  <c r="B96" i="4"/>
  <c r="B95" i="4"/>
  <c r="B94" i="4"/>
  <c r="B93" i="4"/>
  <c r="B92" i="4"/>
  <c r="B91" i="4"/>
  <c r="B90" i="4"/>
  <c r="A90" i="4" s="1"/>
  <c r="B89" i="4"/>
  <c r="A89" i="4" s="1"/>
  <c r="B88" i="4"/>
  <c r="A88" i="4" s="1"/>
  <c r="B87" i="4"/>
  <c r="A87" i="4" s="1"/>
  <c r="B86" i="4"/>
  <c r="A86" i="4" s="1"/>
  <c r="B85" i="4"/>
  <c r="A85" i="4" s="1"/>
  <c r="B84" i="4"/>
  <c r="A84" i="4" s="1"/>
  <c r="B83" i="4"/>
  <c r="A83" i="4" s="1"/>
  <c r="B82" i="4"/>
  <c r="A82" i="4" s="1"/>
  <c r="B81" i="4"/>
  <c r="A81" i="4" s="1"/>
  <c r="B80" i="4"/>
  <c r="A80" i="4" s="1"/>
  <c r="B79" i="4"/>
  <c r="A79" i="4"/>
  <c r="B78" i="4"/>
  <c r="A78" i="4" s="1"/>
  <c r="B77" i="4"/>
  <c r="A77" i="4" s="1"/>
  <c r="B76" i="4"/>
  <c r="A76" i="4" s="1"/>
  <c r="B75" i="4"/>
  <c r="A75" i="4" s="1"/>
  <c r="B74" i="4"/>
  <c r="A74" i="4" s="1"/>
  <c r="B73" i="4"/>
  <c r="A73" i="4" s="1"/>
  <c r="B72" i="4"/>
  <c r="A72" i="4" s="1"/>
  <c r="B71" i="4"/>
  <c r="A71" i="4" s="1"/>
  <c r="B70" i="4"/>
  <c r="A70" i="4" s="1"/>
  <c r="B69" i="4"/>
  <c r="A69" i="4" s="1"/>
  <c r="B68" i="4"/>
  <c r="A68" i="4" s="1"/>
  <c r="B67" i="4"/>
  <c r="A67" i="4" s="1"/>
  <c r="B66" i="4"/>
  <c r="A66" i="4" s="1"/>
  <c r="B65" i="4"/>
  <c r="A65" i="4" s="1"/>
  <c r="B64" i="4"/>
  <c r="A64" i="4" s="1"/>
  <c r="B63" i="4"/>
  <c r="A63" i="4" s="1"/>
  <c r="B62" i="4"/>
  <c r="A62" i="4" s="1"/>
  <c r="B61" i="4"/>
  <c r="A61" i="4" s="1"/>
  <c r="B60" i="4"/>
  <c r="A60" i="4" s="1"/>
  <c r="B59" i="4"/>
  <c r="A59" i="4" s="1"/>
  <c r="B58" i="4"/>
  <c r="A58" i="4" s="1"/>
  <c r="B57" i="4"/>
  <c r="A57" i="4" s="1"/>
  <c r="B56" i="4"/>
  <c r="A56" i="4" s="1"/>
  <c r="B55" i="4"/>
  <c r="A55" i="4" s="1"/>
  <c r="B54" i="4"/>
  <c r="A54" i="4" s="1"/>
  <c r="B53" i="4"/>
  <c r="A53" i="4" s="1"/>
  <c r="B52" i="4"/>
  <c r="A52" i="4" s="1"/>
  <c r="B51" i="4"/>
  <c r="A51" i="4"/>
  <c r="B50" i="4"/>
  <c r="A50" i="4" s="1"/>
  <c r="B49" i="4"/>
  <c r="A49" i="4" s="1"/>
  <c r="B48" i="4"/>
  <c r="A48" i="4" s="1"/>
  <c r="B47" i="4"/>
  <c r="A47" i="4" s="1"/>
  <c r="S46" i="4"/>
  <c r="B46" i="4"/>
  <c r="A46" i="4" s="1"/>
  <c r="S45" i="4"/>
  <c r="B45" i="4"/>
  <c r="A45" i="4" s="1"/>
  <c r="S44" i="4"/>
  <c r="B44" i="4"/>
  <c r="A44" i="4" s="1"/>
  <c r="S43" i="4"/>
  <c r="B43" i="4"/>
  <c r="A43" i="4" s="1"/>
  <c r="S42" i="4"/>
  <c r="B42" i="4"/>
  <c r="A42" i="4" s="1"/>
  <c r="S41" i="4"/>
  <c r="B41" i="4"/>
  <c r="A41" i="4" s="1"/>
  <c r="S40" i="4"/>
  <c r="B40" i="4"/>
  <c r="A40" i="4" s="1"/>
  <c r="S39" i="4"/>
  <c r="B39" i="4"/>
  <c r="A39" i="4" s="1"/>
  <c r="S38" i="4"/>
  <c r="B38" i="4"/>
  <c r="A38" i="4" s="1"/>
  <c r="S37" i="4"/>
  <c r="B37" i="4"/>
  <c r="A37" i="4" s="1"/>
  <c r="S36" i="4"/>
  <c r="B36" i="4"/>
  <c r="A36" i="4" s="1"/>
  <c r="S35" i="4"/>
  <c r="B35" i="4"/>
  <c r="A35" i="4" s="1"/>
  <c r="S34" i="4"/>
  <c r="B34" i="4"/>
  <c r="A34" i="4" s="1"/>
  <c r="S33" i="4"/>
  <c r="B33" i="4"/>
  <c r="A33" i="4" s="1"/>
  <c r="S32" i="4"/>
  <c r="B32" i="4"/>
  <c r="A32" i="4"/>
  <c r="S31" i="4"/>
  <c r="B31" i="4"/>
  <c r="A31" i="4" s="1"/>
  <c r="S30" i="4"/>
  <c r="B30" i="4"/>
  <c r="A30" i="4" s="1"/>
  <c r="S29" i="4"/>
  <c r="B29" i="4"/>
  <c r="A29" i="4" s="1"/>
  <c r="S28" i="4"/>
  <c r="B28" i="4"/>
  <c r="A28" i="4" s="1"/>
  <c r="S27" i="4"/>
  <c r="B27" i="4"/>
  <c r="A27" i="4" s="1"/>
  <c r="S26" i="4"/>
  <c r="B26" i="4"/>
  <c r="A26" i="4" s="1"/>
  <c r="S25" i="4"/>
  <c r="B25" i="4"/>
  <c r="A25" i="4" s="1"/>
  <c r="S24" i="4"/>
  <c r="B24" i="4"/>
  <c r="A24" i="4" s="1"/>
  <c r="S23" i="4"/>
  <c r="B23" i="4"/>
  <c r="A23" i="4" s="1"/>
  <c r="S22" i="4"/>
  <c r="B22" i="4"/>
  <c r="A22" i="4" s="1"/>
  <c r="S21" i="4"/>
  <c r="B21" i="4"/>
  <c r="A21" i="4" s="1"/>
  <c r="S20" i="4"/>
  <c r="B20" i="4"/>
  <c r="A20" i="4" s="1"/>
  <c r="S19" i="4"/>
  <c r="B19" i="4"/>
  <c r="A19" i="4" s="1"/>
  <c r="S18" i="4"/>
  <c r="B18" i="4"/>
  <c r="A18" i="4" s="1"/>
  <c r="S17" i="4"/>
  <c r="B17" i="4"/>
  <c r="A17" i="4" s="1"/>
  <c r="S16" i="4"/>
  <c r="B16" i="4"/>
  <c r="A16" i="4" s="1"/>
  <c r="S15" i="4"/>
  <c r="B15" i="4"/>
  <c r="A15" i="4" s="1"/>
  <c r="S14" i="4"/>
  <c r="B14" i="4"/>
  <c r="A14" i="4" s="1"/>
  <c r="S11" i="4"/>
  <c r="C8" i="4"/>
  <c r="C7" i="4"/>
  <c r="AD91" i="4" l="1" a="1"/>
  <c r="A91" i="4"/>
  <c r="H168" i="4"/>
  <c r="E168" i="4"/>
  <c r="H162" i="4"/>
  <c r="G162" i="4"/>
  <c r="A92" i="4"/>
  <c r="M197" i="4"/>
  <c r="H197" i="4"/>
  <c r="E197" i="4"/>
  <c r="N197" i="4"/>
  <c r="F197" i="4"/>
  <c r="A197" i="4"/>
  <c r="L197" i="4"/>
  <c r="G197" i="4"/>
  <c r="K197" i="4"/>
  <c r="AD197" i="4" a="1"/>
  <c r="AD196" i="4" a="1"/>
  <c r="H196" i="4"/>
  <c r="N196" i="4"/>
  <c r="A196" i="4"/>
  <c r="F196" i="4"/>
  <c r="M196" i="4"/>
  <c r="G196" i="4"/>
  <c r="L196" i="4"/>
  <c r="K196" i="4"/>
  <c r="E196" i="4"/>
  <c r="G195" i="4"/>
  <c r="A195" i="4"/>
  <c r="L195" i="4"/>
  <c r="K195" i="4"/>
  <c r="AD195" i="4" a="1"/>
  <c r="F195" i="4"/>
  <c r="M195" i="4"/>
  <c r="N195" i="4"/>
  <c r="H195" i="4"/>
  <c r="E195" i="4"/>
  <c r="M194" i="4"/>
  <c r="E194" i="4"/>
  <c r="A194" i="4"/>
  <c r="L194" i="4"/>
  <c r="AD194" i="4" a="1"/>
  <c r="F194" i="4"/>
  <c r="H194" i="4"/>
  <c r="N194" i="4"/>
  <c r="K194" i="4"/>
  <c r="G194" i="4"/>
  <c r="G193" i="4"/>
  <c r="K193" i="4"/>
  <c r="M193" i="4"/>
  <c r="F193" i="4"/>
  <c r="A193" i="4"/>
  <c r="E193" i="4"/>
  <c r="N193" i="4"/>
  <c r="AD193" i="4" a="1"/>
  <c r="L193" i="4"/>
  <c r="H193" i="4"/>
  <c r="G192" i="4"/>
  <c r="A192" i="4"/>
  <c r="AD192" i="4" a="1"/>
  <c r="K192" i="4"/>
  <c r="N192" i="4"/>
  <c r="M192" i="4"/>
  <c r="H192" i="4"/>
  <c r="L192" i="4"/>
  <c r="E192" i="4"/>
  <c r="F192" i="4"/>
  <c r="A191" i="4"/>
  <c r="K191" i="4"/>
  <c r="N191" i="4"/>
  <c r="L191" i="4"/>
  <c r="F191" i="4"/>
  <c r="AD191" i="4" a="1"/>
  <c r="E191" i="4"/>
  <c r="H191" i="4"/>
  <c r="M191" i="4"/>
  <c r="G191" i="4"/>
  <c r="N190" i="4"/>
  <c r="K190" i="4"/>
  <c r="AD190" i="4" a="1"/>
  <c r="H190" i="4"/>
  <c r="G190" i="4"/>
  <c r="A190" i="4"/>
  <c r="F190" i="4"/>
  <c r="E190" i="4"/>
  <c r="L190" i="4"/>
  <c r="M190" i="4"/>
  <c r="AD189" i="4" a="1"/>
  <c r="A189" i="4"/>
  <c r="H189" i="4"/>
  <c r="E189" i="4"/>
  <c r="M189" i="4"/>
  <c r="L189" i="4"/>
  <c r="F189" i="4"/>
  <c r="K189" i="4"/>
  <c r="N189" i="4"/>
  <c r="G189" i="4"/>
  <c r="L188" i="4"/>
  <c r="A188" i="4"/>
  <c r="E188" i="4"/>
  <c r="N188" i="4"/>
  <c r="H188" i="4"/>
  <c r="M188" i="4"/>
  <c r="AD188" i="4" a="1"/>
  <c r="G188" i="4"/>
  <c r="F188" i="4"/>
  <c r="K188" i="4"/>
  <c r="L187" i="4"/>
  <c r="F187" i="4"/>
  <c r="AD187" i="4" a="1"/>
  <c r="E187" i="4"/>
  <c r="N187" i="4"/>
  <c r="H187" i="4"/>
  <c r="K187" i="4"/>
  <c r="G187" i="4"/>
  <c r="A187" i="4"/>
  <c r="M187" i="4"/>
  <c r="M186" i="4"/>
  <c r="E186" i="4"/>
  <c r="H186" i="4"/>
  <c r="L186" i="4"/>
  <c r="AD186" i="4" a="1"/>
  <c r="K186" i="4"/>
  <c r="A186" i="4"/>
  <c r="G186" i="4"/>
  <c r="F186" i="4"/>
  <c r="N186" i="4"/>
  <c r="M185" i="4"/>
  <c r="G185" i="4"/>
  <c r="K185" i="4"/>
  <c r="F185" i="4"/>
  <c r="L185" i="4"/>
  <c r="A185" i="4"/>
  <c r="AD185" i="4" a="1"/>
  <c r="N185" i="4"/>
  <c r="E185" i="4"/>
  <c r="H185" i="4"/>
  <c r="A184" i="4"/>
  <c r="N184" i="4"/>
  <c r="F184" i="4"/>
  <c r="M184" i="4"/>
  <c r="AD184" i="4" a="1"/>
  <c r="E184" i="4"/>
  <c r="G184" i="4"/>
  <c r="L184" i="4"/>
  <c r="K184" i="4"/>
  <c r="H184" i="4"/>
  <c r="L183" i="4"/>
  <c r="H183" i="4"/>
  <c r="N183" i="4"/>
  <c r="E183" i="4"/>
  <c r="M183" i="4"/>
  <c r="A183" i="4"/>
  <c r="K183" i="4"/>
  <c r="G183" i="4"/>
  <c r="F183" i="4"/>
  <c r="AD183" i="4" a="1"/>
  <c r="N182" i="4"/>
  <c r="AD182" i="4" a="1"/>
  <c r="G182" i="4"/>
  <c r="F182" i="4"/>
  <c r="E182" i="4"/>
  <c r="H182" i="4"/>
  <c r="M182" i="4"/>
  <c r="A182" i="4"/>
  <c r="L182" i="4"/>
  <c r="K182" i="4"/>
  <c r="A181" i="4"/>
  <c r="F181" i="4"/>
  <c r="AD181" i="4" a="1"/>
  <c r="G181" i="4"/>
  <c r="M181" i="4"/>
  <c r="N181" i="4"/>
  <c r="E181" i="4"/>
  <c r="H181" i="4"/>
  <c r="L181" i="4"/>
  <c r="K181" i="4"/>
  <c r="L180" i="4"/>
  <c r="H180" i="4"/>
  <c r="AD180" i="4" a="1"/>
  <c r="E180" i="4"/>
  <c r="N180" i="4"/>
  <c r="G180" i="4"/>
  <c r="A180" i="4"/>
  <c r="F180" i="4"/>
  <c r="K180" i="4"/>
  <c r="M180" i="4"/>
  <c r="H179" i="4"/>
  <c r="A179" i="4"/>
  <c r="K179" i="4"/>
  <c r="N179" i="4"/>
  <c r="L179" i="4"/>
  <c r="F179" i="4"/>
  <c r="M179" i="4"/>
  <c r="E179" i="4"/>
  <c r="G179" i="4"/>
  <c r="AD179" i="4" a="1"/>
  <c r="H178" i="4"/>
  <c r="M178" i="4"/>
  <c r="F178" i="4"/>
  <c r="A178" i="4"/>
  <c r="G178" i="4"/>
  <c r="K178" i="4"/>
  <c r="N178" i="4"/>
  <c r="E178" i="4"/>
  <c r="AD178" i="4" a="1"/>
  <c r="L178" i="4"/>
  <c r="N177" i="4"/>
  <c r="A177" i="4"/>
  <c r="F177" i="4"/>
  <c r="L177" i="4"/>
  <c r="AD177" i="4" a="1"/>
  <c r="K177" i="4"/>
  <c r="M177" i="4"/>
  <c r="H177" i="4"/>
  <c r="E177" i="4"/>
  <c r="G177" i="4"/>
  <c r="F176" i="4"/>
  <c r="H176" i="4"/>
  <c r="L176" i="4"/>
  <c r="A176" i="4"/>
  <c r="AD176" i="4" a="1"/>
  <c r="E176" i="4"/>
  <c r="G176" i="4"/>
  <c r="M176" i="4"/>
  <c r="N176" i="4"/>
  <c r="K176" i="4"/>
  <c r="K175" i="4"/>
  <c r="AD175" i="4" a="1"/>
  <c r="M175" i="4"/>
  <c r="G175" i="4"/>
  <c r="F175" i="4"/>
  <c r="N175" i="4"/>
  <c r="E175" i="4"/>
  <c r="A175" i="4"/>
  <c r="L175" i="4"/>
  <c r="H175" i="4"/>
  <c r="N174" i="4"/>
  <c r="F174" i="4"/>
  <c r="G174" i="4"/>
  <c r="H174" i="4"/>
  <c r="A174" i="4"/>
  <c r="L174" i="4"/>
  <c r="K174" i="4"/>
  <c r="AD174" i="4" a="1"/>
  <c r="M174" i="4"/>
  <c r="E174" i="4"/>
  <c r="N173" i="4"/>
  <c r="M173" i="4"/>
  <c r="H173" i="4"/>
  <c r="K173" i="4"/>
  <c r="A173" i="4"/>
  <c r="E173" i="4"/>
  <c r="G173" i="4"/>
  <c r="L173" i="4"/>
  <c r="AD173" i="4" a="1"/>
  <c r="F173" i="4"/>
  <c r="H172" i="4"/>
  <c r="F172" i="4"/>
  <c r="N172" i="4"/>
  <c r="E172" i="4"/>
  <c r="M172" i="4"/>
  <c r="AD172" i="4" a="1"/>
  <c r="A172" i="4"/>
  <c r="L172" i="4"/>
  <c r="G172" i="4"/>
  <c r="K172" i="4"/>
  <c r="E171" i="4"/>
  <c r="K171" i="4"/>
  <c r="N171" i="4"/>
  <c r="F171" i="4"/>
  <c r="L171" i="4"/>
  <c r="G171" i="4"/>
  <c r="AD171" i="4" a="1"/>
  <c r="H171" i="4"/>
  <c r="M171" i="4"/>
  <c r="A171" i="4"/>
  <c r="AD170" i="4" a="1"/>
  <c r="M170" i="4"/>
  <c r="G170" i="4"/>
  <c r="F170" i="4"/>
  <c r="E170" i="4"/>
  <c r="H170" i="4"/>
  <c r="L170" i="4"/>
  <c r="N170" i="4"/>
  <c r="A170" i="4"/>
  <c r="K170" i="4"/>
  <c r="F169" i="4"/>
  <c r="E169" i="4"/>
  <c r="K169" i="4"/>
  <c r="M169" i="4"/>
  <c r="G169" i="4"/>
  <c r="H169" i="4"/>
  <c r="L169" i="4"/>
  <c r="N169" i="4"/>
  <c r="A169" i="4"/>
  <c r="AD169" i="4" a="1"/>
  <c r="A168" i="4"/>
  <c r="F168" i="4"/>
  <c r="G168" i="4"/>
  <c r="L168" i="4"/>
  <c r="M168" i="4"/>
  <c r="K168" i="4"/>
  <c r="N168" i="4"/>
  <c r="AD168" i="4" a="1"/>
  <c r="A167" i="4"/>
  <c r="K167" i="4"/>
  <c r="N167" i="4"/>
  <c r="H167" i="4"/>
  <c r="L167" i="4"/>
  <c r="AD167" i="4" a="1"/>
  <c r="F167" i="4"/>
  <c r="G167" i="4"/>
  <c r="M167" i="4"/>
  <c r="E167" i="4"/>
  <c r="E166" i="4"/>
  <c r="H166" i="4"/>
  <c r="N166" i="4"/>
  <c r="K166" i="4"/>
  <c r="G166" i="4"/>
  <c r="L166" i="4"/>
  <c r="AD166" i="4" a="1"/>
  <c r="M166" i="4"/>
  <c r="A166" i="4"/>
  <c r="F166" i="4"/>
  <c r="AD165" i="4" a="1"/>
  <c r="L165" i="4"/>
  <c r="E165" i="4"/>
  <c r="K165" i="4"/>
  <c r="F165" i="4"/>
  <c r="M165" i="4"/>
  <c r="N165" i="4"/>
  <c r="H165" i="4"/>
  <c r="A165" i="4"/>
  <c r="G165" i="4"/>
  <c r="M164" i="4"/>
  <c r="H164" i="4"/>
  <c r="A164" i="4"/>
  <c r="G164" i="4"/>
  <c r="E164" i="4"/>
  <c r="N164" i="4"/>
  <c r="F164" i="4"/>
  <c r="K164" i="4"/>
  <c r="AD164" i="4" a="1"/>
  <c r="L164" i="4"/>
  <c r="E163" i="4"/>
  <c r="AD163" i="4" a="1"/>
  <c r="F163" i="4"/>
  <c r="M163" i="4"/>
  <c r="N163" i="4"/>
  <c r="A163" i="4"/>
  <c r="G163" i="4"/>
  <c r="K163" i="4"/>
  <c r="H163" i="4"/>
  <c r="L163" i="4"/>
  <c r="E162" i="4"/>
  <c r="AD162" i="4" a="1"/>
  <c r="F162" i="4"/>
  <c r="K162" i="4"/>
  <c r="M162" i="4"/>
  <c r="A162" i="4"/>
  <c r="L162" i="4"/>
  <c r="N162" i="4"/>
  <c r="L161" i="4"/>
  <c r="E161" i="4"/>
  <c r="F161" i="4"/>
  <c r="G161" i="4"/>
  <c r="M161" i="4"/>
  <c r="H161" i="4"/>
  <c r="AD161" i="4" a="1"/>
  <c r="K161" i="4"/>
  <c r="N161" i="4"/>
  <c r="F160" i="4"/>
  <c r="K160" i="4"/>
  <c r="L160" i="4"/>
  <c r="N160" i="4"/>
  <c r="G160" i="4"/>
  <c r="M160" i="4"/>
  <c r="E160" i="4"/>
  <c r="H160" i="4"/>
  <c r="AD160" i="4" a="1"/>
  <c r="L159" i="4"/>
  <c r="N159" i="4"/>
  <c r="AD159" i="4" a="1"/>
  <c r="M159" i="4"/>
  <c r="H159" i="4"/>
  <c r="E159" i="4"/>
  <c r="K159" i="4"/>
  <c r="F159" i="4"/>
  <c r="G159" i="4"/>
  <c r="A159" i="4"/>
  <c r="M158" i="4"/>
  <c r="E158" i="4"/>
  <c r="G158" i="4"/>
  <c r="F158" i="4"/>
  <c r="AD158" i="4" a="1"/>
  <c r="K158" i="4"/>
  <c r="L158" i="4"/>
  <c r="A158" i="4"/>
  <c r="N158" i="4"/>
  <c r="H158" i="4"/>
  <c r="L157" i="4"/>
  <c r="N157" i="4"/>
  <c r="AD157" i="4" a="1"/>
  <c r="K157" i="4"/>
  <c r="G157" i="4"/>
  <c r="F157" i="4"/>
  <c r="H157" i="4"/>
  <c r="A157" i="4"/>
  <c r="E157" i="4"/>
  <c r="M157" i="4"/>
  <c r="F156" i="4"/>
  <c r="K156" i="4"/>
  <c r="M156" i="4"/>
  <c r="E156" i="4"/>
  <c r="N156" i="4"/>
  <c r="AD156" i="4" a="1"/>
  <c r="G156" i="4"/>
  <c r="L156" i="4"/>
  <c r="H156" i="4"/>
  <c r="N155" i="4"/>
  <c r="F155" i="4"/>
  <c r="G155" i="4"/>
  <c r="L155" i="4"/>
  <c r="H155" i="4"/>
  <c r="A155" i="4"/>
  <c r="K155" i="4"/>
  <c r="AD155" i="4" a="1"/>
  <c r="M155" i="4"/>
  <c r="E155" i="4"/>
  <c r="K154" i="4"/>
  <c r="M154" i="4"/>
  <c r="A154" i="4"/>
  <c r="N154" i="4"/>
  <c r="F154" i="4"/>
  <c r="G154" i="4"/>
  <c r="E154" i="4"/>
  <c r="L154" i="4"/>
  <c r="AD154" i="4" a="1"/>
  <c r="H154" i="4"/>
  <c r="K153" i="4"/>
  <c r="G153" i="4"/>
  <c r="M153" i="4"/>
  <c r="E153" i="4"/>
  <c r="H153" i="4"/>
  <c r="L153" i="4"/>
  <c r="F153" i="4"/>
  <c r="A153" i="4"/>
  <c r="N153" i="4"/>
  <c r="AD153" i="4" a="1"/>
  <c r="F152" i="4"/>
  <c r="AD152" i="4" a="1"/>
  <c r="H152" i="4"/>
  <c r="M152" i="4"/>
  <c r="K152" i="4"/>
  <c r="A152" i="4"/>
  <c r="L152" i="4"/>
  <c r="N152" i="4"/>
  <c r="E152" i="4"/>
  <c r="G152" i="4"/>
  <c r="F151" i="4"/>
  <c r="N151" i="4"/>
  <c r="L151" i="4"/>
  <c r="K151" i="4"/>
  <c r="H151" i="4"/>
  <c r="AD151" i="4" a="1"/>
  <c r="A151" i="4"/>
  <c r="E151" i="4"/>
  <c r="M151" i="4"/>
  <c r="G151" i="4"/>
  <c r="N150" i="4"/>
  <c r="A150" i="4"/>
  <c r="AD150" i="4" a="1"/>
  <c r="K150" i="4"/>
  <c r="M150" i="4"/>
  <c r="F150" i="4"/>
  <c r="E150" i="4"/>
  <c r="H150" i="4"/>
  <c r="G150" i="4"/>
  <c r="L150" i="4"/>
  <c r="K149" i="4"/>
  <c r="M149" i="4"/>
  <c r="A149" i="4"/>
  <c r="G149" i="4"/>
  <c r="F149" i="4"/>
  <c r="E149" i="4"/>
  <c r="N149" i="4"/>
  <c r="L149" i="4"/>
  <c r="H149" i="4"/>
  <c r="AD149" i="4" a="1"/>
  <c r="F148" i="4"/>
  <c r="E148" i="4"/>
  <c r="L148" i="4"/>
  <c r="H148" i="4"/>
  <c r="M148" i="4"/>
  <c r="AD148" i="4" a="1"/>
  <c r="K148" i="4"/>
  <c r="N148" i="4"/>
  <c r="G148" i="4"/>
  <c r="L147" i="4"/>
  <c r="N147" i="4"/>
  <c r="M147" i="4"/>
  <c r="E147" i="4"/>
  <c r="A147" i="4"/>
  <c r="G147" i="4"/>
  <c r="K147" i="4"/>
  <c r="AD147" i="4" a="1"/>
  <c r="H147" i="4"/>
  <c r="F147" i="4"/>
  <c r="M146" i="4"/>
  <c r="K146" i="4"/>
  <c r="A146" i="4"/>
  <c r="AD146" i="4" a="1"/>
  <c r="H146" i="4"/>
  <c r="L146" i="4"/>
  <c r="F146" i="4"/>
  <c r="N146" i="4"/>
  <c r="E146" i="4"/>
  <c r="G146" i="4"/>
  <c r="K145" i="4"/>
  <c r="AD145" i="4" a="1"/>
  <c r="G145" i="4"/>
  <c r="E145" i="4"/>
  <c r="N145" i="4"/>
  <c r="M145" i="4"/>
  <c r="A145" i="4"/>
  <c r="L145" i="4"/>
  <c r="F145" i="4"/>
  <c r="H145" i="4"/>
  <c r="L144" i="4"/>
  <c r="G144" i="4"/>
  <c r="N144" i="4"/>
  <c r="AD144" i="4" a="1"/>
  <c r="M144" i="4"/>
  <c r="E144" i="4"/>
  <c r="A144" i="4"/>
  <c r="F144" i="4"/>
  <c r="H144" i="4"/>
  <c r="K144" i="4"/>
  <c r="AD143" i="4" a="1"/>
  <c r="E143" i="4"/>
  <c r="K143" i="4"/>
  <c r="A143" i="4"/>
  <c r="N143" i="4"/>
  <c r="L143" i="4"/>
  <c r="H143" i="4"/>
  <c r="G143" i="4"/>
  <c r="F143" i="4"/>
  <c r="M143" i="4"/>
  <c r="F142" i="4"/>
  <c r="M142" i="4"/>
  <c r="AD142" i="4" a="1"/>
  <c r="N142" i="4"/>
  <c r="A142" i="4"/>
  <c r="E142" i="4"/>
  <c r="H142" i="4"/>
  <c r="K142" i="4"/>
  <c r="L142" i="4"/>
  <c r="G142" i="4"/>
  <c r="AD141" i="4" a="1"/>
  <c r="K141" i="4"/>
  <c r="H141" i="4"/>
  <c r="F141" i="4"/>
  <c r="N141" i="4"/>
  <c r="E141" i="4"/>
  <c r="M141" i="4"/>
  <c r="A141" i="4"/>
  <c r="L141" i="4"/>
  <c r="G141" i="4"/>
  <c r="A140" i="4"/>
  <c r="G140" i="4"/>
  <c r="H140" i="4"/>
  <c r="AD140" i="4" a="1"/>
  <c r="K140" i="4"/>
  <c r="E140" i="4"/>
  <c r="N140" i="4"/>
  <c r="F140" i="4"/>
  <c r="M140" i="4"/>
  <c r="L140" i="4"/>
  <c r="K139" i="4"/>
  <c r="E139" i="4"/>
  <c r="L139" i="4"/>
  <c r="F139" i="4"/>
  <c r="A139" i="4"/>
  <c r="G139" i="4"/>
  <c r="N139" i="4"/>
  <c r="H139" i="4"/>
  <c r="AD139" i="4" a="1"/>
  <c r="M139" i="4"/>
  <c r="M138" i="4"/>
  <c r="F138" i="4"/>
  <c r="N138" i="4"/>
  <c r="K138" i="4"/>
  <c r="H138" i="4"/>
  <c r="G138" i="4"/>
  <c r="E138" i="4"/>
  <c r="A138" i="4"/>
  <c r="L138" i="4"/>
  <c r="AD138" i="4" a="1"/>
  <c r="AD137" i="4" a="1"/>
  <c r="N137" i="4"/>
  <c r="H137" i="4"/>
  <c r="A137" i="4"/>
  <c r="M137" i="4"/>
  <c r="E137" i="4"/>
  <c r="G137" i="4"/>
  <c r="L137" i="4"/>
  <c r="F137" i="4"/>
  <c r="K137" i="4"/>
  <c r="M136" i="4"/>
  <c r="F136" i="4"/>
  <c r="E136" i="4"/>
  <c r="AD136" i="4" a="1"/>
  <c r="H136" i="4"/>
  <c r="N136" i="4"/>
  <c r="G136" i="4"/>
  <c r="L136" i="4"/>
  <c r="A136" i="4"/>
  <c r="K136" i="4"/>
  <c r="M135" i="4"/>
  <c r="AD135" i="4" a="1"/>
  <c r="F135" i="4"/>
  <c r="G135" i="4"/>
  <c r="N135" i="4"/>
  <c r="K135" i="4"/>
  <c r="A135" i="4"/>
  <c r="H135" i="4"/>
  <c r="E135" i="4"/>
  <c r="L135" i="4"/>
  <c r="AD134" i="4" a="1"/>
  <c r="M134" i="4"/>
  <c r="N134" i="4"/>
  <c r="H134" i="4"/>
  <c r="E134" i="4"/>
  <c r="A134" i="4"/>
  <c r="L134" i="4"/>
  <c r="G134" i="4"/>
  <c r="K134" i="4"/>
  <c r="F134" i="4"/>
  <c r="M133" i="4"/>
  <c r="E133" i="4"/>
  <c r="K133" i="4"/>
  <c r="F133" i="4"/>
  <c r="H133" i="4"/>
  <c r="L133" i="4"/>
  <c r="N133" i="4"/>
  <c r="G133" i="4"/>
  <c r="AD133" i="4" a="1"/>
  <c r="M132" i="4"/>
  <c r="A132" i="4"/>
  <c r="N132" i="4"/>
  <c r="H132" i="4"/>
  <c r="AD132" i="4" a="1"/>
  <c r="G132" i="4"/>
  <c r="L132" i="4"/>
  <c r="K132" i="4"/>
  <c r="E132" i="4"/>
  <c r="G131" i="4"/>
  <c r="L131" i="4"/>
  <c r="F131" i="4"/>
  <c r="K131" i="4"/>
  <c r="M131" i="4"/>
  <c r="N131" i="4"/>
  <c r="H131" i="4"/>
  <c r="AD131" i="4" a="1"/>
  <c r="E131" i="4"/>
  <c r="N130" i="4"/>
  <c r="G130" i="4"/>
  <c r="K130" i="4"/>
  <c r="H130" i="4"/>
  <c r="M130" i="4"/>
  <c r="AD130" i="4" a="1"/>
  <c r="L130" i="4"/>
  <c r="E130" i="4"/>
  <c r="F130" i="4"/>
  <c r="H129" i="4"/>
  <c r="N129" i="4"/>
  <c r="K129" i="4"/>
  <c r="G129" i="4"/>
  <c r="M129" i="4"/>
  <c r="L129" i="4"/>
  <c r="E129" i="4"/>
  <c r="AD129" i="4" a="1"/>
  <c r="A129" i="4"/>
  <c r="F129" i="4"/>
  <c r="AD128" i="4" a="1"/>
  <c r="M128" i="4"/>
  <c r="N128" i="4"/>
  <c r="A128" i="4"/>
  <c r="F128" i="4"/>
  <c r="H128" i="4"/>
  <c r="L128" i="4"/>
  <c r="E128" i="4"/>
  <c r="G128" i="4"/>
  <c r="K128" i="4"/>
  <c r="K127" i="4"/>
  <c r="E127" i="4"/>
  <c r="AD127" i="4" a="1"/>
  <c r="M127" i="4"/>
  <c r="L127" i="4"/>
  <c r="A127" i="4"/>
  <c r="F127" i="4"/>
  <c r="N127" i="4"/>
  <c r="G127" i="4"/>
  <c r="H127" i="4"/>
  <c r="L126" i="4"/>
  <c r="G126" i="4"/>
  <c r="K126" i="4"/>
  <c r="N126" i="4"/>
  <c r="AD126" i="4" a="1"/>
  <c r="M126" i="4"/>
  <c r="H126" i="4"/>
  <c r="F126" i="4"/>
  <c r="E126" i="4"/>
  <c r="M125" i="4"/>
  <c r="H125" i="4"/>
  <c r="A125" i="4"/>
  <c r="K125" i="4"/>
  <c r="F125" i="4"/>
  <c r="AD125" i="4" a="1"/>
  <c r="N125" i="4"/>
  <c r="L125" i="4"/>
  <c r="E125" i="4"/>
  <c r="G125" i="4"/>
  <c r="N124" i="4"/>
  <c r="F124" i="4"/>
  <c r="A124" i="4"/>
  <c r="E124" i="4"/>
  <c r="K124" i="4"/>
  <c r="M124" i="4"/>
  <c r="G124" i="4"/>
  <c r="H124" i="4"/>
  <c r="L124" i="4"/>
  <c r="AD124" i="4" a="1"/>
  <c r="M123" i="4"/>
  <c r="AD123" i="4" a="1"/>
  <c r="H123" i="4"/>
  <c r="E123" i="4"/>
  <c r="K123" i="4"/>
  <c r="A123" i="4"/>
  <c r="N123" i="4"/>
  <c r="G123" i="4"/>
  <c r="L123" i="4"/>
  <c r="F123" i="4"/>
  <c r="F122" i="4"/>
  <c r="N122" i="4"/>
  <c r="A122" i="4"/>
  <c r="L122" i="4"/>
  <c r="G122" i="4"/>
  <c r="AD122" i="4" a="1"/>
  <c r="M122" i="4"/>
  <c r="E122" i="4"/>
  <c r="H122" i="4"/>
  <c r="K122" i="4"/>
  <c r="E121" i="4"/>
  <c r="M121" i="4"/>
  <c r="A121" i="4"/>
  <c r="F121" i="4"/>
  <c r="K121" i="4"/>
  <c r="L121" i="4"/>
  <c r="H121" i="4"/>
  <c r="AD121" i="4" a="1"/>
  <c r="N121" i="4"/>
  <c r="G121" i="4"/>
  <c r="M120" i="4"/>
  <c r="L120" i="4"/>
  <c r="AD120" i="4" a="1"/>
  <c r="A120" i="4"/>
  <c r="F120" i="4"/>
  <c r="E120" i="4"/>
  <c r="K120" i="4"/>
  <c r="H120" i="4"/>
  <c r="N120" i="4"/>
  <c r="G120" i="4"/>
  <c r="A119" i="4"/>
  <c r="K119" i="4"/>
  <c r="F119" i="4"/>
  <c r="H119" i="4"/>
  <c r="G119" i="4"/>
  <c r="E119" i="4"/>
  <c r="M119" i="4"/>
  <c r="AD119" i="4" a="1"/>
  <c r="L119" i="4"/>
  <c r="N119" i="4"/>
  <c r="L118" i="4"/>
  <c r="K118" i="4"/>
  <c r="AD118" i="4" a="1"/>
  <c r="M118" i="4"/>
  <c r="F118" i="4"/>
  <c r="H118" i="4"/>
  <c r="N118" i="4"/>
  <c r="E118" i="4"/>
  <c r="A118" i="4"/>
  <c r="G118" i="4"/>
  <c r="L117" i="4"/>
  <c r="H117" i="4"/>
  <c r="K117" i="4"/>
  <c r="G117" i="4"/>
  <c r="M117" i="4"/>
  <c r="E117" i="4"/>
  <c r="F117" i="4"/>
  <c r="A117" i="4"/>
  <c r="N117" i="4"/>
  <c r="AD117" i="4" a="1"/>
  <c r="AD116" i="4" a="1"/>
  <c r="G116" i="4"/>
  <c r="M116" i="4"/>
  <c r="E116" i="4"/>
  <c r="K116" i="4"/>
  <c r="F116" i="4"/>
  <c r="L116" i="4"/>
  <c r="N116" i="4"/>
  <c r="A116" i="4"/>
  <c r="H116" i="4"/>
  <c r="H115" i="4"/>
  <c r="E115" i="4"/>
  <c r="AD115" i="4" a="1"/>
  <c r="G115" i="4"/>
  <c r="L115" i="4"/>
  <c r="F115" i="4"/>
  <c r="M115" i="4"/>
  <c r="N115" i="4"/>
  <c r="K115" i="4"/>
  <c r="G114" i="4"/>
  <c r="E114" i="4"/>
  <c r="N114" i="4"/>
  <c r="AD114" i="4" a="1"/>
  <c r="L114" i="4"/>
  <c r="F114" i="4"/>
  <c r="M114" i="4"/>
  <c r="A114" i="4"/>
  <c r="H114" i="4"/>
  <c r="K114" i="4"/>
  <c r="H113" i="4"/>
  <c r="F113" i="4"/>
  <c r="AD113" i="4" a="1"/>
  <c r="N113" i="4"/>
  <c r="M113" i="4"/>
  <c r="K113" i="4"/>
  <c r="E113" i="4"/>
  <c r="L113" i="4"/>
  <c r="G113" i="4"/>
  <c r="K112" i="4"/>
  <c r="L112" i="4"/>
  <c r="G112" i="4"/>
  <c r="F112" i="4"/>
  <c r="H112" i="4"/>
  <c r="M112" i="4"/>
  <c r="A112" i="4"/>
  <c r="E112" i="4"/>
  <c r="N112" i="4"/>
  <c r="AD112" i="4" a="1"/>
  <c r="AD111" i="4" a="1"/>
  <c r="H111" i="4"/>
  <c r="M111" i="4"/>
  <c r="K111" i="4"/>
  <c r="A111" i="4"/>
  <c r="G111" i="4"/>
  <c r="N111" i="4"/>
  <c r="E111" i="4"/>
  <c r="L111" i="4"/>
  <c r="F111" i="4"/>
  <c r="L110" i="4"/>
  <c r="N110" i="4"/>
  <c r="G110" i="4"/>
  <c r="H110" i="4"/>
  <c r="AD110" i="4" a="1"/>
  <c r="F110" i="4"/>
  <c r="A110" i="4"/>
  <c r="M110" i="4"/>
  <c r="K110" i="4"/>
  <c r="E110" i="4"/>
  <c r="G109" i="4"/>
  <c r="N109" i="4"/>
  <c r="M109" i="4"/>
  <c r="E109" i="4"/>
  <c r="AD109" i="4" a="1"/>
  <c r="H109" i="4"/>
  <c r="F109" i="4"/>
  <c r="L109" i="4"/>
  <c r="K109" i="4"/>
  <c r="A109" i="4"/>
  <c r="L108" i="4"/>
  <c r="E108" i="4"/>
  <c r="M108" i="4"/>
  <c r="AD108" i="4" a="1"/>
  <c r="A108" i="4"/>
  <c r="F108" i="4"/>
  <c r="G108" i="4"/>
  <c r="H108" i="4"/>
  <c r="K108" i="4"/>
  <c r="N108" i="4"/>
  <c r="F107" i="4"/>
  <c r="N107" i="4"/>
  <c r="L107" i="4"/>
  <c r="M107" i="4"/>
  <c r="E107" i="4"/>
  <c r="K107" i="4"/>
  <c r="A107" i="4"/>
  <c r="H107" i="4"/>
  <c r="G107" i="4"/>
  <c r="AD107" i="4" a="1"/>
  <c r="F106" i="4"/>
  <c r="E106" i="4"/>
  <c r="AD106" i="4" a="1"/>
  <c r="G106" i="4"/>
  <c r="A106" i="4"/>
  <c r="M106" i="4"/>
  <c r="L106" i="4"/>
  <c r="H106" i="4"/>
  <c r="N106" i="4"/>
  <c r="K106" i="4"/>
  <c r="F105" i="4"/>
  <c r="M105" i="4"/>
  <c r="L105" i="4"/>
  <c r="K105" i="4"/>
  <c r="H105" i="4"/>
  <c r="E105" i="4"/>
  <c r="A105" i="4"/>
  <c r="N105" i="4"/>
  <c r="G105" i="4"/>
  <c r="AD105" i="4" a="1"/>
  <c r="M104" i="4"/>
  <c r="H104" i="4"/>
  <c r="K104" i="4"/>
  <c r="A104" i="4"/>
  <c r="L104" i="4"/>
  <c r="E104" i="4"/>
  <c r="G104" i="4"/>
  <c r="N104" i="4"/>
  <c r="F104" i="4"/>
  <c r="AD104" i="4" a="1"/>
  <c r="H103" i="4"/>
  <c r="F103" i="4"/>
  <c r="M103" i="4"/>
  <c r="G103" i="4"/>
  <c r="L103" i="4"/>
  <c r="E103" i="4"/>
  <c r="AD103" i="4" a="1"/>
  <c r="N103" i="4"/>
  <c r="K103" i="4"/>
  <c r="AD102" i="4" a="1"/>
  <c r="H102" i="4"/>
  <c r="L102" i="4"/>
  <c r="K102" i="4"/>
  <c r="N102" i="4"/>
  <c r="M102" i="4"/>
  <c r="E102" i="4"/>
  <c r="F102" i="4"/>
  <c r="G102" i="4"/>
  <c r="L101" i="4"/>
  <c r="F101" i="4"/>
  <c r="K101" i="4"/>
  <c r="N101" i="4"/>
  <c r="M101" i="4"/>
  <c r="A101" i="4"/>
  <c r="AD101" i="4" a="1"/>
  <c r="E101" i="4"/>
  <c r="H101" i="4"/>
  <c r="G101" i="4"/>
  <c r="H100" i="4"/>
  <c r="L100" i="4"/>
  <c r="K100" i="4"/>
  <c r="N100" i="4"/>
  <c r="E100" i="4"/>
  <c r="AD100" i="4" a="1"/>
  <c r="A100" i="4"/>
  <c r="F100" i="4"/>
  <c r="G100" i="4"/>
  <c r="M100" i="4"/>
  <c r="L99" i="4"/>
  <c r="AD99" i="4" a="1"/>
  <c r="K99" i="4"/>
  <c r="N99" i="4"/>
  <c r="G99" i="4"/>
  <c r="E99" i="4"/>
  <c r="M99" i="4"/>
  <c r="F99" i="4"/>
  <c r="H99" i="4"/>
  <c r="N98" i="4"/>
  <c r="H98" i="4"/>
  <c r="AD98" i="4" a="1"/>
  <c r="G98" i="4"/>
  <c r="F98" i="4"/>
  <c r="K98" i="4"/>
  <c r="E98" i="4"/>
  <c r="M98" i="4"/>
  <c r="A98" i="4"/>
  <c r="L98" i="4"/>
  <c r="G97" i="4"/>
  <c r="F97" i="4"/>
  <c r="M97" i="4"/>
  <c r="N97" i="4"/>
  <c r="L97" i="4"/>
  <c r="K97" i="4"/>
  <c r="AD97" i="4" a="1"/>
  <c r="H97" i="4"/>
  <c r="E97" i="4"/>
  <c r="A97" i="4"/>
  <c r="M96" i="4"/>
  <c r="G96" i="4"/>
  <c r="H96" i="4"/>
  <c r="K96" i="4"/>
  <c r="A96" i="4"/>
  <c r="AD96" i="4" a="1"/>
  <c r="E96" i="4"/>
  <c r="F96" i="4"/>
  <c r="L96" i="4"/>
  <c r="N96" i="4"/>
  <c r="H95" i="4"/>
  <c r="AD95" i="4" a="1"/>
  <c r="A95" i="4"/>
  <c r="K95" i="4"/>
  <c r="F95" i="4"/>
  <c r="G95" i="4"/>
  <c r="M95" i="4"/>
  <c r="N95" i="4"/>
  <c r="E95" i="4"/>
  <c r="L95" i="4"/>
  <c r="H94" i="4"/>
  <c r="F94" i="4"/>
  <c r="E94" i="4"/>
  <c r="N94" i="4"/>
  <c r="AD94" i="4" a="1"/>
  <c r="M94" i="4"/>
  <c r="L94" i="4"/>
  <c r="G94" i="4"/>
  <c r="A94" i="4"/>
  <c r="K94" i="4"/>
  <c r="AD93" i="4" a="1"/>
  <c r="N93" i="4"/>
  <c r="G93" i="4"/>
  <c r="M93" i="4"/>
  <c r="K93" i="4"/>
  <c r="F93" i="4"/>
  <c r="A93" i="4"/>
  <c r="H93" i="4"/>
  <c r="L93" i="4"/>
  <c r="E93" i="4"/>
  <c r="F92" i="4"/>
  <c r="K92" i="4"/>
  <c r="E92" i="4"/>
  <c r="H92" i="4"/>
  <c r="AD92" i="4" a="1"/>
  <c r="N92" i="4"/>
  <c r="M92" i="4"/>
  <c r="G92" i="4"/>
  <c r="L92" i="4"/>
  <c r="E91" i="4"/>
  <c r="F91" i="4"/>
  <c r="G91" i="4"/>
  <c r="H91" i="4"/>
  <c r="L91" i="4"/>
  <c r="N91" i="4"/>
  <c r="M91" i="4"/>
  <c r="K91" i="4"/>
  <c r="AD90" i="4" a="1"/>
  <c r="N90" i="4"/>
  <c r="M90" i="4"/>
  <c r="L90" i="4"/>
  <c r="K90" i="4"/>
  <c r="H90" i="4"/>
  <c r="G90" i="4"/>
  <c r="F90" i="4"/>
  <c r="E90" i="4"/>
  <c r="M89" i="4"/>
  <c r="AD89" i="4" a="1"/>
  <c r="F89" i="4"/>
  <c r="E89" i="4"/>
  <c r="G89" i="4"/>
  <c r="H89" i="4"/>
  <c r="K89" i="4"/>
  <c r="L89" i="4"/>
  <c r="N89" i="4"/>
  <c r="F88" i="4"/>
  <c r="E88" i="4"/>
  <c r="H88" i="4"/>
  <c r="K88" i="4"/>
  <c r="G88" i="4"/>
  <c r="AD88" i="4" a="1"/>
  <c r="N88" i="4"/>
  <c r="M88" i="4"/>
  <c r="L88" i="4"/>
  <c r="AD87" i="4" a="1"/>
  <c r="L87" i="4"/>
  <c r="M87" i="4"/>
  <c r="F87" i="4"/>
  <c r="N87" i="4"/>
  <c r="G87" i="4"/>
  <c r="H87" i="4"/>
  <c r="E87" i="4"/>
  <c r="K87" i="4"/>
  <c r="AD86" i="4" a="1"/>
  <c r="E86" i="4"/>
  <c r="F86" i="4"/>
  <c r="G86" i="4"/>
  <c r="H86" i="4"/>
  <c r="K86" i="4"/>
  <c r="L86" i="4"/>
  <c r="M86" i="4"/>
  <c r="N86" i="4"/>
  <c r="N85" i="4"/>
  <c r="AD85" i="4" a="1"/>
  <c r="M85" i="4"/>
  <c r="L85" i="4"/>
  <c r="H85" i="4"/>
  <c r="G85" i="4"/>
  <c r="F85" i="4"/>
  <c r="E85" i="4"/>
  <c r="K85" i="4"/>
  <c r="F84" i="4"/>
  <c r="N84" i="4"/>
  <c r="AD84" i="4" a="1"/>
  <c r="M84" i="4"/>
  <c r="E84" i="4"/>
  <c r="G84" i="4"/>
  <c r="H84" i="4"/>
  <c r="K84" i="4"/>
  <c r="L84" i="4"/>
  <c r="AD83" i="4" a="1"/>
  <c r="E83" i="4"/>
  <c r="F83" i="4"/>
  <c r="G83" i="4"/>
  <c r="H83" i="4"/>
  <c r="K83" i="4"/>
  <c r="L83" i="4"/>
  <c r="N83" i="4"/>
  <c r="M83" i="4"/>
  <c r="E82" i="4"/>
  <c r="F82" i="4"/>
  <c r="G82" i="4"/>
  <c r="H82" i="4"/>
  <c r="K82" i="4"/>
  <c r="L82" i="4"/>
  <c r="N82" i="4"/>
  <c r="AD82" i="4" a="1"/>
  <c r="M82" i="4"/>
  <c r="AD81" i="4" a="1"/>
  <c r="E81" i="4"/>
  <c r="F81" i="4"/>
  <c r="G81" i="4"/>
  <c r="H81" i="4"/>
  <c r="K81" i="4"/>
  <c r="L81" i="4"/>
  <c r="M81" i="4"/>
  <c r="N81" i="4"/>
  <c r="N80" i="4"/>
  <c r="F80" i="4"/>
  <c r="AD80" i="4" a="1"/>
  <c r="E80" i="4"/>
  <c r="M80" i="4"/>
  <c r="L80" i="4"/>
  <c r="K80" i="4"/>
  <c r="H80" i="4"/>
  <c r="G80" i="4"/>
  <c r="H79" i="4"/>
  <c r="F79" i="4"/>
  <c r="E79" i="4"/>
  <c r="AD79" i="4" a="1"/>
  <c r="K79" i="4"/>
  <c r="N79" i="4"/>
  <c r="M79" i="4"/>
  <c r="G79" i="4"/>
  <c r="L79" i="4"/>
  <c r="L78" i="4"/>
  <c r="N78" i="4"/>
  <c r="AD78" i="4" a="1"/>
  <c r="M78" i="4"/>
  <c r="K78" i="4"/>
  <c r="G78" i="4"/>
  <c r="E78" i="4"/>
  <c r="F78" i="4"/>
  <c r="H78" i="4"/>
  <c r="L77" i="4"/>
  <c r="AD77" i="4" a="1"/>
  <c r="H77" i="4"/>
  <c r="N77" i="4"/>
  <c r="E77" i="4"/>
  <c r="F77" i="4"/>
  <c r="G77" i="4"/>
  <c r="M77" i="4"/>
  <c r="K77" i="4"/>
  <c r="AD76" i="4" a="1"/>
  <c r="N76" i="4"/>
  <c r="E76" i="4"/>
  <c r="F76" i="4"/>
  <c r="G76" i="4"/>
  <c r="H76" i="4"/>
  <c r="M76" i="4"/>
  <c r="K76" i="4"/>
  <c r="L76" i="4"/>
  <c r="AD75" i="4" a="1"/>
  <c r="F75" i="4"/>
  <c r="E75" i="4"/>
  <c r="G75" i="4"/>
  <c r="H75" i="4"/>
  <c r="K75" i="4"/>
  <c r="L75" i="4"/>
  <c r="M75" i="4"/>
  <c r="N75" i="4"/>
  <c r="N74" i="4"/>
  <c r="M74" i="4"/>
  <c r="AD74" i="4" a="1"/>
  <c r="E74" i="4"/>
  <c r="F74" i="4"/>
  <c r="G74" i="4"/>
  <c r="H74" i="4"/>
  <c r="K74" i="4"/>
  <c r="L74" i="4"/>
  <c r="E73" i="4"/>
  <c r="F73" i="4"/>
  <c r="G73" i="4"/>
  <c r="H73" i="4"/>
  <c r="K73" i="4"/>
  <c r="AD73" i="4" a="1"/>
  <c r="N73" i="4"/>
  <c r="L73" i="4"/>
  <c r="M73" i="4"/>
  <c r="N72" i="4"/>
  <c r="AD72" i="4" a="1"/>
  <c r="M72" i="4"/>
  <c r="H72" i="4"/>
  <c r="K72" i="4"/>
  <c r="L72" i="4"/>
  <c r="E72" i="4"/>
  <c r="F72" i="4"/>
  <c r="G72" i="4"/>
  <c r="L71" i="4"/>
  <c r="K71" i="4"/>
  <c r="H71" i="4"/>
  <c r="G71" i="4"/>
  <c r="F71" i="4"/>
  <c r="E71" i="4"/>
  <c r="M71" i="4"/>
  <c r="N71" i="4"/>
  <c r="AD71" i="4" a="1"/>
  <c r="H70" i="4"/>
  <c r="G70" i="4"/>
  <c r="F70" i="4"/>
  <c r="E70" i="4"/>
  <c r="AD70" i="4" a="1"/>
  <c r="N70" i="4"/>
  <c r="M70" i="4"/>
  <c r="L70" i="4"/>
  <c r="K70" i="4"/>
  <c r="L69" i="4"/>
  <c r="K69" i="4"/>
  <c r="G69" i="4"/>
  <c r="F69" i="4"/>
  <c r="E69" i="4"/>
  <c r="H69" i="4"/>
  <c r="AD69" i="4" a="1"/>
  <c r="N69" i="4"/>
  <c r="M69" i="4"/>
  <c r="L68" i="4"/>
  <c r="K68" i="4"/>
  <c r="H68" i="4"/>
  <c r="G68" i="4"/>
  <c r="F68" i="4"/>
  <c r="E68" i="4"/>
  <c r="AD68" i="4" a="1"/>
  <c r="N68" i="4"/>
  <c r="M68" i="4"/>
  <c r="AD67" i="4" a="1"/>
  <c r="F67" i="4"/>
  <c r="E67" i="4"/>
  <c r="L67" i="4"/>
  <c r="N67" i="4"/>
  <c r="M67" i="4"/>
  <c r="G67" i="4"/>
  <c r="K67" i="4"/>
  <c r="H67" i="4"/>
  <c r="N66" i="4"/>
  <c r="M66" i="4"/>
  <c r="L66" i="4"/>
  <c r="K66" i="4"/>
  <c r="H66" i="4"/>
  <c r="G66" i="4"/>
  <c r="F66" i="4"/>
  <c r="E66" i="4"/>
  <c r="AD66" i="4" a="1"/>
  <c r="K65" i="4"/>
  <c r="L65" i="4"/>
  <c r="M65" i="4"/>
  <c r="N65" i="4"/>
  <c r="AD65" i="4" a="1"/>
  <c r="H65" i="4"/>
  <c r="G65" i="4"/>
  <c r="F65" i="4"/>
  <c r="E65" i="4"/>
  <c r="K64" i="4"/>
  <c r="H64" i="4"/>
  <c r="G64" i="4"/>
  <c r="F64" i="4"/>
  <c r="E64" i="4"/>
  <c r="N64" i="4"/>
  <c r="M64" i="4"/>
  <c r="AD64" i="4" a="1"/>
  <c r="L64" i="4"/>
  <c r="M63" i="4"/>
  <c r="N63" i="4"/>
  <c r="AD63" i="4" a="1"/>
  <c r="G63" i="4"/>
  <c r="E63" i="4"/>
  <c r="F63" i="4"/>
  <c r="L63" i="4"/>
  <c r="H63" i="4"/>
  <c r="K63" i="4"/>
  <c r="H62" i="4"/>
  <c r="M62" i="4"/>
  <c r="E62" i="4"/>
  <c r="L62" i="4"/>
  <c r="N62" i="4"/>
  <c r="G62" i="4"/>
  <c r="F62" i="4"/>
  <c r="AD62" i="4" a="1"/>
  <c r="K62" i="4"/>
  <c r="M61" i="4"/>
  <c r="E61" i="4"/>
  <c r="G61" i="4"/>
  <c r="H61" i="4"/>
  <c r="K61" i="4"/>
  <c r="L61" i="4"/>
  <c r="AD61" i="4" a="1"/>
  <c r="N61" i="4"/>
  <c r="F61" i="4"/>
  <c r="AD60" i="4" a="1"/>
  <c r="F60" i="4"/>
  <c r="N60" i="4"/>
  <c r="M60" i="4"/>
  <c r="L60" i="4"/>
  <c r="K60" i="4"/>
  <c r="H60" i="4"/>
  <c r="G60" i="4"/>
  <c r="E60" i="4"/>
  <c r="L59" i="4"/>
  <c r="M59" i="4"/>
  <c r="E59" i="4"/>
  <c r="F59" i="4"/>
  <c r="G59" i="4"/>
  <c r="H59" i="4"/>
  <c r="K59" i="4"/>
  <c r="N59" i="4"/>
  <c r="AD59" i="4" a="1"/>
  <c r="H58" i="4"/>
  <c r="N58" i="4"/>
  <c r="AD58" i="4" a="1"/>
  <c r="E58" i="4"/>
  <c r="F58" i="4"/>
  <c r="G58" i="4"/>
  <c r="K58" i="4"/>
  <c r="L58" i="4"/>
  <c r="M58" i="4"/>
  <c r="F57" i="4"/>
  <c r="H57" i="4"/>
  <c r="M57" i="4"/>
  <c r="L57" i="4"/>
  <c r="K57" i="4"/>
  <c r="AD57" i="4" a="1"/>
  <c r="G57" i="4"/>
  <c r="N57" i="4"/>
  <c r="E57" i="4"/>
  <c r="M56" i="4"/>
  <c r="L56" i="4"/>
  <c r="K56" i="4"/>
  <c r="G56" i="4"/>
  <c r="F56" i="4"/>
  <c r="E56" i="4"/>
  <c r="N56" i="4"/>
  <c r="AD56" i="4" a="1"/>
  <c r="H56" i="4"/>
  <c r="G55" i="4"/>
  <c r="E55" i="4"/>
  <c r="AD55" i="4" a="1"/>
  <c r="F55" i="4"/>
  <c r="N55" i="4"/>
  <c r="M55" i="4"/>
  <c r="L55" i="4"/>
  <c r="K55" i="4"/>
  <c r="H55" i="4"/>
  <c r="E54" i="4"/>
  <c r="F54" i="4"/>
  <c r="H54" i="4"/>
  <c r="K54" i="4"/>
  <c r="G54" i="4"/>
  <c r="AD54" i="4" a="1"/>
  <c r="N54" i="4"/>
  <c r="M54" i="4"/>
  <c r="L54" i="4"/>
  <c r="F53" i="4"/>
  <c r="G53" i="4"/>
  <c r="K53" i="4"/>
  <c r="L53" i="4"/>
  <c r="M53" i="4"/>
  <c r="N53" i="4"/>
  <c r="AD53" i="4" a="1"/>
  <c r="H53" i="4"/>
  <c r="E53" i="4"/>
  <c r="F52" i="4"/>
  <c r="E52" i="4"/>
  <c r="AD52" i="4" a="1"/>
  <c r="N52" i="4"/>
  <c r="M52" i="4"/>
  <c r="L52" i="4"/>
  <c r="K52" i="4"/>
  <c r="H52" i="4"/>
  <c r="G52" i="4"/>
  <c r="K51" i="4"/>
  <c r="L51" i="4"/>
  <c r="M51" i="4"/>
  <c r="N51" i="4"/>
  <c r="AD51" i="4" a="1"/>
  <c r="E51" i="4"/>
  <c r="F51" i="4"/>
  <c r="G51" i="4"/>
  <c r="H51" i="4"/>
  <c r="L50" i="4"/>
  <c r="M50" i="4"/>
  <c r="N50" i="4"/>
  <c r="G50" i="4"/>
  <c r="AD50" i="4" a="1"/>
  <c r="F50" i="4"/>
  <c r="H50" i="4"/>
  <c r="K50" i="4"/>
  <c r="E50" i="4"/>
  <c r="F49" i="4"/>
  <c r="E49" i="4"/>
  <c r="H49" i="4"/>
  <c r="AD49" i="4" a="1"/>
  <c r="G49" i="4"/>
  <c r="N49" i="4"/>
  <c r="M49" i="4"/>
  <c r="L49" i="4"/>
  <c r="K49" i="4"/>
  <c r="H48" i="4"/>
  <c r="G48" i="4"/>
  <c r="F48" i="4"/>
  <c r="E48" i="4"/>
  <c r="AD48" i="4" a="1"/>
  <c r="N48" i="4"/>
  <c r="M48" i="4"/>
  <c r="L48" i="4"/>
  <c r="K48" i="4"/>
  <c r="M47" i="4"/>
  <c r="L47" i="4"/>
  <c r="K47" i="4"/>
  <c r="G47" i="4"/>
  <c r="C47" i="4"/>
  <c r="D47" i="4"/>
  <c r="V47" i="4" s="1"/>
  <c r="AD47" i="4" a="1"/>
  <c r="N47" i="4"/>
  <c r="H47" i="4"/>
  <c r="E47" i="4"/>
  <c r="F47" i="4"/>
  <c r="H46" i="4"/>
  <c r="G46" i="4"/>
  <c r="J46" i="4"/>
  <c r="AD46" i="4" a="1"/>
  <c r="F46" i="4"/>
  <c r="K46" i="4"/>
  <c r="L46" i="4"/>
  <c r="M46" i="4"/>
  <c r="N46" i="4"/>
  <c r="O46" i="4"/>
  <c r="E46" i="4"/>
  <c r="D46" i="4"/>
  <c r="V46" i="4" s="1"/>
  <c r="C46" i="4"/>
  <c r="P46" i="4"/>
  <c r="R46" i="4"/>
  <c r="I46" i="4"/>
  <c r="Q46" i="4"/>
  <c r="K45" i="4"/>
  <c r="L45" i="4"/>
  <c r="M45" i="4"/>
  <c r="N45" i="4"/>
  <c r="O45" i="4"/>
  <c r="P45" i="4"/>
  <c r="Q45" i="4"/>
  <c r="R45" i="4"/>
  <c r="AD45" i="4" a="1"/>
  <c r="C45" i="4"/>
  <c r="D45" i="4"/>
  <c r="V45" i="4" s="1"/>
  <c r="E45" i="4"/>
  <c r="F45" i="4"/>
  <c r="G45" i="4"/>
  <c r="H45" i="4"/>
  <c r="I45" i="4"/>
  <c r="J45" i="4"/>
  <c r="D44" i="4"/>
  <c r="V44" i="4" s="1"/>
  <c r="E44" i="4"/>
  <c r="G44" i="4"/>
  <c r="H44" i="4"/>
  <c r="I44" i="4"/>
  <c r="J44" i="4"/>
  <c r="K44" i="4"/>
  <c r="L44" i="4"/>
  <c r="F44" i="4"/>
  <c r="M44" i="4"/>
  <c r="R44" i="4"/>
  <c r="Q44" i="4"/>
  <c r="N44" i="4"/>
  <c r="AD44" i="4" a="1"/>
  <c r="P44" i="4"/>
  <c r="O44" i="4"/>
  <c r="C44" i="4"/>
  <c r="M43" i="4"/>
  <c r="L43" i="4"/>
  <c r="K43" i="4"/>
  <c r="J43" i="4"/>
  <c r="I43" i="4"/>
  <c r="H43" i="4"/>
  <c r="G43" i="4"/>
  <c r="F43" i="4"/>
  <c r="E43" i="4"/>
  <c r="C43" i="4"/>
  <c r="D43" i="4"/>
  <c r="V43" i="4" s="1"/>
  <c r="N43" i="4"/>
  <c r="AD43" i="4" a="1"/>
  <c r="R43" i="4"/>
  <c r="Q43" i="4"/>
  <c r="P43" i="4"/>
  <c r="O43" i="4"/>
  <c r="AD42" i="4" a="1"/>
  <c r="R42" i="4"/>
  <c r="Q42" i="4"/>
  <c r="P42" i="4"/>
  <c r="O42" i="4"/>
  <c r="N42" i="4"/>
  <c r="D42" i="4"/>
  <c r="V42" i="4" s="1"/>
  <c r="C42" i="4"/>
  <c r="F42" i="4"/>
  <c r="G42" i="4"/>
  <c r="H42" i="4"/>
  <c r="I42" i="4"/>
  <c r="J42" i="4"/>
  <c r="K42" i="4"/>
  <c r="L42" i="4"/>
  <c r="M42" i="4"/>
  <c r="E42" i="4"/>
  <c r="P41" i="4"/>
  <c r="R41" i="4"/>
  <c r="AD41" i="4" a="1"/>
  <c r="D41" i="4"/>
  <c r="V41" i="4" s="1"/>
  <c r="C41" i="4"/>
  <c r="K41" i="4"/>
  <c r="L41" i="4"/>
  <c r="J41" i="4"/>
  <c r="M41" i="4"/>
  <c r="N41" i="4"/>
  <c r="I41" i="4"/>
  <c r="H41" i="4"/>
  <c r="Q41" i="4"/>
  <c r="G41" i="4"/>
  <c r="O41" i="4"/>
  <c r="F41" i="4"/>
  <c r="E41" i="4"/>
  <c r="AD40" i="4" a="1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40" i="4"/>
  <c r="V40" i="4" s="1"/>
  <c r="C40" i="4"/>
  <c r="E40" i="4"/>
  <c r="N39" i="4"/>
  <c r="L39" i="4"/>
  <c r="M39" i="4"/>
  <c r="O39" i="4"/>
  <c r="AD39" i="4" a="1"/>
  <c r="R39" i="4"/>
  <c r="Q39" i="4"/>
  <c r="P39" i="4"/>
  <c r="D39" i="4"/>
  <c r="V39" i="4" s="1"/>
  <c r="E39" i="4"/>
  <c r="F39" i="4"/>
  <c r="G39" i="4"/>
  <c r="H39" i="4"/>
  <c r="I39" i="4"/>
  <c r="J39" i="4"/>
  <c r="K39" i="4"/>
  <c r="C39" i="4"/>
  <c r="L38" i="4"/>
  <c r="K38" i="4"/>
  <c r="J38" i="4"/>
  <c r="H38" i="4"/>
  <c r="G38" i="4"/>
  <c r="E38" i="4"/>
  <c r="D38" i="4"/>
  <c r="V38" i="4" s="1"/>
  <c r="C38" i="4"/>
  <c r="F38" i="4"/>
  <c r="I38" i="4"/>
  <c r="M38" i="4"/>
  <c r="AD38" i="4" a="1"/>
  <c r="R38" i="4"/>
  <c r="Q38" i="4"/>
  <c r="P38" i="4"/>
  <c r="O38" i="4"/>
  <c r="N38" i="4"/>
  <c r="J37" i="4"/>
  <c r="K37" i="4"/>
  <c r="M37" i="4"/>
  <c r="N37" i="4"/>
  <c r="O37" i="4"/>
  <c r="P37" i="4"/>
  <c r="Q37" i="4"/>
  <c r="R37" i="4"/>
  <c r="AD37" i="4" a="1"/>
  <c r="D37" i="4"/>
  <c r="V37" i="4" s="1"/>
  <c r="E37" i="4"/>
  <c r="F37" i="4"/>
  <c r="G37" i="4"/>
  <c r="I37" i="4"/>
  <c r="C37" i="4"/>
  <c r="H37" i="4"/>
  <c r="L37" i="4"/>
  <c r="N36" i="4"/>
  <c r="O36" i="4"/>
  <c r="P36" i="4"/>
  <c r="Q36" i="4"/>
  <c r="R36" i="4"/>
  <c r="AD36" i="4" a="1"/>
  <c r="D36" i="4"/>
  <c r="V36" i="4" s="1"/>
  <c r="C36" i="4"/>
  <c r="E36" i="4"/>
  <c r="F36" i="4"/>
  <c r="G36" i="4"/>
  <c r="H36" i="4"/>
  <c r="I36" i="4"/>
  <c r="J36" i="4"/>
  <c r="K36" i="4"/>
  <c r="L36" i="4"/>
  <c r="M36" i="4"/>
  <c r="M35" i="4"/>
  <c r="F35" i="4"/>
  <c r="L35" i="4"/>
  <c r="E35" i="4"/>
  <c r="G35" i="4"/>
  <c r="H35" i="4"/>
  <c r="I35" i="4"/>
  <c r="J35" i="4"/>
  <c r="K35" i="4"/>
  <c r="N35" i="4"/>
  <c r="O35" i="4"/>
  <c r="P35" i="4"/>
  <c r="Q35" i="4"/>
  <c r="R35" i="4"/>
  <c r="AD35" i="4" a="1"/>
  <c r="C35" i="4"/>
  <c r="D35" i="4"/>
  <c r="V35" i="4" s="1"/>
  <c r="J34" i="4"/>
  <c r="I34" i="4"/>
  <c r="H34" i="4"/>
  <c r="G34" i="4"/>
  <c r="F34" i="4"/>
  <c r="E34" i="4"/>
  <c r="D34" i="4"/>
  <c r="V34" i="4" s="1"/>
  <c r="C34" i="4"/>
  <c r="AD34" i="4" a="1"/>
  <c r="K34" i="4"/>
  <c r="R34" i="4"/>
  <c r="Q34" i="4"/>
  <c r="P34" i="4"/>
  <c r="O34" i="4"/>
  <c r="N34" i="4"/>
  <c r="M34" i="4"/>
  <c r="L34" i="4"/>
  <c r="J33" i="4"/>
  <c r="I33" i="4"/>
  <c r="H33" i="4"/>
  <c r="G33" i="4"/>
  <c r="F33" i="4"/>
  <c r="E33" i="4"/>
  <c r="D33" i="4"/>
  <c r="V33" i="4" s="1"/>
  <c r="C33" i="4"/>
  <c r="R33" i="4"/>
  <c r="AD33" i="4" a="1"/>
  <c r="Q33" i="4"/>
  <c r="P33" i="4"/>
  <c r="O33" i="4"/>
  <c r="N33" i="4"/>
  <c r="M33" i="4"/>
  <c r="L33" i="4"/>
  <c r="K33" i="4"/>
  <c r="K32" i="4"/>
  <c r="D32" i="4"/>
  <c r="V32" i="4" s="1"/>
  <c r="L32" i="4"/>
  <c r="E32" i="4"/>
  <c r="F32" i="4"/>
  <c r="AD32" i="4" a="1"/>
  <c r="G32" i="4"/>
  <c r="H32" i="4"/>
  <c r="I32" i="4"/>
  <c r="J32" i="4"/>
  <c r="C32" i="4"/>
  <c r="M32" i="4"/>
  <c r="N32" i="4"/>
  <c r="P32" i="4"/>
  <c r="Q32" i="4"/>
  <c r="R32" i="4"/>
  <c r="O32" i="4"/>
  <c r="J31" i="4"/>
  <c r="G31" i="4"/>
  <c r="F31" i="4"/>
  <c r="E31" i="4"/>
  <c r="D31" i="4"/>
  <c r="V31" i="4" s="1"/>
  <c r="I31" i="4"/>
  <c r="C31" i="4"/>
  <c r="H31" i="4"/>
  <c r="AD31" i="4" a="1"/>
  <c r="R31" i="4"/>
  <c r="Q31" i="4"/>
  <c r="P31" i="4"/>
  <c r="K31" i="4"/>
  <c r="O31" i="4"/>
  <c r="N31" i="4"/>
  <c r="M31" i="4"/>
  <c r="L31" i="4"/>
  <c r="K30" i="4"/>
  <c r="J30" i="4"/>
  <c r="I30" i="4"/>
  <c r="H30" i="4"/>
  <c r="G30" i="4"/>
  <c r="F30" i="4"/>
  <c r="E30" i="4"/>
  <c r="D30" i="4"/>
  <c r="V30" i="4" s="1"/>
  <c r="C30" i="4"/>
  <c r="L30" i="4"/>
  <c r="AD30" i="4" a="1"/>
  <c r="R30" i="4"/>
  <c r="Q30" i="4"/>
  <c r="P30" i="4"/>
  <c r="O30" i="4"/>
  <c r="N30" i="4"/>
  <c r="M30" i="4"/>
  <c r="F29" i="4"/>
  <c r="AD29" i="4" a="1"/>
  <c r="C29" i="4"/>
  <c r="D29" i="4"/>
  <c r="V29" i="4" s="1"/>
  <c r="E29" i="4"/>
  <c r="P29" i="4"/>
  <c r="G29" i="4"/>
  <c r="H29" i="4"/>
  <c r="I29" i="4"/>
  <c r="J29" i="4"/>
  <c r="K29" i="4"/>
  <c r="Q29" i="4"/>
  <c r="L29" i="4"/>
  <c r="M29" i="4"/>
  <c r="N29" i="4"/>
  <c r="O29" i="4"/>
  <c r="R29" i="4"/>
  <c r="AD28" i="4" a="1"/>
  <c r="M28" i="4"/>
  <c r="N28" i="4"/>
  <c r="P28" i="4"/>
  <c r="R28" i="4"/>
  <c r="Q28" i="4"/>
  <c r="K28" i="4"/>
  <c r="O28" i="4"/>
  <c r="E28" i="4"/>
  <c r="C28" i="4"/>
  <c r="D28" i="4"/>
  <c r="V28" i="4" s="1"/>
  <c r="F28" i="4"/>
  <c r="G28" i="4"/>
  <c r="H28" i="4"/>
  <c r="I28" i="4"/>
  <c r="J28" i="4"/>
  <c r="L28" i="4"/>
  <c r="G27" i="4"/>
  <c r="C27" i="4"/>
  <c r="D27" i="4"/>
  <c r="V27" i="4" s="1"/>
  <c r="E27" i="4"/>
  <c r="K27" i="4"/>
  <c r="F27" i="4"/>
  <c r="L27" i="4"/>
  <c r="M27" i="4"/>
  <c r="N27" i="4"/>
  <c r="O27" i="4"/>
  <c r="P27" i="4"/>
  <c r="I27" i="4"/>
  <c r="Q27" i="4"/>
  <c r="H27" i="4"/>
  <c r="R27" i="4"/>
  <c r="AD27" i="4" a="1"/>
  <c r="J27" i="4"/>
  <c r="N26" i="4"/>
  <c r="M26" i="4"/>
  <c r="K26" i="4"/>
  <c r="J26" i="4"/>
  <c r="I26" i="4"/>
  <c r="H26" i="4"/>
  <c r="G26" i="4"/>
  <c r="F26" i="4"/>
  <c r="E26" i="4"/>
  <c r="D26" i="4"/>
  <c r="V26" i="4" s="1"/>
  <c r="C26" i="4"/>
  <c r="O26" i="4"/>
  <c r="P26" i="4"/>
  <c r="AD26" i="4" a="1"/>
  <c r="R26" i="4"/>
  <c r="Q26" i="4"/>
  <c r="L26" i="4"/>
  <c r="AD25" i="4" a="1"/>
  <c r="R25" i="4"/>
  <c r="Q25" i="4"/>
  <c r="P25" i="4"/>
  <c r="I25" i="4"/>
  <c r="J25" i="4"/>
  <c r="F25" i="4"/>
  <c r="E25" i="4"/>
  <c r="D25" i="4"/>
  <c r="V25" i="4" s="1"/>
  <c r="C25" i="4"/>
  <c r="N25" i="4"/>
  <c r="K25" i="4"/>
  <c r="H25" i="4"/>
  <c r="G25" i="4"/>
  <c r="O25" i="4"/>
  <c r="M25" i="4"/>
  <c r="L25" i="4"/>
  <c r="AD24" i="4" a="1"/>
  <c r="D24" i="4"/>
  <c r="V24" i="4" s="1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C24" i="4"/>
  <c r="M23" i="4"/>
  <c r="K23" i="4"/>
  <c r="J23" i="4"/>
  <c r="I23" i="4"/>
  <c r="H23" i="4"/>
  <c r="G23" i="4"/>
  <c r="F23" i="4"/>
  <c r="E23" i="4"/>
  <c r="D23" i="4"/>
  <c r="V23" i="4" s="1"/>
  <c r="C23" i="4"/>
  <c r="L23" i="4"/>
  <c r="N23" i="4"/>
  <c r="O23" i="4"/>
  <c r="P23" i="4"/>
  <c r="Q23" i="4"/>
  <c r="R23" i="4"/>
  <c r="AD23" i="4" a="1"/>
  <c r="AD22" i="4" a="1"/>
  <c r="R22" i="4"/>
  <c r="P22" i="4"/>
  <c r="O22" i="4"/>
  <c r="N22" i="4"/>
  <c r="M22" i="4"/>
  <c r="E22" i="4"/>
  <c r="D22" i="4"/>
  <c r="V22" i="4" s="1"/>
  <c r="C22" i="4"/>
  <c r="K22" i="4"/>
  <c r="J22" i="4"/>
  <c r="I22" i="4"/>
  <c r="H22" i="4"/>
  <c r="G22" i="4"/>
  <c r="F22" i="4"/>
  <c r="Q22" i="4"/>
  <c r="L22" i="4"/>
  <c r="L21" i="4"/>
  <c r="M21" i="4"/>
  <c r="N21" i="4"/>
  <c r="O21" i="4"/>
  <c r="P21" i="4"/>
  <c r="Q21" i="4"/>
  <c r="R21" i="4"/>
  <c r="AD21" i="4" a="1"/>
  <c r="C21" i="4"/>
  <c r="D21" i="4"/>
  <c r="V21" i="4" s="1"/>
  <c r="E21" i="4"/>
  <c r="F21" i="4"/>
  <c r="G21" i="4"/>
  <c r="H21" i="4"/>
  <c r="I21" i="4"/>
  <c r="J21" i="4"/>
  <c r="K21" i="4"/>
  <c r="L20" i="4"/>
  <c r="K20" i="4"/>
  <c r="J20" i="4"/>
  <c r="I20" i="4"/>
  <c r="H20" i="4"/>
  <c r="G20" i="4"/>
  <c r="F20" i="4"/>
  <c r="E20" i="4"/>
  <c r="D20" i="4"/>
  <c r="V20" i="4" s="1"/>
  <c r="C20" i="4"/>
  <c r="M20" i="4"/>
  <c r="N20" i="4"/>
  <c r="AD20" i="4" a="1"/>
  <c r="O20" i="4"/>
  <c r="P20" i="4"/>
  <c r="Q20" i="4"/>
  <c r="R20" i="4"/>
  <c r="AD19" i="4" a="1"/>
  <c r="R19" i="4"/>
  <c r="Q19" i="4"/>
  <c r="P19" i="4"/>
  <c r="O19" i="4"/>
  <c r="N19" i="4"/>
  <c r="M19" i="4"/>
  <c r="K19" i="4"/>
  <c r="L19" i="4"/>
  <c r="J19" i="4"/>
  <c r="I19" i="4"/>
  <c r="H19" i="4"/>
  <c r="G19" i="4"/>
  <c r="F19" i="4"/>
  <c r="E19" i="4"/>
  <c r="D19" i="4"/>
  <c r="V19" i="4" s="1"/>
  <c r="C19" i="4"/>
  <c r="K18" i="4"/>
  <c r="J18" i="4"/>
  <c r="I18" i="4"/>
  <c r="H18" i="4"/>
  <c r="G18" i="4"/>
  <c r="N18" i="4"/>
  <c r="E18" i="4"/>
  <c r="D18" i="4"/>
  <c r="V18" i="4" s="1"/>
  <c r="C18" i="4"/>
  <c r="AD18" i="4" a="1"/>
  <c r="M18" i="4"/>
  <c r="R18" i="4"/>
  <c r="Q18" i="4"/>
  <c r="L18" i="4"/>
  <c r="P18" i="4"/>
  <c r="O18" i="4"/>
  <c r="F18" i="4"/>
  <c r="AD17" i="4" a="1"/>
  <c r="F17" i="4"/>
  <c r="R17" i="4"/>
  <c r="D17" i="4"/>
  <c r="V17" i="4" s="1"/>
  <c r="L17" i="4"/>
  <c r="E17" i="4"/>
  <c r="Q17" i="4"/>
  <c r="P17" i="4"/>
  <c r="C17" i="4"/>
  <c r="O17" i="4"/>
  <c r="N17" i="4"/>
  <c r="M17" i="4"/>
  <c r="K17" i="4"/>
  <c r="J17" i="4"/>
  <c r="I17" i="4"/>
  <c r="H17" i="4"/>
  <c r="G17" i="4"/>
  <c r="I16" i="4"/>
  <c r="H16" i="4"/>
  <c r="G16" i="4"/>
  <c r="F16" i="4"/>
  <c r="E16" i="4"/>
  <c r="O16" i="4"/>
  <c r="AD16" i="4" a="1"/>
  <c r="R16" i="4"/>
  <c r="Q16" i="4"/>
  <c r="P16" i="4"/>
  <c r="D16" i="4"/>
  <c r="V16" i="4" s="1"/>
  <c r="N16" i="4"/>
  <c r="M16" i="4"/>
  <c r="L16" i="4"/>
  <c r="K16" i="4"/>
  <c r="J16" i="4"/>
  <c r="C16" i="4"/>
  <c r="H15" i="4"/>
  <c r="G15" i="4"/>
  <c r="F15" i="4"/>
  <c r="E15" i="4"/>
  <c r="D15" i="4"/>
  <c r="V15" i="4" s="1"/>
  <c r="C15" i="4"/>
  <c r="L15" i="4"/>
  <c r="AD15" i="4" a="1"/>
  <c r="M15" i="4"/>
  <c r="R15" i="4"/>
  <c r="Q15" i="4"/>
  <c r="P15" i="4"/>
  <c r="O15" i="4"/>
  <c r="N15" i="4"/>
  <c r="K15" i="4"/>
  <c r="J15" i="4"/>
  <c r="I15" i="4"/>
  <c r="C14" i="4"/>
  <c r="D14" i="4"/>
  <c r="V14" i="4" s="1"/>
  <c r="W14" i="4" s="1"/>
  <c r="Q14" i="4"/>
  <c r="R14" i="4"/>
  <c r="O14" i="4"/>
  <c r="AD14" i="4" a="1"/>
  <c r="P14" i="4"/>
  <c r="N14" i="4"/>
  <c r="M14" i="4"/>
  <c r="L14" i="4"/>
  <c r="K14" i="4"/>
  <c r="J14" i="4"/>
  <c r="I14" i="4"/>
  <c r="H14" i="4"/>
  <c r="F14" i="4"/>
  <c r="E14" i="4"/>
  <c r="G14" i="4"/>
  <c r="X14" i="4" l="1"/>
  <c r="Z14" i="4" s="1"/>
  <c r="Y14" i="4"/>
  <c r="AA14" i="4"/>
  <c r="W47" i="4"/>
  <c r="W46" i="4"/>
  <c r="W45" i="4"/>
  <c r="W44" i="4"/>
  <c r="W43" i="4"/>
  <c r="W42" i="4"/>
  <c r="W41" i="4"/>
  <c r="W40" i="4"/>
  <c r="W39" i="4"/>
  <c r="W38" i="4"/>
  <c r="W37" i="4"/>
  <c r="W36" i="4"/>
  <c r="W35" i="4"/>
  <c r="W34" i="4"/>
  <c r="W33" i="4"/>
  <c r="W32" i="4"/>
  <c r="W31" i="4"/>
  <c r="W30" i="4"/>
  <c r="W29" i="4"/>
  <c r="W28" i="4"/>
  <c r="W27" i="4"/>
  <c r="W26" i="4"/>
  <c r="W25" i="4"/>
  <c r="W24" i="4"/>
  <c r="W23" i="4"/>
  <c r="W22" i="4"/>
  <c r="W21" i="4"/>
  <c r="W20" i="4"/>
  <c r="W15" i="4"/>
  <c r="W17" i="4"/>
  <c r="W19" i="4"/>
  <c r="W18" i="4"/>
  <c r="W16" i="4"/>
  <c r="AF14" i="4" l="1"/>
  <c r="AG14" i="4"/>
  <c r="AB14" i="4"/>
  <c r="AC14" i="4"/>
  <c r="AA47" i="4"/>
  <c r="Z47" i="4"/>
  <c r="Y47" i="4"/>
  <c r="X47" i="4"/>
  <c r="AA46" i="4"/>
  <c r="Z46" i="4"/>
  <c r="Y46" i="4"/>
  <c r="X46" i="4"/>
  <c r="AA45" i="4"/>
  <c r="Z45" i="4"/>
  <c r="Y45" i="4"/>
  <c r="X45" i="4"/>
  <c r="AA44" i="4"/>
  <c r="Z44" i="4"/>
  <c r="Y44" i="4"/>
  <c r="X44" i="4"/>
  <c r="AA43" i="4"/>
  <c r="Z43" i="4"/>
  <c r="Y43" i="4"/>
  <c r="X43" i="4"/>
  <c r="AA42" i="4"/>
  <c r="Z42" i="4"/>
  <c r="Y42" i="4"/>
  <c r="X42" i="4"/>
  <c r="AA41" i="4"/>
  <c r="Z41" i="4"/>
  <c r="Y41" i="4"/>
  <c r="X41" i="4"/>
  <c r="AA40" i="4"/>
  <c r="Z40" i="4"/>
  <c r="Y40" i="4"/>
  <c r="X40" i="4"/>
  <c r="AA39" i="4"/>
  <c r="Z39" i="4"/>
  <c r="Y39" i="4"/>
  <c r="X39" i="4"/>
  <c r="AA38" i="4"/>
  <c r="Z38" i="4"/>
  <c r="Y38" i="4"/>
  <c r="X38" i="4"/>
  <c r="AA37" i="4"/>
  <c r="Z37" i="4"/>
  <c r="Y37" i="4"/>
  <c r="X37" i="4"/>
  <c r="AA36" i="4"/>
  <c r="Z36" i="4"/>
  <c r="Y36" i="4"/>
  <c r="X36" i="4"/>
  <c r="AA35" i="4"/>
  <c r="Z35" i="4"/>
  <c r="Y35" i="4"/>
  <c r="X35" i="4"/>
  <c r="AA34" i="4"/>
  <c r="Z34" i="4"/>
  <c r="Y34" i="4"/>
  <c r="X34" i="4"/>
  <c r="AA33" i="4"/>
  <c r="Z33" i="4"/>
  <c r="Y33" i="4"/>
  <c r="X33" i="4"/>
  <c r="AA32" i="4"/>
  <c r="Z32" i="4"/>
  <c r="Y32" i="4"/>
  <c r="X32" i="4"/>
  <c r="AA31" i="4"/>
  <c r="Z31" i="4"/>
  <c r="Y31" i="4"/>
  <c r="X31" i="4"/>
  <c r="AA30" i="4"/>
  <c r="Z30" i="4"/>
  <c r="Y30" i="4"/>
  <c r="X30" i="4"/>
  <c r="AA29" i="4"/>
  <c r="Z29" i="4"/>
  <c r="Y29" i="4"/>
  <c r="X29" i="4"/>
  <c r="AA28" i="4"/>
  <c r="Z28" i="4"/>
  <c r="Y28" i="4"/>
  <c r="X28" i="4"/>
  <c r="AA27" i="4"/>
  <c r="Z27" i="4"/>
  <c r="Y27" i="4"/>
  <c r="X27" i="4"/>
  <c r="AA26" i="4"/>
  <c r="Z26" i="4"/>
  <c r="Y26" i="4"/>
  <c r="X26" i="4"/>
  <c r="AA25" i="4"/>
  <c r="Z25" i="4"/>
  <c r="Y25" i="4"/>
  <c r="X25" i="4"/>
  <c r="AA24" i="4"/>
  <c r="Z24" i="4"/>
  <c r="Y24" i="4"/>
  <c r="X24" i="4"/>
  <c r="AA23" i="4"/>
  <c r="Z23" i="4"/>
  <c r="Y23" i="4"/>
  <c r="X23" i="4"/>
  <c r="AA22" i="4"/>
  <c r="Z22" i="4"/>
  <c r="Y22" i="4"/>
  <c r="X22" i="4"/>
  <c r="AA21" i="4"/>
  <c r="Z21" i="4"/>
  <c r="Y21" i="4"/>
  <c r="X21" i="4"/>
  <c r="AA20" i="4"/>
  <c r="Z20" i="4"/>
  <c r="Y20" i="4"/>
  <c r="X20" i="4"/>
  <c r="AA15" i="4"/>
  <c r="Z15" i="4"/>
  <c r="Y15" i="4"/>
  <c r="X15" i="4"/>
  <c r="AA17" i="4"/>
  <c r="Z17" i="4"/>
  <c r="Y17" i="4"/>
  <c r="X17" i="4"/>
  <c r="AA19" i="4"/>
  <c r="Z19" i="4"/>
  <c r="Y19" i="4"/>
  <c r="X19" i="4"/>
  <c r="AA18" i="4"/>
  <c r="Z18" i="4"/>
  <c r="Y18" i="4"/>
  <c r="X18" i="4"/>
  <c r="AA16" i="4"/>
  <c r="Z16" i="4"/>
  <c r="Y16" i="4"/>
  <c r="X16" i="4"/>
  <c r="AI14" i="4" l="1"/>
  <c r="AB47" i="4"/>
  <c r="AB46" i="4"/>
  <c r="AC46" i="4"/>
  <c r="AC47" i="4"/>
  <c r="AB45" i="4"/>
  <c r="AB44" i="4"/>
  <c r="AC44" i="4"/>
  <c r="AC45" i="4"/>
  <c r="AB43" i="4"/>
  <c r="AB42" i="4"/>
  <c r="AC42" i="4"/>
  <c r="AC43" i="4"/>
  <c r="AB40" i="4"/>
  <c r="AB41" i="4"/>
  <c r="AC40" i="4"/>
  <c r="AC41" i="4"/>
  <c r="AB39" i="4"/>
  <c r="AB38" i="4"/>
  <c r="AC38" i="4"/>
  <c r="AC39" i="4"/>
  <c r="AB37" i="4"/>
  <c r="AB36" i="4"/>
  <c r="AC36" i="4"/>
  <c r="AC37" i="4"/>
  <c r="AB34" i="4"/>
  <c r="AB35" i="4"/>
  <c r="AC34" i="4"/>
  <c r="AC35" i="4"/>
  <c r="AB33" i="4"/>
  <c r="AB32" i="4"/>
  <c r="AC32" i="4"/>
  <c r="AC33" i="4"/>
  <c r="AB30" i="4"/>
  <c r="AB31" i="4"/>
  <c r="AC30" i="4"/>
  <c r="AC31" i="4"/>
  <c r="AB29" i="4"/>
  <c r="AB28" i="4"/>
  <c r="AC28" i="4"/>
  <c r="AC29" i="4"/>
  <c r="AB27" i="4"/>
  <c r="AB26" i="4"/>
  <c r="AC26" i="4"/>
  <c r="AC27" i="4"/>
  <c r="AB17" i="4"/>
  <c r="AB16" i="4"/>
  <c r="AC16" i="4"/>
  <c r="AC17" i="4"/>
  <c r="AB20" i="4"/>
  <c r="AB21" i="4"/>
  <c r="AC20" i="4"/>
  <c r="AC21" i="4"/>
  <c r="AB24" i="4"/>
  <c r="AB25" i="4"/>
  <c r="AC24" i="4"/>
  <c r="AC25" i="4"/>
  <c r="AB23" i="4"/>
  <c r="AB22" i="4"/>
  <c r="AC22" i="4"/>
  <c r="AC23" i="4"/>
  <c r="AB19" i="4"/>
  <c r="AB18" i="4"/>
  <c r="AC18" i="4"/>
  <c r="AC19" i="4"/>
  <c r="AB15" i="4"/>
  <c r="AC15" i="4"/>
  <c r="J47" i="4" l="1"/>
  <c r="Q47" i="4"/>
  <c r="O47" i="4"/>
  <c r="S47" i="4" l="1"/>
  <c r="I47" i="4"/>
  <c r="P47" i="4"/>
  <c r="R47" i="4" l="1"/>
  <c r="D48" i="4"/>
  <c r="V48" i="4" s="1"/>
  <c r="W48" i="4" s="1"/>
  <c r="Y48" i="4" l="1"/>
  <c r="X48" i="4"/>
  <c r="Z48" i="4" s="1"/>
  <c r="AA48" i="4"/>
  <c r="C48" i="4"/>
  <c r="J48" i="4"/>
  <c r="O48" i="4"/>
  <c r="Q48" i="4"/>
  <c r="AC48" i="4" l="1"/>
  <c r="AB48" i="4"/>
  <c r="S48" i="4"/>
  <c r="I48" i="4"/>
  <c r="P48" i="4"/>
  <c r="R48" i="4" l="1"/>
  <c r="D49" i="4"/>
  <c r="V49" i="4" s="1"/>
  <c r="W49" i="4" s="1"/>
  <c r="X49" i="4" l="1"/>
  <c r="Z49" i="4" s="1"/>
  <c r="AA49" i="4"/>
  <c r="Y49" i="4"/>
  <c r="C49" i="4"/>
  <c r="O49" i="4"/>
  <c r="Q49" i="4"/>
  <c r="J49" i="4"/>
  <c r="AB49" i="4" l="1"/>
  <c r="AC49" i="4"/>
  <c r="S49" i="4"/>
  <c r="I49" i="4"/>
  <c r="P49" i="4"/>
  <c r="R49" i="4" l="1"/>
  <c r="D50" i="4"/>
  <c r="V50" i="4" s="1"/>
  <c r="W50" i="4" s="1"/>
  <c r="Y50" i="4" l="1"/>
  <c r="AA50" i="4"/>
  <c r="X50" i="4"/>
  <c r="Z50" i="4"/>
  <c r="C50" i="4"/>
  <c r="O50" i="4"/>
  <c r="J50" i="4"/>
  <c r="Q50" i="4"/>
  <c r="AC50" i="4" l="1"/>
  <c r="AB50" i="4"/>
  <c r="S50" i="4"/>
  <c r="I50" i="4"/>
  <c r="P50" i="4"/>
  <c r="R50" i="4" l="1"/>
  <c r="D51" i="4"/>
  <c r="V51" i="4" s="1"/>
  <c r="W51" i="4" s="1"/>
  <c r="Y51" i="4" l="1"/>
  <c r="X51" i="4"/>
  <c r="Z51" i="4" s="1"/>
  <c r="AA51" i="4"/>
  <c r="C51" i="4"/>
  <c r="Q51" i="4"/>
  <c r="J51" i="4"/>
  <c r="O51" i="4"/>
  <c r="AH14" i="4" l="1"/>
  <c r="AF15" i="4"/>
  <c r="AI15" i="4" s="1"/>
  <c r="AG15" i="4"/>
  <c r="AB51" i="4"/>
  <c r="AC51" i="4"/>
  <c r="S51" i="4"/>
  <c r="I51" i="4"/>
  <c r="P51" i="4"/>
  <c r="R51" i="4" l="1"/>
  <c r="D52" i="4"/>
  <c r="V52" i="4" s="1"/>
  <c r="W52" i="4" s="1"/>
  <c r="AA52" i="4" l="1"/>
  <c r="X52" i="4"/>
  <c r="Z52" i="4"/>
  <c r="Y52" i="4"/>
  <c r="C52" i="4"/>
  <c r="O52" i="4"/>
  <c r="J52" i="4"/>
  <c r="Q52" i="4"/>
  <c r="AB52" i="4" l="1"/>
  <c r="AC52" i="4"/>
  <c r="S52" i="4"/>
  <c r="I52" i="4"/>
  <c r="P52" i="4"/>
  <c r="D53" i="4" l="1"/>
  <c r="V53" i="4" s="1"/>
  <c r="W53" i="4" s="1"/>
  <c r="R52" i="4"/>
  <c r="Z53" i="4" l="1"/>
  <c r="X53" i="4"/>
  <c r="Y53" i="4"/>
  <c r="AA53" i="4"/>
  <c r="J53" i="4"/>
  <c r="Q53" i="4"/>
  <c r="O53" i="4"/>
  <c r="C53" i="4"/>
  <c r="AB53" i="4" l="1"/>
  <c r="AC53" i="4"/>
  <c r="S53" i="4"/>
  <c r="I53" i="4"/>
  <c r="P53" i="4"/>
  <c r="D54" i="4" l="1"/>
  <c r="V54" i="4" s="1"/>
  <c r="W54" i="4" s="1"/>
  <c r="R53" i="4"/>
  <c r="X54" i="4" l="1"/>
  <c r="Z54" i="4"/>
  <c r="AA54" i="4"/>
  <c r="Y54" i="4"/>
  <c r="J54" i="4"/>
  <c r="Q54" i="4"/>
  <c r="O54" i="4"/>
  <c r="C54" i="4"/>
  <c r="AC54" i="4" l="1"/>
  <c r="AB54" i="4"/>
  <c r="S54" i="4"/>
  <c r="P54" i="4"/>
  <c r="I54" i="4"/>
  <c r="D55" i="4" l="1"/>
  <c r="V55" i="4" s="1"/>
  <c r="W55" i="4" s="1"/>
  <c r="R54" i="4"/>
  <c r="AA55" i="4" l="1"/>
  <c r="Y55" i="4"/>
  <c r="Z55" i="4"/>
  <c r="X55" i="4"/>
  <c r="O55" i="4"/>
  <c r="J55" i="4"/>
  <c r="Q55" i="4"/>
  <c r="C55" i="4"/>
  <c r="AC55" i="4" l="1"/>
  <c r="AB55" i="4"/>
  <c r="I55" i="4"/>
  <c r="P55" i="4"/>
  <c r="S55" i="4"/>
  <c r="R55" i="4" l="1"/>
  <c r="D56" i="4"/>
  <c r="V56" i="4" s="1"/>
  <c r="W56" i="4" s="1"/>
  <c r="AA56" i="4" l="1"/>
  <c r="Y56" i="4"/>
  <c r="Z56" i="4"/>
  <c r="X56" i="4"/>
  <c r="C56" i="4"/>
  <c r="O56" i="4"/>
  <c r="J56" i="4"/>
  <c r="Q56" i="4"/>
  <c r="AC56" i="4" l="1"/>
  <c r="AB56" i="4"/>
  <c r="P56" i="4"/>
  <c r="I56" i="4"/>
  <c r="S56" i="4"/>
  <c r="R56" i="4" l="1"/>
  <c r="D57" i="4"/>
  <c r="V57" i="4" s="1"/>
  <c r="W57" i="4" s="1"/>
  <c r="AA57" i="4" l="1"/>
  <c r="Z57" i="4"/>
  <c r="X57" i="4"/>
  <c r="Y57" i="4"/>
  <c r="C57" i="4"/>
  <c r="O57" i="4"/>
  <c r="Q57" i="4"/>
  <c r="J57" i="4"/>
  <c r="AB57" i="4" l="1"/>
  <c r="AC57" i="4"/>
  <c r="P57" i="4"/>
  <c r="I57" i="4"/>
  <c r="S57" i="4"/>
  <c r="R57" i="4" l="1"/>
  <c r="D58" i="4"/>
  <c r="V58" i="4" s="1"/>
  <c r="W58" i="4" s="1"/>
  <c r="AA58" i="4" l="1"/>
  <c r="Y58" i="4"/>
  <c r="X58" i="4"/>
  <c r="Z58" i="4"/>
  <c r="C58" i="4"/>
  <c r="O58" i="4"/>
  <c r="Q58" i="4"/>
  <c r="J58" i="4"/>
  <c r="AB58" i="4" l="1"/>
  <c r="AC58" i="4"/>
  <c r="S58" i="4"/>
  <c r="I58" i="4"/>
  <c r="P58" i="4"/>
  <c r="R58" i="4" l="1"/>
  <c r="D59" i="4"/>
  <c r="V59" i="4" s="1"/>
  <c r="W59" i="4" s="1"/>
  <c r="AA59" i="4" l="1"/>
  <c r="X59" i="4"/>
  <c r="Z59" i="4"/>
  <c r="Y59" i="4"/>
  <c r="C59" i="4"/>
  <c r="O59" i="4"/>
  <c r="Q59" i="4"/>
  <c r="J59" i="4"/>
  <c r="AC59" i="4" l="1"/>
  <c r="AB59" i="4"/>
  <c r="I59" i="4"/>
  <c r="P59" i="4"/>
  <c r="S59" i="4"/>
  <c r="R59" i="4" l="1"/>
  <c r="D60" i="4"/>
  <c r="V60" i="4" s="1"/>
  <c r="W60" i="4" s="1"/>
  <c r="Y60" i="4" l="1"/>
  <c r="AA60" i="4"/>
  <c r="X60" i="4"/>
  <c r="Z60" i="4"/>
  <c r="C60" i="4"/>
  <c r="O60" i="4"/>
  <c r="Q60" i="4"/>
  <c r="J60" i="4"/>
  <c r="AC60" i="4" l="1"/>
  <c r="AB60" i="4"/>
  <c r="S60" i="4"/>
  <c r="I60" i="4"/>
  <c r="P60" i="4"/>
  <c r="R60" i="4" l="1"/>
  <c r="D61" i="4"/>
  <c r="V61" i="4" s="1"/>
  <c r="W61" i="4" s="1"/>
  <c r="AA61" i="4" l="1"/>
  <c r="X61" i="4"/>
  <c r="Z61" i="4" s="1"/>
  <c r="Y61" i="4"/>
  <c r="C61" i="4"/>
  <c r="O61" i="4"/>
  <c r="Q61" i="4"/>
  <c r="J61" i="4"/>
  <c r="AC61" i="4" l="1"/>
  <c r="AB61" i="4"/>
  <c r="S61" i="4"/>
  <c r="I61" i="4"/>
  <c r="P61" i="4"/>
  <c r="R61" i="4" l="1"/>
  <c r="D62" i="4"/>
  <c r="V62" i="4" s="1"/>
  <c r="W62" i="4" s="1"/>
  <c r="X62" i="4" l="1"/>
  <c r="Z62" i="4"/>
  <c r="AA62" i="4"/>
  <c r="Y62" i="4"/>
  <c r="C62" i="4"/>
  <c r="O62" i="4"/>
  <c r="Q62" i="4"/>
  <c r="J62" i="4"/>
  <c r="AB62" i="4" l="1"/>
  <c r="AC62" i="4"/>
  <c r="S62" i="4"/>
  <c r="P62" i="4"/>
  <c r="I62" i="4"/>
  <c r="R62" i="4" l="1"/>
  <c r="D63" i="4"/>
  <c r="V63" i="4" s="1"/>
  <c r="W63" i="4" s="1"/>
  <c r="Z63" i="4" l="1"/>
  <c r="Y63" i="4"/>
  <c r="X63" i="4"/>
  <c r="AA63" i="4"/>
  <c r="C63" i="4"/>
  <c r="Q63" i="4"/>
  <c r="O63" i="4"/>
  <c r="J63" i="4"/>
  <c r="AB63" i="4" l="1"/>
  <c r="AC63" i="4"/>
  <c r="I63" i="4"/>
  <c r="P63" i="4"/>
  <c r="S63" i="4"/>
  <c r="R63" i="4" l="1"/>
  <c r="D64" i="4"/>
  <c r="V64" i="4" s="1"/>
  <c r="W64" i="4" s="1"/>
  <c r="AA64" i="4" l="1"/>
  <c r="Z64" i="4"/>
  <c r="X64" i="4"/>
  <c r="Y64" i="4"/>
  <c r="C64" i="4"/>
  <c r="Q64" i="4"/>
  <c r="J64" i="4"/>
  <c r="O64" i="4"/>
  <c r="AC64" i="4" l="1"/>
  <c r="AB64" i="4"/>
  <c r="S64" i="4"/>
  <c r="I64" i="4"/>
  <c r="P64" i="4"/>
  <c r="R64" i="4" l="1"/>
  <c r="D65" i="4"/>
  <c r="V65" i="4" s="1"/>
  <c r="W65" i="4" s="1"/>
  <c r="AA65" i="4" l="1"/>
  <c r="Y65" i="4"/>
  <c r="X65" i="4"/>
  <c r="Z65" i="4" s="1"/>
  <c r="C65" i="4"/>
  <c r="O65" i="4"/>
  <c r="Q65" i="4"/>
  <c r="J65" i="4"/>
  <c r="AB65" i="4" l="1"/>
  <c r="AC65" i="4"/>
  <c r="S65" i="4"/>
  <c r="I65" i="4"/>
  <c r="P65" i="4"/>
  <c r="R65" i="4" l="1"/>
  <c r="D66" i="4"/>
  <c r="V66" i="4" s="1"/>
  <c r="W66" i="4" s="1"/>
  <c r="Z66" i="4" l="1"/>
  <c r="AA66" i="4"/>
  <c r="Y66" i="4"/>
  <c r="X66" i="4"/>
  <c r="C66" i="4"/>
  <c r="O66" i="4"/>
  <c r="J66" i="4"/>
  <c r="Q66" i="4"/>
  <c r="AC66" i="4" l="1"/>
  <c r="AB66" i="4"/>
  <c r="S66" i="4"/>
  <c r="I66" i="4"/>
  <c r="P66" i="4"/>
  <c r="D67" i="4" l="1"/>
  <c r="V67" i="4" s="1"/>
  <c r="W67" i="4" s="1"/>
  <c r="R66" i="4"/>
  <c r="Y67" i="4" l="1"/>
  <c r="AA67" i="4"/>
  <c r="Z67" i="4"/>
  <c r="X67" i="4"/>
  <c r="O67" i="4"/>
  <c r="J67" i="4"/>
  <c r="Q67" i="4"/>
  <c r="C67" i="4"/>
  <c r="AC67" i="4" l="1"/>
  <c r="AB67" i="4"/>
  <c r="S67" i="4"/>
  <c r="I67" i="4"/>
  <c r="P67" i="4"/>
  <c r="D68" i="4" l="1"/>
  <c r="V68" i="4" s="1"/>
  <c r="W68" i="4" s="1"/>
  <c r="R67" i="4"/>
  <c r="Y68" i="4" l="1"/>
  <c r="Z68" i="4"/>
  <c r="X68" i="4"/>
  <c r="AA68" i="4"/>
  <c r="O68" i="4"/>
  <c r="Q68" i="4"/>
  <c r="J68" i="4"/>
  <c r="C68" i="4"/>
  <c r="AB68" i="4" l="1"/>
  <c r="AC68" i="4"/>
  <c r="S68" i="4"/>
  <c r="I68" i="4"/>
  <c r="P68" i="4"/>
  <c r="R68" i="4" l="1"/>
  <c r="D69" i="4"/>
  <c r="V69" i="4" s="1"/>
  <c r="W69" i="4" s="1"/>
  <c r="X69" i="4" l="1"/>
  <c r="Z69" i="4"/>
  <c r="Y69" i="4"/>
  <c r="AA69" i="4"/>
  <c r="C69" i="4"/>
  <c r="O69" i="4"/>
  <c r="Q69" i="4"/>
  <c r="J69" i="4"/>
  <c r="AB69" i="4" l="1"/>
  <c r="AC69" i="4"/>
  <c r="I69" i="4"/>
  <c r="P69" i="4"/>
  <c r="S69" i="4"/>
  <c r="D70" i="4" l="1"/>
  <c r="V70" i="4" s="1"/>
  <c r="W70" i="4" s="1"/>
  <c r="R69" i="4"/>
  <c r="Y70" i="4" l="1"/>
  <c r="X70" i="4"/>
  <c r="Z70" i="4"/>
  <c r="AA70" i="4"/>
  <c r="Q70" i="4"/>
  <c r="O70" i="4"/>
  <c r="J70" i="4"/>
  <c r="C70" i="4"/>
  <c r="AC70" i="4" l="1"/>
  <c r="AB70" i="4"/>
  <c r="S70" i="4"/>
  <c r="I70" i="4"/>
  <c r="P70" i="4"/>
  <c r="R70" i="4" l="1"/>
  <c r="D71" i="4"/>
  <c r="V71" i="4" s="1"/>
  <c r="W71" i="4" s="1"/>
  <c r="Y71" i="4" l="1"/>
  <c r="AA71" i="4"/>
  <c r="Z71" i="4"/>
  <c r="X71" i="4"/>
  <c r="C71" i="4"/>
  <c r="O71" i="4"/>
  <c r="J71" i="4"/>
  <c r="Q71" i="4"/>
  <c r="AB71" i="4" l="1"/>
  <c r="AC71" i="4"/>
  <c r="S71" i="4"/>
  <c r="P71" i="4"/>
  <c r="I71" i="4"/>
  <c r="R71" i="4" l="1"/>
  <c r="D72" i="4"/>
  <c r="V72" i="4" s="1"/>
  <c r="W72" i="4" s="1"/>
  <c r="Z72" i="4" l="1"/>
  <c r="X72" i="4"/>
  <c r="AA72" i="4"/>
  <c r="Y72" i="4"/>
  <c r="C72" i="4"/>
  <c r="O72" i="4"/>
  <c r="Q72" i="4"/>
  <c r="J72" i="4"/>
  <c r="AC72" i="4" l="1"/>
  <c r="AB72" i="4"/>
  <c r="I72" i="4"/>
  <c r="P72" i="4"/>
  <c r="S72" i="4"/>
  <c r="R72" i="4" l="1"/>
  <c r="D73" i="4"/>
  <c r="V73" i="4" s="1"/>
  <c r="W73" i="4" s="1"/>
  <c r="X73" i="4" l="1"/>
  <c r="Z73" i="4" s="1"/>
  <c r="AA73" i="4"/>
  <c r="Y73" i="4"/>
  <c r="C73" i="4"/>
  <c r="J73" i="4"/>
  <c r="O73" i="4"/>
  <c r="Q73" i="4"/>
  <c r="AB73" i="4" l="1"/>
  <c r="AC73" i="4"/>
  <c r="P73" i="4"/>
  <c r="I73" i="4"/>
  <c r="S73" i="4"/>
  <c r="R73" i="4" l="1"/>
  <c r="D74" i="4"/>
  <c r="V74" i="4" s="1"/>
  <c r="W74" i="4" s="1"/>
  <c r="Y74" i="4" l="1"/>
  <c r="AA74" i="4"/>
  <c r="Z74" i="4"/>
  <c r="X74" i="4"/>
  <c r="C74" i="4"/>
  <c r="J74" i="4"/>
  <c r="Q74" i="4"/>
  <c r="O74" i="4"/>
  <c r="AC74" i="4" l="1"/>
  <c r="AB74" i="4"/>
  <c r="S74" i="4"/>
  <c r="D75" i="4" l="1"/>
  <c r="V75" i="4" s="1"/>
  <c r="W75" i="4" s="1"/>
  <c r="X75" i="4" l="1"/>
  <c r="Y75" i="4"/>
  <c r="Z75" i="4"/>
  <c r="AA75" i="4"/>
  <c r="C75" i="4"/>
  <c r="J75" i="4"/>
  <c r="Q75" i="4"/>
  <c r="O75" i="4"/>
  <c r="AB75" i="4" l="1"/>
  <c r="AC75" i="4"/>
  <c r="S75" i="4"/>
  <c r="D76" i="4" l="1"/>
  <c r="V76" i="4" s="1"/>
  <c r="W76" i="4" s="1"/>
  <c r="Y76" i="4" l="1"/>
  <c r="Z76" i="4"/>
  <c r="X76" i="4"/>
  <c r="AA76" i="4"/>
  <c r="C76" i="4"/>
  <c r="AC76" i="4" l="1"/>
  <c r="AB76" i="4"/>
  <c r="D77" i="4" l="1"/>
  <c r="V77" i="4" s="1"/>
  <c r="W77" i="4" s="1"/>
  <c r="X77" i="4" l="1"/>
  <c r="Z77" i="4"/>
  <c r="Y77" i="4"/>
  <c r="AA77" i="4"/>
  <c r="C77" i="4"/>
  <c r="AB77" i="4" l="1"/>
  <c r="AC77" i="4"/>
  <c r="D78" i="4" l="1"/>
  <c r="V78" i="4" s="1"/>
  <c r="W78" i="4" s="1"/>
  <c r="Y78" i="4" l="1"/>
  <c r="AA78" i="4"/>
  <c r="X78" i="4"/>
  <c r="Z78" i="4" s="1"/>
  <c r="C78" i="4"/>
  <c r="AB78" i="4" l="1"/>
  <c r="AC78" i="4"/>
  <c r="D79" i="4" l="1"/>
  <c r="V79" i="4" s="1"/>
  <c r="W79" i="4" s="1"/>
  <c r="AA79" i="4" l="1"/>
  <c r="X79" i="4"/>
  <c r="Z79" i="4" s="1"/>
  <c r="Y79" i="4"/>
  <c r="C79" i="4"/>
  <c r="AB79" i="4" l="1"/>
  <c r="AC79" i="4"/>
  <c r="D80" i="4" l="1"/>
  <c r="V80" i="4" s="1"/>
  <c r="W80" i="4" s="1"/>
  <c r="Y80" i="4" l="1"/>
  <c r="AA80" i="4"/>
  <c r="X80" i="4"/>
  <c r="Z80" i="4"/>
  <c r="C80" i="4"/>
  <c r="AC80" i="4" l="1"/>
  <c r="AB80" i="4"/>
  <c r="D81" i="4" l="1"/>
  <c r="V81" i="4" s="1"/>
  <c r="W81" i="4" s="1"/>
  <c r="Y81" i="4" l="1"/>
  <c r="AA81" i="4"/>
  <c r="X81" i="4"/>
  <c r="Z81" i="4"/>
  <c r="C81" i="4"/>
  <c r="AB81" i="4" l="1"/>
  <c r="AC81" i="4"/>
  <c r="C82" i="4" l="1"/>
  <c r="C83" i="4" l="1"/>
  <c r="C84" i="4" l="1"/>
  <c r="C85" i="4" l="1"/>
  <c r="C86" i="4" l="1"/>
  <c r="C87" i="4" l="1"/>
  <c r="C88" i="4" l="1"/>
  <c r="P74" i="4" l="1"/>
  <c r="I74" i="4"/>
  <c r="R74" i="4" l="1"/>
  <c r="P75" i="4" l="1"/>
  <c r="I75" i="4"/>
  <c r="R75" i="4" l="1"/>
  <c r="J76" i="4" l="1"/>
  <c r="O76" i="4"/>
  <c r="Q76" i="4"/>
  <c r="P76" i="4" l="1"/>
  <c r="I76" i="4"/>
  <c r="S76" i="4"/>
  <c r="R76" i="4" l="1"/>
  <c r="Q77" i="4" l="1"/>
  <c r="O77" i="4"/>
  <c r="J77" i="4"/>
  <c r="P77" i="4" l="1"/>
  <c r="I77" i="4"/>
  <c r="S77" i="4"/>
  <c r="R77" i="4" l="1"/>
  <c r="J78" i="4" l="1"/>
  <c r="O78" i="4"/>
  <c r="Q78" i="4"/>
  <c r="S78" i="4" l="1"/>
  <c r="I78" i="4"/>
  <c r="P78" i="4"/>
  <c r="R78" i="4" l="1"/>
  <c r="J79" i="4" l="1"/>
  <c r="Q79" i="4"/>
  <c r="O79" i="4"/>
  <c r="S79" i="4" l="1"/>
  <c r="I79" i="4"/>
  <c r="P79" i="4"/>
  <c r="R79" i="4" l="1"/>
  <c r="J80" i="4" l="1"/>
  <c r="O80" i="4"/>
  <c r="Q80" i="4"/>
  <c r="S80" i="4" l="1"/>
  <c r="P80" i="4"/>
  <c r="I80" i="4"/>
  <c r="R80" i="4" l="1"/>
  <c r="J81" i="4" l="1"/>
  <c r="Q81" i="4"/>
  <c r="O81" i="4"/>
  <c r="S81" i="4" l="1"/>
  <c r="P81" i="4"/>
  <c r="I81" i="4"/>
  <c r="D82" i="4" l="1"/>
  <c r="V82" i="4" s="1"/>
  <c r="W82" i="4" s="1"/>
  <c r="R81" i="4"/>
  <c r="X82" i="4" l="1"/>
  <c r="Z82" i="4"/>
  <c r="Y82" i="4"/>
  <c r="AA82" i="4"/>
  <c r="AC82" i="4" l="1"/>
  <c r="AB82" i="4"/>
  <c r="P82" i="4"/>
  <c r="I82" i="4"/>
  <c r="R82" i="4" l="1"/>
  <c r="D83" i="4"/>
  <c r="V83" i="4" s="1"/>
  <c r="W83" i="4" s="1"/>
  <c r="AA83" i="4" l="1"/>
  <c r="Z83" i="4"/>
  <c r="X83" i="4"/>
  <c r="Y83" i="4"/>
  <c r="AC83" i="4" l="1"/>
  <c r="AB83" i="4"/>
  <c r="P83" i="4"/>
  <c r="I83" i="4"/>
  <c r="R83" i="4" l="1"/>
  <c r="D84" i="4"/>
  <c r="V84" i="4" s="1"/>
  <c r="W84" i="4" s="1"/>
  <c r="Z84" i="4" l="1"/>
  <c r="Y84" i="4"/>
  <c r="AA84" i="4"/>
  <c r="X84" i="4"/>
  <c r="AC84" i="4" l="1"/>
  <c r="AB84" i="4"/>
  <c r="P84" i="4"/>
  <c r="I84" i="4"/>
  <c r="R84" i="4" l="1"/>
  <c r="D85" i="4"/>
  <c r="V85" i="4" s="1"/>
  <c r="W85" i="4" s="1"/>
  <c r="AA85" i="4" l="1"/>
  <c r="Z85" i="4"/>
  <c r="X85" i="4"/>
  <c r="Y85" i="4"/>
  <c r="AB85" i="4" l="1"/>
  <c r="AC85" i="4"/>
  <c r="D86" i="4" l="1"/>
  <c r="V86" i="4" s="1"/>
  <c r="W86" i="4" s="1"/>
  <c r="Y86" i="4" l="1"/>
  <c r="X86" i="4"/>
  <c r="Z86" i="4"/>
  <c r="AA86" i="4"/>
  <c r="AC86" i="4" l="1"/>
  <c r="AB86" i="4"/>
  <c r="D87" i="4" l="1"/>
  <c r="V87" i="4" s="1"/>
  <c r="W87" i="4" s="1"/>
  <c r="AA87" i="4" l="1"/>
  <c r="X87" i="4"/>
  <c r="Z87" i="4" s="1"/>
  <c r="Y87" i="4"/>
  <c r="AB87" i="4" l="1"/>
  <c r="AC87" i="4"/>
  <c r="D88" i="4" l="1"/>
  <c r="V88" i="4" s="1"/>
  <c r="W88" i="4" s="1"/>
  <c r="AA88" i="4" l="1"/>
  <c r="Z88" i="4"/>
  <c r="Y88" i="4"/>
  <c r="X88" i="4"/>
  <c r="AB88" i="4" l="1"/>
  <c r="AC88" i="4"/>
  <c r="J82" i="4" l="1"/>
  <c r="Q82" i="4"/>
  <c r="O82" i="4"/>
  <c r="S82" i="4" l="1"/>
  <c r="O83" i="4" l="1"/>
  <c r="J83" i="4"/>
  <c r="Q83" i="4"/>
  <c r="S83" i="4" l="1"/>
  <c r="O84" i="4" l="1"/>
  <c r="J84" i="4"/>
  <c r="Q84" i="4"/>
  <c r="S84" i="4" l="1"/>
  <c r="J85" i="4" l="1"/>
  <c r="Q85" i="4"/>
  <c r="O85" i="4"/>
  <c r="S85" i="4" l="1"/>
  <c r="P85" i="4"/>
  <c r="I85" i="4"/>
  <c r="R85" i="4" l="1"/>
  <c r="J86" i="4" l="1"/>
  <c r="Q86" i="4"/>
  <c r="O86" i="4"/>
  <c r="S86" i="4" l="1"/>
  <c r="P86" i="4"/>
  <c r="I86" i="4"/>
  <c r="R86" i="4" l="1"/>
  <c r="Q87" i="4" l="1"/>
  <c r="J87" i="4"/>
  <c r="O87" i="4"/>
  <c r="S87" i="4" l="1"/>
  <c r="P87" i="4"/>
  <c r="I87" i="4"/>
  <c r="R87" i="4" l="1"/>
  <c r="J88" i="4" l="1"/>
  <c r="Q88" i="4"/>
  <c r="O88" i="4"/>
  <c r="S88" i="4" l="1"/>
  <c r="P88" i="4"/>
  <c r="I88" i="4"/>
  <c r="R88" i="4" l="1"/>
  <c r="D89" i="4"/>
  <c r="V89" i="4" s="1"/>
  <c r="W89" i="4" s="1"/>
  <c r="Y89" i="4" l="1"/>
  <c r="AA89" i="4"/>
  <c r="X89" i="4"/>
  <c r="Z89" i="4"/>
  <c r="C89" i="4"/>
  <c r="J89" i="4"/>
  <c r="Q89" i="4"/>
  <c r="O89" i="4"/>
  <c r="AB89" i="4" l="1"/>
  <c r="AC89" i="4"/>
  <c r="S89" i="4"/>
  <c r="P89" i="4"/>
  <c r="I89" i="4"/>
  <c r="R89" i="4" l="1"/>
  <c r="D90" i="4"/>
  <c r="V90" i="4" s="1"/>
  <c r="W90" i="4" s="1"/>
  <c r="AA90" i="4" l="1"/>
  <c r="Y90" i="4"/>
  <c r="X90" i="4"/>
  <c r="Z90" i="4"/>
  <c r="C90" i="4"/>
  <c r="J90" i="4"/>
  <c r="Q90" i="4"/>
  <c r="O90" i="4"/>
  <c r="AB90" i="4" l="1"/>
  <c r="AC90" i="4"/>
  <c r="S90" i="4"/>
  <c r="I90" i="4"/>
  <c r="P90" i="4"/>
  <c r="R90" i="4" l="1"/>
  <c r="D91" i="4"/>
  <c r="V91" i="4" s="1"/>
  <c r="W91" i="4" s="1"/>
  <c r="Y91" i="4" l="1"/>
  <c r="X91" i="4"/>
  <c r="AA91" i="4"/>
  <c r="Z91" i="4"/>
  <c r="C91" i="4"/>
  <c r="J91" i="4"/>
  <c r="O91" i="4"/>
  <c r="Q91" i="4"/>
  <c r="AB91" i="4" l="1"/>
  <c r="AC91" i="4"/>
  <c r="S91" i="4"/>
  <c r="P91" i="4"/>
  <c r="I91" i="4"/>
  <c r="R91" i="4" l="1"/>
  <c r="D92" i="4"/>
  <c r="V92" i="4" s="1"/>
  <c r="W92" i="4" s="1"/>
  <c r="Y92" i="4" l="1"/>
  <c r="X92" i="4"/>
  <c r="Z92" i="4"/>
  <c r="AA92" i="4"/>
  <c r="C92" i="4"/>
  <c r="O92" i="4"/>
  <c r="Q92" i="4"/>
  <c r="J92" i="4"/>
  <c r="AC92" i="4" l="1"/>
  <c r="AB92" i="4"/>
  <c r="I92" i="4"/>
  <c r="P92" i="4"/>
  <c r="S92" i="4"/>
  <c r="R92" i="4" l="1"/>
  <c r="D93" i="4"/>
  <c r="V93" i="4" s="1"/>
  <c r="W93" i="4" s="1"/>
  <c r="Y93" i="4" l="1"/>
  <c r="X93" i="4"/>
  <c r="Z93" i="4"/>
  <c r="AA93" i="4"/>
  <c r="C93" i="4"/>
  <c r="J93" i="4"/>
  <c r="Q93" i="4"/>
  <c r="O93" i="4"/>
  <c r="AC93" i="4" l="1"/>
  <c r="AB93" i="4"/>
  <c r="S93" i="4"/>
  <c r="P93" i="4"/>
  <c r="I93" i="4"/>
  <c r="R93" i="4" l="1"/>
  <c r="D94" i="4"/>
  <c r="V94" i="4" s="1"/>
  <c r="W94" i="4" s="1"/>
  <c r="AA94" i="4" l="1"/>
  <c r="X94" i="4"/>
  <c r="Z94" i="4" s="1"/>
  <c r="Y94" i="4"/>
  <c r="C94" i="4"/>
  <c r="J94" i="4"/>
  <c r="Q94" i="4"/>
  <c r="O94" i="4"/>
  <c r="AC94" i="4" l="1"/>
  <c r="AB94" i="4"/>
  <c r="S94" i="4"/>
  <c r="P94" i="4"/>
  <c r="I94" i="4"/>
  <c r="R94" i="4" l="1"/>
  <c r="D95" i="4"/>
  <c r="V95" i="4" s="1"/>
  <c r="W95" i="4" s="1"/>
  <c r="Y95" i="4" l="1"/>
  <c r="Z95" i="4"/>
  <c r="AA95" i="4"/>
  <c r="X95" i="4"/>
  <c r="C95" i="4"/>
  <c r="Q95" i="4"/>
  <c r="O95" i="4"/>
  <c r="J95" i="4"/>
  <c r="AC95" i="4" l="1"/>
  <c r="AB95" i="4"/>
  <c r="S95" i="4"/>
  <c r="P95" i="4"/>
  <c r="I95" i="4"/>
  <c r="R95" i="4" l="1"/>
  <c r="D96" i="4"/>
  <c r="V96" i="4" s="1"/>
  <c r="W96" i="4" s="1"/>
  <c r="AA96" i="4" l="1"/>
  <c r="Y96" i="4"/>
  <c r="X96" i="4"/>
  <c r="Z96" i="4"/>
  <c r="C96" i="4"/>
  <c r="O96" i="4"/>
  <c r="Q96" i="4"/>
  <c r="J96" i="4"/>
  <c r="AB96" i="4" l="1"/>
  <c r="AC96" i="4"/>
  <c r="S96" i="4"/>
  <c r="P96" i="4"/>
  <c r="I96" i="4"/>
  <c r="D97" i="4" l="1"/>
  <c r="V97" i="4" s="1"/>
  <c r="W97" i="4" s="1"/>
  <c r="R96" i="4"/>
  <c r="AA97" i="4" l="1"/>
  <c r="Y97" i="4"/>
  <c r="X97" i="4"/>
  <c r="Z97" i="4" s="1"/>
  <c r="J97" i="4"/>
  <c r="Q97" i="4"/>
  <c r="O97" i="4"/>
  <c r="C97" i="4"/>
  <c r="AC97" i="4" l="1"/>
  <c r="AB97" i="4"/>
  <c r="S97" i="4"/>
  <c r="I97" i="4"/>
  <c r="P97" i="4"/>
  <c r="R97" i="4" l="1"/>
  <c r="D98" i="4"/>
  <c r="V98" i="4" s="1"/>
  <c r="W98" i="4" s="1"/>
  <c r="Y98" i="4" l="1"/>
  <c r="X98" i="4"/>
  <c r="Z98" i="4"/>
  <c r="AA98" i="4"/>
  <c r="C98" i="4"/>
  <c r="O98" i="4"/>
  <c r="J98" i="4"/>
  <c r="Q98" i="4"/>
  <c r="AB98" i="4" l="1"/>
  <c r="AC98" i="4"/>
  <c r="P98" i="4"/>
  <c r="I98" i="4"/>
  <c r="S98" i="4"/>
  <c r="D99" i="4" l="1"/>
  <c r="V99" i="4" s="1"/>
  <c r="W99" i="4" s="1"/>
  <c r="R98" i="4"/>
  <c r="Y99" i="4" l="1"/>
  <c r="AA99" i="4"/>
  <c r="Z99" i="4"/>
  <c r="X99" i="4"/>
  <c r="J99" i="4"/>
  <c r="Q99" i="4"/>
  <c r="O99" i="4"/>
  <c r="C99" i="4"/>
  <c r="AB99" i="4" l="1"/>
  <c r="AC99" i="4"/>
  <c r="S99" i="4"/>
  <c r="I99" i="4"/>
  <c r="P99" i="4"/>
  <c r="R99" i="4" l="1"/>
  <c r="D100" i="4"/>
  <c r="V100" i="4" s="1"/>
  <c r="W100" i="4" s="1"/>
  <c r="AA100" i="4" l="1"/>
  <c r="Y100" i="4"/>
  <c r="X100" i="4"/>
  <c r="Z100" i="4"/>
  <c r="C100" i="4"/>
  <c r="Q100" i="4"/>
  <c r="O100" i="4"/>
  <c r="J100" i="4"/>
  <c r="AC100" i="4" l="1"/>
  <c r="AB100" i="4"/>
  <c r="P100" i="4"/>
  <c r="I100" i="4"/>
  <c r="S100" i="4"/>
  <c r="R100" i="4" l="1"/>
  <c r="D101" i="4"/>
  <c r="V101" i="4" s="1"/>
  <c r="W101" i="4" s="1"/>
  <c r="X101" i="4" l="1"/>
  <c r="Z101" i="4" s="1"/>
  <c r="AA101" i="4"/>
  <c r="Y101" i="4"/>
  <c r="C101" i="4"/>
  <c r="O101" i="4"/>
  <c r="J101" i="4"/>
  <c r="Q101" i="4"/>
  <c r="AC101" i="4" l="1"/>
  <c r="AB101" i="4"/>
  <c r="S101" i="4"/>
  <c r="P101" i="4"/>
  <c r="I101" i="4"/>
  <c r="D102" i="4" l="1"/>
  <c r="V102" i="4" s="1"/>
  <c r="W102" i="4" s="1"/>
  <c r="R101" i="4"/>
  <c r="X102" i="4" l="1"/>
  <c r="Z102" i="4"/>
  <c r="AA102" i="4"/>
  <c r="Y102" i="4"/>
  <c r="Q102" i="4"/>
  <c r="O102" i="4"/>
  <c r="J102" i="4"/>
  <c r="C102" i="4"/>
  <c r="AB102" i="4" l="1"/>
  <c r="AC102" i="4"/>
  <c r="P102" i="4"/>
  <c r="I102" i="4"/>
  <c r="S102" i="4"/>
  <c r="R102" i="4" l="1"/>
  <c r="D103" i="4"/>
  <c r="V103" i="4" s="1"/>
  <c r="W103" i="4" s="1"/>
  <c r="X103" i="4" l="1"/>
  <c r="AA103" i="4"/>
  <c r="Z103" i="4"/>
  <c r="Y103" i="4"/>
  <c r="C103" i="4"/>
  <c r="J103" i="4"/>
  <c r="Q103" i="4"/>
  <c r="O103" i="4"/>
  <c r="AB103" i="4" l="1"/>
  <c r="AC103" i="4"/>
  <c r="S103" i="4"/>
  <c r="I103" i="4"/>
  <c r="P103" i="4"/>
  <c r="R103" i="4" l="1"/>
  <c r="D104" i="4"/>
  <c r="V104" i="4" s="1"/>
  <c r="W104" i="4" s="1"/>
  <c r="X104" i="4" l="1"/>
  <c r="Z104" i="4" s="1"/>
  <c r="AA104" i="4"/>
  <c r="Y104" i="4"/>
  <c r="C104" i="4"/>
  <c r="O104" i="4"/>
  <c r="J104" i="4"/>
  <c r="Q104" i="4"/>
  <c r="AC104" i="4" l="1"/>
  <c r="AB104" i="4"/>
  <c r="S104" i="4"/>
  <c r="P104" i="4"/>
  <c r="I104" i="4"/>
  <c r="D105" i="4" l="1"/>
  <c r="V105" i="4" s="1"/>
  <c r="W105" i="4" s="1"/>
  <c r="R104" i="4"/>
  <c r="AA105" i="4" l="1"/>
  <c r="Y105" i="4"/>
  <c r="X105" i="4"/>
  <c r="Z105" i="4" s="1"/>
  <c r="Q105" i="4"/>
  <c r="J105" i="4"/>
  <c r="O105" i="4"/>
  <c r="C105" i="4"/>
  <c r="AC105" i="4" l="1"/>
  <c r="AB105" i="4"/>
  <c r="S105" i="4"/>
  <c r="I105" i="4"/>
  <c r="P105" i="4"/>
  <c r="R105" i="4" l="1"/>
  <c r="D106" i="4"/>
  <c r="V106" i="4" s="1"/>
  <c r="W106" i="4" s="1"/>
  <c r="Y106" i="4" l="1"/>
  <c r="AA106" i="4"/>
  <c r="X106" i="4"/>
  <c r="Z106" i="4" s="1"/>
  <c r="C106" i="4"/>
  <c r="J106" i="4"/>
  <c r="O106" i="4"/>
  <c r="Q106" i="4"/>
  <c r="AB106" i="4" l="1"/>
  <c r="AC106" i="4"/>
  <c r="S106" i="4"/>
  <c r="P106" i="4"/>
  <c r="I106" i="4"/>
  <c r="D107" i="4" l="1"/>
  <c r="V107" i="4" s="1"/>
  <c r="W107" i="4" s="1"/>
  <c r="R106" i="4"/>
  <c r="Y107" i="4" l="1"/>
  <c r="X107" i="4"/>
  <c r="Z107" i="4"/>
  <c r="AA107" i="4"/>
  <c r="Q107" i="4"/>
  <c r="J107" i="4"/>
  <c r="O107" i="4"/>
  <c r="C107" i="4"/>
  <c r="AC107" i="4" l="1"/>
  <c r="AB107" i="4"/>
  <c r="S107" i="4"/>
  <c r="P107" i="4"/>
  <c r="I107" i="4"/>
  <c r="R107" i="4" l="1"/>
  <c r="D108" i="4"/>
  <c r="V108" i="4" s="1"/>
  <c r="W108" i="4" s="1"/>
  <c r="AA108" i="4" l="1"/>
  <c r="X108" i="4"/>
  <c r="Y108" i="4"/>
  <c r="Z108" i="4"/>
  <c r="C108" i="4"/>
  <c r="O108" i="4"/>
  <c r="J108" i="4"/>
  <c r="Q108" i="4"/>
  <c r="AB108" i="4" l="1"/>
  <c r="AC108" i="4"/>
  <c r="S108" i="4"/>
  <c r="I108" i="4"/>
  <c r="P108" i="4"/>
  <c r="R108" i="4" l="1"/>
  <c r="D109" i="4"/>
  <c r="V109" i="4" s="1"/>
  <c r="W109" i="4" s="1"/>
  <c r="AA109" i="4" l="1"/>
  <c r="X109" i="4"/>
  <c r="Y109" i="4"/>
  <c r="Z109" i="4"/>
  <c r="C109" i="4"/>
  <c r="J109" i="4"/>
  <c r="Q109" i="4"/>
  <c r="O109" i="4"/>
  <c r="AB109" i="4" l="1"/>
  <c r="AC109" i="4"/>
  <c r="S109" i="4"/>
  <c r="P109" i="4"/>
  <c r="I109" i="4"/>
  <c r="R109" i="4" l="1"/>
  <c r="C110" i="4" l="1"/>
  <c r="D110" i="4" l="1"/>
  <c r="V110" i="4" s="1"/>
  <c r="W110" i="4" s="1"/>
  <c r="P110" i="4"/>
  <c r="I110" i="4"/>
  <c r="Y110" i="4" l="1"/>
  <c r="X110" i="4"/>
  <c r="Z110" i="4" s="1"/>
  <c r="AA110" i="4"/>
  <c r="Q110" i="4"/>
  <c r="O110" i="4"/>
  <c r="J110" i="4"/>
  <c r="R110" i="4"/>
  <c r="AC110" i="4" l="1"/>
  <c r="AB110" i="4"/>
  <c r="S110" i="4"/>
  <c r="C111" i="4"/>
  <c r="I111" i="4" l="1"/>
  <c r="P111" i="4"/>
  <c r="D111" i="4"/>
  <c r="V111" i="4" s="1"/>
  <c r="W111" i="4" s="1"/>
  <c r="X111" i="4" l="1"/>
  <c r="Z111" i="4"/>
  <c r="AA111" i="4"/>
  <c r="Y111" i="4"/>
  <c r="R111" i="4"/>
  <c r="O111" i="4"/>
  <c r="J111" i="4"/>
  <c r="Q111" i="4"/>
  <c r="AC111" i="4" l="1"/>
  <c r="AB111" i="4"/>
  <c r="C112" i="4"/>
  <c r="S111" i="4"/>
  <c r="P112" i="4" l="1"/>
  <c r="I112" i="4"/>
  <c r="D112" i="4"/>
  <c r="V112" i="4" s="1"/>
  <c r="W112" i="4" s="1"/>
  <c r="X112" i="4" l="1"/>
  <c r="AA112" i="4"/>
  <c r="Z112" i="4"/>
  <c r="Y112" i="4"/>
  <c r="R112" i="4"/>
  <c r="J112" i="4"/>
  <c r="Q112" i="4"/>
  <c r="O112" i="4"/>
  <c r="AC112" i="4" l="1"/>
  <c r="AB112" i="4"/>
  <c r="S112" i="4"/>
  <c r="C113" i="4"/>
  <c r="P113" i="4" l="1"/>
  <c r="I113" i="4"/>
  <c r="D113" i="4"/>
  <c r="V113" i="4" s="1"/>
  <c r="W113" i="4" s="1"/>
  <c r="AA113" i="4" l="1"/>
  <c r="Y113" i="4"/>
  <c r="X113" i="4"/>
  <c r="Z113" i="4"/>
  <c r="R113" i="4"/>
  <c r="Q113" i="4"/>
  <c r="J113" i="4"/>
  <c r="O113" i="4"/>
  <c r="AC113" i="4" l="1"/>
  <c r="AB113" i="4"/>
  <c r="S113" i="4"/>
  <c r="C114" i="4"/>
  <c r="P114" i="4" l="1"/>
  <c r="I114" i="4"/>
  <c r="D114" i="4"/>
  <c r="V114" i="4" s="1"/>
  <c r="W114" i="4" s="1"/>
  <c r="AA114" i="4" l="1"/>
  <c r="Z114" i="4"/>
  <c r="X114" i="4"/>
  <c r="Y114" i="4"/>
  <c r="R114" i="4"/>
  <c r="J114" i="4"/>
  <c r="Q114" i="4"/>
  <c r="O114" i="4"/>
  <c r="AC114" i="4" l="1"/>
  <c r="AB114" i="4"/>
  <c r="S114" i="4"/>
  <c r="C115" i="4"/>
  <c r="D115" i="4" l="1"/>
  <c r="V115" i="4" s="1"/>
  <c r="W115" i="4" s="1"/>
  <c r="P115" i="4"/>
  <c r="I115" i="4"/>
  <c r="X115" i="4" l="1"/>
  <c r="Z115" i="4"/>
  <c r="Y115" i="4"/>
  <c r="AA115" i="4"/>
  <c r="Q115" i="4"/>
  <c r="J115" i="4"/>
  <c r="O115" i="4"/>
  <c r="R115" i="4"/>
  <c r="AB115" i="4" l="1"/>
  <c r="AC115" i="4"/>
  <c r="S115" i="4"/>
  <c r="C116" i="4"/>
  <c r="P116" i="4" l="1"/>
  <c r="I116" i="4"/>
  <c r="D116" i="4"/>
  <c r="V116" i="4" s="1"/>
  <c r="W116" i="4" s="1"/>
  <c r="X116" i="4" l="1"/>
  <c r="Z116" i="4" s="1"/>
  <c r="Y116" i="4"/>
  <c r="AA116" i="4"/>
  <c r="R116" i="4"/>
  <c r="J116" i="4"/>
  <c r="Q116" i="4"/>
  <c r="O116" i="4"/>
  <c r="AB116" i="4" l="1"/>
  <c r="AC116" i="4"/>
  <c r="S116" i="4"/>
  <c r="C117" i="4"/>
  <c r="P117" i="4" l="1"/>
  <c r="I117" i="4"/>
  <c r="D117" i="4"/>
  <c r="V117" i="4" s="1"/>
  <c r="W117" i="4" s="1"/>
  <c r="Z117" i="4" l="1"/>
  <c r="X117" i="4"/>
  <c r="AA117" i="4"/>
  <c r="Y117" i="4"/>
  <c r="R117" i="4"/>
  <c r="J117" i="4"/>
  <c r="Q117" i="4"/>
  <c r="O117" i="4"/>
  <c r="AC117" i="4" l="1"/>
  <c r="AB117" i="4"/>
  <c r="S117" i="4"/>
  <c r="C118" i="4"/>
  <c r="P118" i="4" l="1"/>
  <c r="I118" i="4"/>
  <c r="D118" i="4"/>
  <c r="V118" i="4" s="1"/>
  <c r="W118" i="4" s="1"/>
  <c r="Z118" i="4" l="1"/>
  <c r="Y118" i="4"/>
  <c r="AA118" i="4"/>
  <c r="X118" i="4"/>
  <c r="R118" i="4"/>
  <c r="Q118" i="4"/>
  <c r="J118" i="4"/>
  <c r="O118" i="4"/>
  <c r="AB118" i="4" l="1"/>
  <c r="AC118" i="4"/>
  <c r="S118" i="4"/>
  <c r="C119" i="4"/>
  <c r="P119" i="4" l="1"/>
  <c r="I119" i="4"/>
  <c r="D119" i="4"/>
  <c r="V119" i="4" s="1"/>
  <c r="W119" i="4" s="1"/>
  <c r="AA119" i="4" l="1"/>
  <c r="Z119" i="4"/>
  <c r="Y119" i="4"/>
  <c r="X119" i="4"/>
  <c r="R119" i="4"/>
  <c r="J119" i="4"/>
  <c r="O119" i="4"/>
  <c r="Q119" i="4"/>
  <c r="AB119" i="4" l="1"/>
  <c r="AC119" i="4"/>
  <c r="C120" i="4"/>
  <c r="S119" i="4"/>
  <c r="I120" i="4" l="1"/>
  <c r="P120" i="4"/>
  <c r="D120" i="4"/>
  <c r="V120" i="4" s="1"/>
  <c r="W120" i="4" s="1"/>
  <c r="Z120" i="4" l="1"/>
  <c r="X120" i="4"/>
  <c r="AA120" i="4"/>
  <c r="Y120" i="4"/>
  <c r="R120" i="4"/>
  <c r="Q120" i="4"/>
  <c r="J120" i="4"/>
  <c r="O120" i="4"/>
  <c r="AC120" i="4" l="1"/>
  <c r="AB120" i="4"/>
  <c r="C121" i="4"/>
  <c r="S120" i="4"/>
  <c r="D121" i="4" l="1"/>
  <c r="V121" i="4" s="1"/>
  <c r="W121" i="4" s="1"/>
  <c r="P121" i="4"/>
  <c r="I121" i="4"/>
  <c r="AA121" i="4" l="1"/>
  <c r="Y121" i="4"/>
  <c r="X121" i="4"/>
  <c r="Z121" i="4" s="1"/>
  <c r="J121" i="4"/>
  <c r="O121" i="4"/>
  <c r="Q121" i="4"/>
  <c r="R121" i="4"/>
  <c r="AB121" i="4" l="1"/>
  <c r="AC121" i="4"/>
  <c r="S121" i="4"/>
  <c r="C122" i="4"/>
  <c r="I122" i="4" l="1"/>
  <c r="P122" i="4"/>
  <c r="D122" i="4"/>
  <c r="V122" i="4" s="1"/>
  <c r="W122" i="4" s="1"/>
  <c r="AA122" i="4" l="1"/>
  <c r="X122" i="4"/>
  <c r="Z122" i="4"/>
  <c r="Y122" i="4"/>
  <c r="R122" i="4"/>
  <c r="Q122" i="4"/>
  <c r="O122" i="4"/>
  <c r="J122" i="4"/>
  <c r="AB122" i="4" l="1"/>
  <c r="AC122" i="4"/>
  <c r="C123" i="4"/>
  <c r="S122" i="4"/>
  <c r="P123" i="4" l="1"/>
  <c r="I123" i="4"/>
  <c r="D123" i="4"/>
  <c r="V123" i="4" s="1"/>
  <c r="W123" i="4" s="1"/>
  <c r="Y123" i="4" l="1"/>
  <c r="AA123" i="4"/>
  <c r="X123" i="4"/>
  <c r="Z123" i="4" s="1"/>
  <c r="R123" i="4"/>
  <c r="Q123" i="4"/>
  <c r="J123" i="4"/>
  <c r="O123" i="4"/>
  <c r="AC123" i="4" l="1"/>
  <c r="AB123" i="4"/>
  <c r="C124" i="4"/>
  <c r="S123" i="4"/>
  <c r="D124" i="4" l="1"/>
  <c r="V124" i="4" s="1"/>
  <c r="W124" i="4" s="1"/>
  <c r="P124" i="4"/>
  <c r="I124" i="4"/>
  <c r="X124" i="4" l="1"/>
  <c r="AA124" i="4"/>
  <c r="Z124" i="4"/>
  <c r="Y124" i="4"/>
  <c r="Q124" i="4"/>
  <c r="J124" i="4"/>
  <c r="O124" i="4"/>
  <c r="R124" i="4"/>
  <c r="AC124" i="4" l="1"/>
  <c r="AB124" i="4"/>
  <c r="S124" i="4"/>
  <c r="C125" i="4"/>
  <c r="P125" i="4" l="1"/>
  <c r="I125" i="4"/>
  <c r="D125" i="4"/>
  <c r="V125" i="4" s="1"/>
  <c r="W125" i="4" s="1"/>
  <c r="AA125" i="4" l="1"/>
  <c r="Y125" i="4"/>
  <c r="X125" i="4"/>
  <c r="Z125" i="4" s="1"/>
  <c r="R125" i="4"/>
  <c r="Q125" i="4"/>
  <c r="J125" i="4"/>
  <c r="O125" i="4"/>
  <c r="AB125" i="4" l="1"/>
  <c r="AC125" i="4"/>
  <c r="C126" i="4"/>
  <c r="S125" i="4"/>
  <c r="P126" i="4" l="1"/>
  <c r="I126" i="4"/>
  <c r="D126" i="4"/>
  <c r="V126" i="4" s="1"/>
  <c r="W126" i="4" s="1"/>
  <c r="Z126" i="4" l="1"/>
  <c r="X126" i="4"/>
  <c r="Y126" i="4"/>
  <c r="AA126" i="4"/>
  <c r="R126" i="4"/>
  <c r="Q126" i="4"/>
  <c r="O126" i="4"/>
  <c r="J126" i="4"/>
  <c r="AC126" i="4" l="1"/>
  <c r="AB126" i="4"/>
  <c r="C127" i="4"/>
  <c r="S126" i="4"/>
  <c r="D127" i="4" l="1"/>
  <c r="V127" i="4" s="1"/>
  <c r="W127" i="4" s="1"/>
  <c r="P127" i="4"/>
  <c r="I127" i="4"/>
  <c r="Z127" i="4" l="1"/>
  <c r="X127" i="4"/>
  <c r="Y127" i="4"/>
  <c r="AA127" i="4"/>
  <c r="J127" i="4"/>
  <c r="Q127" i="4"/>
  <c r="O127" i="4"/>
  <c r="R127" i="4"/>
  <c r="AB127" i="4" l="1"/>
  <c r="AC127" i="4"/>
  <c r="S127" i="4"/>
  <c r="C128" i="4"/>
  <c r="I128" i="4" l="1"/>
  <c r="P128" i="4"/>
  <c r="D128" i="4"/>
  <c r="V128" i="4" s="1"/>
  <c r="W128" i="4" s="1"/>
  <c r="AA128" i="4" l="1"/>
  <c r="X128" i="4"/>
  <c r="Z128" i="4" s="1"/>
  <c r="Y128" i="4"/>
  <c r="R128" i="4"/>
  <c r="Q128" i="4"/>
  <c r="J128" i="4"/>
  <c r="O128" i="4"/>
  <c r="AB128" i="4" l="1"/>
  <c r="AC128" i="4"/>
  <c r="C129" i="4"/>
  <c r="S128" i="4"/>
  <c r="D129" i="4" l="1"/>
  <c r="V129" i="4" s="1"/>
  <c r="W129" i="4" s="1"/>
  <c r="P129" i="4"/>
  <c r="I129" i="4"/>
  <c r="Z129" i="4" l="1"/>
  <c r="Y129" i="4"/>
  <c r="X129" i="4"/>
  <c r="AA129" i="4"/>
  <c r="J129" i="4"/>
  <c r="Q129" i="4"/>
  <c r="O129" i="4"/>
  <c r="R129" i="4"/>
  <c r="AB129" i="4" l="1"/>
  <c r="AC129" i="4"/>
  <c r="S129" i="4"/>
  <c r="C130" i="4"/>
  <c r="D130" i="4" l="1"/>
  <c r="V130" i="4" s="1"/>
  <c r="W130" i="4" s="1"/>
  <c r="P130" i="4"/>
  <c r="I130" i="4"/>
  <c r="Y130" i="4" l="1"/>
  <c r="Z130" i="4"/>
  <c r="X130" i="4"/>
  <c r="AA130" i="4"/>
  <c r="J130" i="4"/>
  <c r="O130" i="4"/>
  <c r="Q130" i="4"/>
  <c r="R130" i="4"/>
  <c r="AB130" i="4" l="1"/>
  <c r="AC130" i="4"/>
  <c r="S130" i="4"/>
  <c r="C131" i="4"/>
  <c r="D131" i="4" l="1"/>
  <c r="V131" i="4" s="1"/>
  <c r="W131" i="4" s="1"/>
  <c r="P131" i="4"/>
  <c r="I131" i="4"/>
  <c r="Y131" i="4" l="1"/>
  <c r="X131" i="4"/>
  <c r="Z131" i="4" s="1"/>
  <c r="AA131" i="4"/>
  <c r="J131" i="4"/>
  <c r="O131" i="4"/>
  <c r="Q131" i="4"/>
  <c r="R131" i="4"/>
  <c r="AB131" i="4" l="1"/>
  <c r="AC131" i="4"/>
  <c r="S131" i="4"/>
  <c r="C132" i="4"/>
  <c r="P132" i="4" l="1"/>
  <c r="I132" i="4"/>
  <c r="D132" i="4"/>
  <c r="V132" i="4" s="1"/>
  <c r="W132" i="4" s="1"/>
  <c r="X132" i="4" l="1"/>
  <c r="Z132" i="4" s="1"/>
  <c r="Y132" i="4"/>
  <c r="AA132" i="4"/>
  <c r="R132" i="4"/>
  <c r="J132" i="4"/>
  <c r="Q132" i="4"/>
  <c r="O132" i="4"/>
  <c r="AC132" i="4" l="1"/>
  <c r="AB132" i="4"/>
  <c r="C133" i="4"/>
  <c r="S132" i="4"/>
  <c r="D133" i="4" l="1"/>
  <c r="V133" i="4" s="1"/>
  <c r="W133" i="4" s="1"/>
  <c r="I133" i="4"/>
  <c r="P133" i="4"/>
  <c r="Y133" i="4" l="1"/>
  <c r="AA133" i="4"/>
  <c r="X133" i="4"/>
  <c r="Z133" i="4"/>
  <c r="O133" i="4"/>
  <c r="J133" i="4"/>
  <c r="Q133" i="4"/>
  <c r="R133" i="4"/>
  <c r="AB133" i="4" l="1"/>
  <c r="AC133" i="4"/>
  <c r="S133" i="4"/>
  <c r="C134" i="4"/>
  <c r="P134" i="4" l="1"/>
  <c r="I134" i="4"/>
  <c r="D134" i="4"/>
  <c r="V134" i="4" s="1"/>
  <c r="W134" i="4" s="1"/>
  <c r="Y134" i="4" l="1"/>
  <c r="X134" i="4"/>
  <c r="Z134" i="4"/>
  <c r="AA134" i="4"/>
  <c r="R134" i="4"/>
  <c r="O134" i="4"/>
  <c r="Q134" i="4"/>
  <c r="J134" i="4"/>
  <c r="AB134" i="4" l="1"/>
  <c r="AC134" i="4"/>
  <c r="C135" i="4"/>
  <c r="S134" i="4"/>
  <c r="D135" i="4" l="1"/>
  <c r="V135" i="4" s="1"/>
  <c r="W135" i="4" s="1"/>
  <c r="P135" i="4"/>
  <c r="I135" i="4"/>
  <c r="Z135" i="4" l="1"/>
  <c r="Y135" i="4"/>
  <c r="AA135" i="4"/>
  <c r="X135" i="4"/>
  <c r="J135" i="4"/>
  <c r="Q135" i="4"/>
  <c r="O135" i="4"/>
  <c r="R135" i="4"/>
  <c r="AC135" i="4" l="1"/>
  <c r="AB135" i="4"/>
  <c r="S135" i="4"/>
  <c r="C136" i="4"/>
  <c r="I136" i="4" l="1"/>
  <c r="P136" i="4"/>
  <c r="D136" i="4"/>
  <c r="V136" i="4" s="1"/>
  <c r="W136" i="4" s="1"/>
  <c r="X136" i="4" l="1"/>
  <c r="Y136" i="4"/>
  <c r="AA136" i="4"/>
  <c r="Z136" i="4"/>
  <c r="R136" i="4"/>
  <c r="J136" i="4"/>
  <c r="Q136" i="4"/>
  <c r="O136" i="4"/>
  <c r="AB136" i="4" l="1"/>
  <c r="AC136" i="4"/>
  <c r="C137" i="4"/>
  <c r="S136" i="4"/>
  <c r="P137" i="4" l="1"/>
  <c r="I137" i="4"/>
  <c r="D137" i="4"/>
  <c r="V137" i="4" s="1"/>
  <c r="W137" i="4" s="1"/>
  <c r="Z137" i="4" l="1"/>
  <c r="AA137" i="4"/>
  <c r="X137" i="4"/>
  <c r="Y137" i="4"/>
  <c r="R137" i="4"/>
  <c r="J137" i="4"/>
  <c r="Q137" i="4"/>
  <c r="O137" i="4"/>
  <c r="AC137" i="4" l="1"/>
  <c r="AB137" i="4"/>
  <c r="C138" i="4"/>
  <c r="S137" i="4"/>
  <c r="I138" i="4" l="1"/>
  <c r="P138" i="4"/>
  <c r="D138" i="4"/>
  <c r="V138" i="4" s="1"/>
  <c r="W138" i="4" s="1"/>
  <c r="AA138" i="4" l="1"/>
  <c r="Y138" i="4"/>
  <c r="Z138" i="4"/>
  <c r="X138" i="4"/>
  <c r="R138" i="4"/>
  <c r="O138" i="4"/>
  <c r="Q138" i="4"/>
  <c r="J138" i="4"/>
  <c r="AB138" i="4" l="1"/>
  <c r="AC138" i="4"/>
  <c r="C139" i="4"/>
  <c r="S138" i="4"/>
  <c r="P139" i="4" l="1"/>
  <c r="I139" i="4"/>
  <c r="D139" i="4"/>
  <c r="V139" i="4" s="1"/>
  <c r="W139" i="4" s="1"/>
  <c r="AA139" i="4" l="1"/>
  <c r="Y139" i="4"/>
  <c r="X139" i="4"/>
  <c r="Z139" i="4"/>
  <c r="R139" i="4"/>
  <c r="Q139" i="4"/>
  <c r="J139" i="4"/>
  <c r="O139" i="4"/>
  <c r="AB139" i="4" l="1"/>
  <c r="AC139" i="4"/>
  <c r="C140" i="4"/>
  <c r="S139" i="4"/>
  <c r="I140" i="4" l="1"/>
  <c r="P140" i="4"/>
  <c r="D140" i="4"/>
  <c r="V140" i="4" s="1"/>
  <c r="W140" i="4" s="1"/>
  <c r="X140" i="4" l="1"/>
  <c r="AA140" i="4"/>
  <c r="Y140" i="4"/>
  <c r="Z140" i="4"/>
  <c r="R140" i="4"/>
  <c r="J140" i="4"/>
  <c r="Q140" i="4"/>
  <c r="O140" i="4"/>
  <c r="AC140" i="4" l="1"/>
  <c r="AB140" i="4"/>
  <c r="C141" i="4"/>
  <c r="S140" i="4"/>
  <c r="I141" i="4" l="1"/>
  <c r="P141" i="4"/>
  <c r="D141" i="4"/>
  <c r="V141" i="4" s="1"/>
  <c r="W141" i="4" s="1"/>
  <c r="Z141" i="4" l="1"/>
  <c r="AA141" i="4"/>
  <c r="X141" i="4"/>
  <c r="Y141" i="4"/>
  <c r="R141" i="4"/>
  <c r="J141" i="4"/>
  <c r="O141" i="4"/>
  <c r="Q141" i="4"/>
  <c r="AB141" i="4" l="1"/>
  <c r="AC141" i="4"/>
  <c r="C142" i="4"/>
  <c r="S141" i="4"/>
  <c r="D142" i="4" l="1"/>
  <c r="V142" i="4" s="1"/>
  <c r="W142" i="4" s="1"/>
  <c r="P142" i="4"/>
  <c r="I142" i="4"/>
  <c r="Z142" i="4" l="1"/>
  <c r="X142" i="4"/>
  <c r="Y142" i="4"/>
  <c r="AA142" i="4"/>
  <c r="O142" i="4"/>
  <c r="J142" i="4"/>
  <c r="Q142" i="4"/>
  <c r="R142" i="4"/>
  <c r="AB142" i="4" l="1"/>
  <c r="AC142" i="4"/>
  <c r="S142" i="4"/>
  <c r="C143" i="4"/>
  <c r="D143" i="4" l="1"/>
  <c r="V143" i="4" s="1"/>
  <c r="W143" i="4" s="1"/>
  <c r="P143" i="4"/>
  <c r="I143" i="4"/>
  <c r="Y143" i="4" l="1"/>
  <c r="Z143" i="4"/>
  <c r="X143" i="4"/>
  <c r="AA143" i="4"/>
  <c r="J143" i="4"/>
  <c r="Q143" i="4"/>
  <c r="O143" i="4"/>
  <c r="R143" i="4"/>
  <c r="AC143" i="4" l="1"/>
  <c r="AB143" i="4"/>
  <c r="S143" i="4"/>
  <c r="C144" i="4"/>
  <c r="AF18" i="4"/>
  <c r="AF19" i="4"/>
  <c r="AG16" i="4"/>
  <c r="AG17" i="4"/>
  <c r="AG18" i="4"/>
  <c r="AH15" i="4"/>
  <c r="AF17" i="4"/>
  <c r="AG19" i="4"/>
  <c r="AF16" i="4"/>
  <c r="P144" i="4" l="1"/>
  <c r="I144" i="4"/>
  <c r="D144" i="4"/>
  <c r="V144" i="4" s="1"/>
  <c r="W144" i="4" s="1"/>
  <c r="AI19" i="4"/>
  <c r="AI17" i="4"/>
  <c r="AH17" i="4"/>
  <c r="AI18" i="4"/>
  <c r="AH18" i="4"/>
  <c r="AI16" i="4"/>
  <c r="AH16" i="4"/>
  <c r="AA144" i="4" l="1"/>
  <c r="Y144" i="4"/>
  <c r="X144" i="4"/>
  <c r="Z144" i="4" s="1"/>
  <c r="R144" i="4"/>
  <c r="J144" i="4"/>
  <c r="Q144" i="4"/>
  <c r="O144" i="4"/>
  <c r="AB144" i="4" l="1"/>
  <c r="AC144" i="4"/>
  <c r="C145" i="4"/>
  <c r="S144" i="4"/>
  <c r="P145" i="4" l="1"/>
  <c r="I145" i="4"/>
  <c r="D145" i="4"/>
  <c r="V145" i="4" s="1"/>
  <c r="W145" i="4" s="1"/>
  <c r="X145" i="4" l="1"/>
  <c r="Y145" i="4"/>
  <c r="AA145" i="4"/>
  <c r="Z145" i="4"/>
  <c r="R145" i="4"/>
  <c r="O145" i="4"/>
  <c r="J145" i="4"/>
  <c r="Q145" i="4"/>
  <c r="AB145" i="4" l="1"/>
  <c r="AC145" i="4"/>
  <c r="C146" i="4"/>
  <c r="S145" i="4"/>
  <c r="P146" i="4" l="1"/>
  <c r="I146" i="4"/>
  <c r="D146" i="4"/>
  <c r="V146" i="4" s="1"/>
  <c r="W146" i="4" s="1"/>
  <c r="Y146" i="4" l="1"/>
  <c r="X146" i="4"/>
  <c r="AA146" i="4"/>
  <c r="Z146" i="4"/>
  <c r="R146" i="4"/>
  <c r="O146" i="4"/>
  <c r="J146" i="4"/>
  <c r="Q146" i="4"/>
  <c r="AB146" i="4" l="1"/>
  <c r="AC146" i="4"/>
  <c r="C147" i="4"/>
  <c r="S146" i="4"/>
  <c r="P147" i="4" l="1"/>
  <c r="I147" i="4"/>
  <c r="D147" i="4"/>
  <c r="V147" i="4" s="1"/>
  <c r="W147" i="4" s="1"/>
  <c r="Y147" i="4" l="1"/>
  <c r="AA147" i="4"/>
  <c r="X147" i="4"/>
  <c r="Z147" i="4" s="1"/>
  <c r="R147" i="4"/>
  <c r="O147" i="4"/>
  <c r="J147" i="4"/>
  <c r="Q147" i="4"/>
  <c r="AB147" i="4" l="1"/>
  <c r="AC147" i="4"/>
  <c r="C148" i="4"/>
  <c r="S147" i="4"/>
  <c r="I148" i="4" l="1"/>
  <c r="P148" i="4"/>
  <c r="D148" i="4"/>
  <c r="V148" i="4" s="1"/>
  <c r="W148" i="4" s="1"/>
  <c r="Z148" i="4" l="1"/>
  <c r="AA148" i="4"/>
  <c r="Y148" i="4"/>
  <c r="X148" i="4"/>
  <c r="R148" i="4"/>
  <c r="O148" i="4"/>
  <c r="J148" i="4"/>
  <c r="Q148" i="4"/>
  <c r="AB148" i="4" l="1"/>
  <c r="AC148" i="4"/>
  <c r="C149" i="4"/>
  <c r="S148" i="4"/>
  <c r="D149" i="4" l="1"/>
  <c r="V149" i="4" s="1"/>
  <c r="W149" i="4" s="1"/>
  <c r="P149" i="4"/>
  <c r="I149" i="4"/>
  <c r="Y149" i="4" l="1"/>
  <c r="AA149" i="4"/>
  <c r="X149" i="4"/>
  <c r="Z149" i="4" s="1"/>
  <c r="J149" i="4"/>
  <c r="Q149" i="4"/>
  <c r="O149" i="4"/>
  <c r="R149" i="4"/>
  <c r="AC149" i="4" l="1"/>
  <c r="AB149" i="4"/>
  <c r="S149" i="4"/>
  <c r="C150" i="4"/>
  <c r="P150" i="4" l="1"/>
  <c r="I150" i="4"/>
  <c r="D150" i="4"/>
  <c r="V150" i="4" s="1"/>
  <c r="W150" i="4" s="1"/>
  <c r="Z150" i="4" l="1"/>
  <c r="X150" i="4"/>
  <c r="Y150" i="4"/>
  <c r="AA150" i="4"/>
  <c r="R150" i="4"/>
  <c r="O150" i="4"/>
  <c r="J150" i="4"/>
  <c r="Q150" i="4"/>
  <c r="AB150" i="4" l="1"/>
  <c r="AC150" i="4"/>
  <c r="C151" i="4"/>
  <c r="S150" i="4"/>
  <c r="P151" i="4" l="1"/>
  <c r="I151" i="4"/>
  <c r="D151" i="4"/>
  <c r="V151" i="4" s="1"/>
  <c r="W151" i="4" s="1"/>
  <c r="X151" i="4" l="1"/>
  <c r="AA151" i="4"/>
  <c r="Z151" i="4"/>
  <c r="Y151" i="4"/>
  <c r="R151" i="4"/>
  <c r="Q151" i="4"/>
  <c r="O151" i="4"/>
  <c r="J151" i="4"/>
  <c r="AC151" i="4" l="1"/>
  <c r="AB151" i="4"/>
  <c r="C152" i="4"/>
  <c r="S151" i="4"/>
  <c r="I152" i="4" l="1"/>
  <c r="P152" i="4"/>
  <c r="D152" i="4"/>
  <c r="V152" i="4" s="1"/>
  <c r="W152" i="4" s="1"/>
  <c r="X152" i="4" l="1"/>
  <c r="Z152" i="4" s="1"/>
  <c r="AA152" i="4"/>
  <c r="Y152" i="4"/>
  <c r="R152" i="4"/>
  <c r="Q152" i="4"/>
  <c r="J152" i="4"/>
  <c r="O152" i="4"/>
  <c r="AB152" i="4" l="1"/>
  <c r="AC152" i="4"/>
  <c r="C153" i="4"/>
  <c r="S152" i="4"/>
  <c r="I153" i="4" l="1"/>
  <c r="P153" i="4"/>
  <c r="D153" i="4"/>
  <c r="V153" i="4" s="1"/>
  <c r="W153" i="4" s="1"/>
  <c r="Y153" i="4" l="1"/>
  <c r="X153" i="4"/>
  <c r="AA153" i="4"/>
  <c r="Z153" i="4"/>
  <c r="R153" i="4"/>
  <c r="J153" i="4"/>
  <c r="Q153" i="4"/>
  <c r="O153" i="4"/>
  <c r="AB153" i="4" l="1"/>
  <c r="AC153" i="4"/>
  <c r="C154" i="4"/>
  <c r="S153" i="4"/>
  <c r="P154" i="4" l="1"/>
  <c r="I154" i="4"/>
  <c r="D154" i="4"/>
  <c r="V154" i="4" s="1"/>
  <c r="W154" i="4" s="1"/>
  <c r="X154" i="4" l="1"/>
  <c r="Z154" i="4" s="1"/>
  <c r="Y154" i="4"/>
  <c r="AA154" i="4"/>
  <c r="R154" i="4"/>
  <c r="J154" i="4"/>
  <c r="Q154" i="4"/>
  <c r="O154" i="4"/>
  <c r="AB154" i="4" l="1"/>
  <c r="AC154" i="4"/>
  <c r="C155" i="4"/>
  <c r="S154" i="4"/>
  <c r="D155" i="4" l="1"/>
  <c r="V155" i="4" s="1"/>
  <c r="W155" i="4" s="1"/>
  <c r="P155" i="4"/>
  <c r="I155" i="4"/>
  <c r="AA155" i="4" l="1"/>
  <c r="Y155" i="4"/>
  <c r="X155" i="4"/>
  <c r="Z155" i="4"/>
  <c r="Q155" i="4"/>
  <c r="J155" i="4"/>
  <c r="O155" i="4"/>
  <c r="R155" i="4"/>
  <c r="AB155" i="4" l="1"/>
  <c r="AC155" i="4"/>
  <c r="S155" i="4"/>
  <c r="C156" i="4"/>
  <c r="D156" i="4" l="1"/>
  <c r="V156" i="4" s="1"/>
  <c r="W156" i="4" s="1"/>
  <c r="I156" i="4"/>
  <c r="P156" i="4"/>
  <c r="AA156" i="4" l="1"/>
  <c r="X156" i="4"/>
  <c r="Z156" i="4"/>
  <c r="Y156" i="4"/>
  <c r="J156" i="4"/>
  <c r="Q156" i="4"/>
  <c r="O156" i="4"/>
  <c r="R156" i="4"/>
  <c r="AB156" i="4" l="1"/>
  <c r="AC156" i="4"/>
  <c r="S156" i="4"/>
  <c r="C157" i="4"/>
  <c r="D157" i="4" l="1"/>
  <c r="V157" i="4" s="1"/>
  <c r="W157" i="4" s="1"/>
  <c r="P157" i="4"/>
  <c r="I157" i="4"/>
  <c r="Y157" i="4" l="1"/>
  <c r="Z157" i="4"/>
  <c r="X157" i="4"/>
  <c r="AA157" i="4"/>
  <c r="J157" i="4"/>
  <c r="Q157" i="4"/>
  <c r="O157" i="4"/>
  <c r="R157" i="4"/>
  <c r="AC157" i="4" l="1"/>
  <c r="AB157" i="4"/>
  <c r="S157" i="4"/>
  <c r="C158" i="4"/>
  <c r="D158" i="4" l="1"/>
  <c r="V158" i="4" s="1"/>
  <c r="W158" i="4" s="1"/>
  <c r="P158" i="4"/>
  <c r="I158" i="4"/>
  <c r="AA158" i="4" l="1"/>
  <c r="Z158" i="4"/>
  <c r="X158" i="4"/>
  <c r="Y158" i="4"/>
  <c r="Q158" i="4"/>
  <c r="J158" i="4"/>
  <c r="O158" i="4"/>
  <c r="R158" i="4"/>
  <c r="AC158" i="4" l="1"/>
  <c r="AB158" i="4"/>
  <c r="S158" i="4"/>
  <c r="C159" i="4"/>
  <c r="P159" i="4" l="1"/>
  <c r="I159" i="4"/>
  <c r="D159" i="4"/>
  <c r="V159" i="4" s="1"/>
  <c r="W159" i="4" s="1"/>
  <c r="Y159" i="4" l="1"/>
  <c r="X159" i="4"/>
  <c r="AA159" i="4"/>
  <c r="Z159" i="4"/>
  <c r="R159" i="4"/>
  <c r="O159" i="4"/>
  <c r="J159" i="4"/>
  <c r="Q159" i="4"/>
  <c r="AB159" i="4" l="1"/>
  <c r="AC159" i="4"/>
  <c r="C160" i="4"/>
  <c r="S159" i="4"/>
  <c r="P160" i="4" l="1"/>
  <c r="I160" i="4"/>
  <c r="D160" i="4"/>
  <c r="V160" i="4" s="1"/>
  <c r="W160" i="4" s="1"/>
  <c r="Z160" i="4" l="1"/>
  <c r="AA160" i="4"/>
  <c r="X160" i="4"/>
  <c r="Y160" i="4"/>
  <c r="R160" i="4"/>
  <c r="Q160" i="4"/>
  <c r="J160" i="4"/>
  <c r="O160" i="4"/>
  <c r="AB160" i="4" l="1"/>
  <c r="AC160" i="4"/>
  <c r="C161" i="4"/>
  <c r="S160" i="4"/>
  <c r="D161" i="4" l="1"/>
  <c r="V161" i="4" s="1"/>
  <c r="W161" i="4" s="1"/>
  <c r="P161" i="4"/>
  <c r="I161" i="4"/>
  <c r="X161" i="4" l="1"/>
  <c r="Z161" i="4"/>
  <c r="Y161" i="4"/>
  <c r="AA161" i="4"/>
  <c r="O161" i="4"/>
  <c r="J161" i="4"/>
  <c r="Q161" i="4"/>
  <c r="R161" i="4"/>
  <c r="AB161" i="4" l="1"/>
  <c r="AC161" i="4"/>
  <c r="S161" i="4"/>
  <c r="C162" i="4"/>
  <c r="D162" i="4" l="1"/>
  <c r="V162" i="4" s="1"/>
  <c r="W162" i="4" s="1"/>
  <c r="P162" i="4"/>
  <c r="I162" i="4"/>
  <c r="AA162" i="4" l="1"/>
  <c r="Z162" i="4"/>
  <c r="Y162" i="4"/>
  <c r="X162" i="4"/>
  <c r="J162" i="4"/>
  <c r="Q162" i="4"/>
  <c r="O162" i="4"/>
  <c r="R162" i="4"/>
  <c r="AB162" i="4" l="1"/>
  <c r="AC162" i="4"/>
  <c r="S162" i="4"/>
  <c r="C163" i="4"/>
  <c r="P163" i="4" l="1"/>
  <c r="I163" i="4"/>
  <c r="D163" i="4"/>
  <c r="V163" i="4" s="1"/>
  <c r="W163" i="4" s="1"/>
  <c r="X163" i="4" l="1"/>
  <c r="Y163" i="4"/>
  <c r="AA163" i="4"/>
  <c r="Z163" i="4"/>
  <c r="R163" i="4"/>
  <c r="O163" i="4"/>
  <c r="Q163" i="4"/>
  <c r="J163" i="4"/>
  <c r="AC163" i="4" l="1"/>
  <c r="AB163" i="4"/>
  <c r="C164" i="4"/>
  <c r="S163" i="4"/>
  <c r="I164" i="4" l="1"/>
  <c r="P164" i="4"/>
  <c r="D164" i="4"/>
  <c r="V164" i="4" s="1"/>
  <c r="W164" i="4" s="1"/>
  <c r="AA164" i="4" l="1"/>
  <c r="Y164" i="4"/>
  <c r="X164" i="4"/>
  <c r="Z164" i="4"/>
  <c r="R164" i="4"/>
  <c r="J164" i="4"/>
  <c r="Q164" i="4"/>
  <c r="O164" i="4"/>
  <c r="AC164" i="4" l="1"/>
  <c r="AB164" i="4"/>
  <c r="C165" i="4"/>
  <c r="S164" i="4"/>
  <c r="I165" i="4" l="1"/>
  <c r="P165" i="4"/>
  <c r="D165" i="4"/>
  <c r="V165" i="4" s="1"/>
  <c r="W165" i="4" s="1"/>
  <c r="Y165" i="4" l="1"/>
  <c r="X165" i="4"/>
  <c r="Z165" i="4"/>
  <c r="AA165" i="4"/>
  <c r="R165" i="4"/>
  <c r="J165" i="4"/>
  <c r="O165" i="4"/>
  <c r="Q165" i="4"/>
  <c r="AB165" i="4" l="1"/>
  <c r="AC165" i="4"/>
  <c r="C166" i="4"/>
  <c r="S165" i="4"/>
  <c r="I166" i="4" l="1"/>
  <c r="P166" i="4"/>
  <c r="D166" i="4"/>
  <c r="V166" i="4" s="1"/>
  <c r="W166" i="4" s="1"/>
  <c r="Z166" i="4" l="1"/>
  <c r="AA166" i="4"/>
  <c r="X166" i="4"/>
  <c r="Y166" i="4"/>
  <c r="R166" i="4"/>
  <c r="J166" i="4"/>
  <c r="Q166" i="4"/>
  <c r="O166" i="4"/>
  <c r="AC166" i="4" l="1"/>
  <c r="AB166" i="4"/>
  <c r="C167" i="4"/>
  <c r="S166" i="4"/>
  <c r="I167" i="4" l="1"/>
  <c r="P167" i="4"/>
  <c r="D167" i="4"/>
  <c r="V167" i="4" s="1"/>
  <c r="W167" i="4" s="1"/>
  <c r="Y167" i="4" l="1"/>
  <c r="X167" i="4"/>
  <c r="Z167" i="4"/>
  <c r="AA167" i="4"/>
  <c r="R167" i="4"/>
  <c r="J167" i="4"/>
  <c r="Q167" i="4"/>
  <c r="O167" i="4"/>
  <c r="AB167" i="4" l="1"/>
  <c r="AC167" i="4"/>
  <c r="C168" i="4"/>
  <c r="S167" i="4"/>
  <c r="P168" i="4" l="1"/>
  <c r="I168" i="4"/>
  <c r="D168" i="4"/>
  <c r="V168" i="4" s="1"/>
  <c r="W168" i="4" s="1"/>
  <c r="AA168" i="4" l="1"/>
  <c r="Y168" i="4"/>
  <c r="Z168" i="4"/>
  <c r="X168" i="4"/>
  <c r="R168" i="4"/>
  <c r="J168" i="4"/>
  <c r="Q168" i="4"/>
  <c r="O168" i="4"/>
  <c r="AB168" i="4" l="1"/>
  <c r="AC168" i="4"/>
  <c r="C169" i="4"/>
  <c r="S168" i="4"/>
  <c r="I169" i="4" l="1"/>
  <c r="P169" i="4"/>
  <c r="D169" i="4"/>
  <c r="V169" i="4" s="1"/>
  <c r="W169" i="4" s="1"/>
  <c r="AA169" i="4" l="1"/>
  <c r="X169" i="4"/>
  <c r="Y169" i="4"/>
  <c r="Z169" i="4"/>
  <c r="R169" i="4"/>
  <c r="J169" i="4"/>
  <c r="Q169" i="4"/>
  <c r="O169" i="4"/>
  <c r="AC169" i="4" l="1"/>
  <c r="AB169" i="4"/>
  <c r="C170" i="4"/>
  <c r="S169" i="4"/>
  <c r="P170" i="4" l="1"/>
  <c r="I170" i="4"/>
  <c r="D170" i="4"/>
  <c r="V170" i="4" s="1"/>
  <c r="W170" i="4" s="1"/>
  <c r="X170" i="4" l="1"/>
  <c r="Z170" i="4" s="1"/>
  <c r="AA170" i="4"/>
  <c r="Y170" i="4"/>
  <c r="R170" i="4"/>
  <c r="Q170" i="4"/>
  <c r="J170" i="4"/>
  <c r="O170" i="4"/>
  <c r="AC170" i="4" l="1"/>
  <c r="AB170" i="4"/>
  <c r="C171" i="4"/>
  <c r="S170" i="4"/>
  <c r="P171" i="4" l="1"/>
  <c r="I171" i="4"/>
  <c r="D171" i="4"/>
  <c r="V171" i="4" s="1"/>
  <c r="W171" i="4" s="1"/>
  <c r="AA171" i="4" l="1"/>
  <c r="Y171" i="4"/>
  <c r="X171" i="4"/>
  <c r="Z171" i="4"/>
  <c r="R171" i="4"/>
  <c r="J171" i="4"/>
  <c r="Q171" i="4"/>
  <c r="O171" i="4"/>
  <c r="AC171" i="4" l="1"/>
  <c r="AB171" i="4"/>
  <c r="C172" i="4"/>
  <c r="S171" i="4"/>
  <c r="P172" i="4" l="1"/>
  <c r="I172" i="4"/>
  <c r="D172" i="4"/>
  <c r="V172" i="4" s="1"/>
  <c r="W172" i="4" s="1"/>
  <c r="Y172" i="4" l="1"/>
  <c r="AA172" i="4"/>
  <c r="Z172" i="4"/>
  <c r="X172" i="4"/>
  <c r="R172" i="4"/>
  <c r="J172" i="4"/>
  <c r="Q172" i="4"/>
  <c r="O172" i="4"/>
  <c r="AB172" i="4" l="1"/>
  <c r="AC172" i="4"/>
  <c r="C173" i="4"/>
  <c r="S172" i="4"/>
  <c r="P173" i="4" l="1"/>
  <c r="I173" i="4"/>
  <c r="D173" i="4"/>
  <c r="V173" i="4" s="1"/>
  <c r="W173" i="4" s="1"/>
  <c r="Y173" i="4" l="1"/>
  <c r="X173" i="4"/>
  <c r="Z173" i="4" s="1"/>
  <c r="AA173" i="4"/>
  <c r="R173" i="4"/>
  <c r="J173" i="4"/>
  <c r="Q173" i="4"/>
  <c r="O173" i="4"/>
  <c r="AC173" i="4" l="1"/>
  <c r="AB173" i="4"/>
  <c r="C174" i="4"/>
  <c r="S173" i="4"/>
  <c r="P174" i="4" l="1"/>
  <c r="I174" i="4"/>
  <c r="D174" i="4"/>
  <c r="V174" i="4" s="1"/>
  <c r="W174" i="4" s="1"/>
  <c r="Z174" i="4" l="1"/>
  <c r="Y174" i="4"/>
  <c r="X174" i="4"/>
  <c r="AA174" i="4"/>
  <c r="R174" i="4"/>
  <c r="J174" i="4"/>
  <c r="Q174" i="4"/>
  <c r="O174" i="4"/>
  <c r="AB174" i="4" l="1"/>
  <c r="AC174" i="4"/>
  <c r="C175" i="4"/>
  <c r="S174" i="4"/>
  <c r="P175" i="4" l="1"/>
  <c r="I175" i="4"/>
  <c r="D175" i="4"/>
  <c r="V175" i="4" s="1"/>
  <c r="W175" i="4" s="1"/>
  <c r="Y175" i="4" l="1"/>
  <c r="X175" i="4"/>
  <c r="AA175" i="4"/>
  <c r="Z175" i="4"/>
  <c r="R175" i="4"/>
  <c r="O175" i="4"/>
  <c r="Q175" i="4"/>
  <c r="J175" i="4"/>
  <c r="AG20" i="4"/>
  <c r="AF20" i="4"/>
  <c r="AC175" i="4" l="1"/>
  <c r="AB175" i="4"/>
  <c r="C176" i="4"/>
  <c r="S175" i="4"/>
  <c r="AI20" i="4"/>
  <c r="P176" i="4" l="1"/>
  <c r="I176" i="4"/>
  <c r="D176" i="4"/>
  <c r="V176" i="4" s="1"/>
  <c r="W176" i="4" s="1"/>
  <c r="X176" i="4" l="1"/>
  <c r="Z176" i="4" s="1"/>
  <c r="AA176" i="4"/>
  <c r="Y176" i="4"/>
  <c r="R176" i="4"/>
  <c r="J176" i="4"/>
  <c r="O176" i="4"/>
  <c r="Q176" i="4"/>
  <c r="AB176" i="4" l="1"/>
  <c r="AC176" i="4"/>
  <c r="C177" i="4"/>
  <c r="S176" i="4"/>
  <c r="P177" i="4" l="1"/>
  <c r="I177" i="4"/>
  <c r="D177" i="4"/>
  <c r="V177" i="4" s="1"/>
  <c r="W177" i="4" s="1"/>
  <c r="Y177" i="4" l="1"/>
  <c r="Z177" i="4"/>
  <c r="X177" i="4"/>
  <c r="AA177" i="4"/>
  <c r="R177" i="4"/>
  <c r="Q177" i="4"/>
  <c r="J177" i="4"/>
  <c r="O177" i="4"/>
  <c r="AC177" i="4" l="1"/>
  <c r="AB177" i="4"/>
  <c r="C178" i="4"/>
  <c r="S177" i="4"/>
  <c r="P178" i="4" l="1"/>
  <c r="I178" i="4"/>
  <c r="D178" i="4"/>
  <c r="V178" i="4" s="1"/>
  <c r="W178" i="4" s="1"/>
  <c r="Y178" i="4" l="1"/>
  <c r="X178" i="4"/>
  <c r="Z178" i="4" s="1"/>
  <c r="AA178" i="4"/>
  <c r="R178" i="4"/>
  <c r="Q178" i="4"/>
  <c r="O178" i="4"/>
  <c r="J178" i="4"/>
  <c r="AB178" i="4" l="1"/>
  <c r="AC178" i="4"/>
  <c r="C179" i="4"/>
  <c r="S178" i="4"/>
  <c r="I179" i="4" l="1"/>
  <c r="P179" i="4"/>
  <c r="D179" i="4"/>
  <c r="V179" i="4" s="1"/>
  <c r="W179" i="4" s="1"/>
  <c r="Y179" i="4" l="1"/>
  <c r="AA179" i="4"/>
  <c r="Z179" i="4"/>
  <c r="X179" i="4"/>
  <c r="R179" i="4"/>
  <c r="Q179" i="4"/>
  <c r="O179" i="4"/>
  <c r="J179" i="4"/>
  <c r="AB179" i="4" l="1"/>
  <c r="AC179" i="4"/>
  <c r="C180" i="4"/>
  <c r="S179" i="4"/>
  <c r="D180" i="4" l="1"/>
  <c r="V180" i="4" s="1"/>
  <c r="W180" i="4" s="1"/>
  <c r="I180" i="4"/>
  <c r="P180" i="4"/>
  <c r="X180" i="4" l="1"/>
  <c r="AA180" i="4"/>
  <c r="Y180" i="4"/>
  <c r="Z180" i="4"/>
  <c r="O180" i="4"/>
  <c r="J180" i="4"/>
  <c r="Q180" i="4"/>
  <c r="R180" i="4"/>
  <c r="AC180" i="4" l="1"/>
  <c r="AB180" i="4"/>
  <c r="S180" i="4"/>
  <c r="C181" i="4"/>
  <c r="I181" i="4" l="1"/>
  <c r="P181" i="4"/>
  <c r="D181" i="4"/>
  <c r="V181" i="4" s="1"/>
  <c r="W181" i="4" s="1"/>
  <c r="Y181" i="4" l="1"/>
  <c r="Z181" i="4"/>
  <c r="X181" i="4"/>
  <c r="AA181" i="4"/>
  <c r="R181" i="4"/>
  <c r="J181" i="4"/>
  <c r="Q181" i="4"/>
  <c r="O181" i="4"/>
  <c r="AB181" i="4" l="1"/>
  <c r="AC181" i="4"/>
  <c r="C182" i="4"/>
  <c r="S181" i="4"/>
  <c r="I182" i="4" l="1"/>
  <c r="P182" i="4"/>
  <c r="D182" i="4"/>
  <c r="V182" i="4" s="1"/>
  <c r="W182" i="4" s="1"/>
  <c r="X182" i="4" l="1"/>
  <c r="Z182" i="4" s="1"/>
  <c r="AA182" i="4"/>
  <c r="Y182" i="4"/>
  <c r="R182" i="4"/>
  <c r="Q182" i="4"/>
  <c r="O182" i="4"/>
  <c r="J182" i="4"/>
  <c r="AC182" i="4" l="1"/>
  <c r="AB182" i="4"/>
  <c r="C183" i="4"/>
  <c r="S182" i="4"/>
  <c r="P183" i="4" l="1"/>
  <c r="I183" i="4"/>
  <c r="D183" i="4"/>
  <c r="V183" i="4" s="1"/>
  <c r="W183" i="4" s="1"/>
  <c r="AA183" i="4" l="1"/>
  <c r="X183" i="4"/>
  <c r="Z183" i="4"/>
  <c r="Y183" i="4"/>
  <c r="R183" i="4"/>
  <c r="Q183" i="4"/>
  <c r="J183" i="4"/>
  <c r="O183" i="4"/>
  <c r="AC183" i="4" l="1"/>
  <c r="AB183" i="4"/>
  <c r="C184" i="4"/>
  <c r="S183" i="4"/>
  <c r="P184" i="4" l="1"/>
  <c r="I184" i="4"/>
  <c r="D184" i="4"/>
  <c r="V184" i="4" s="1"/>
  <c r="W184" i="4" s="1"/>
  <c r="X184" i="4" l="1"/>
  <c r="Z184" i="4"/>
  <c r="AA184" i="4"/>
  <c r="Y184" i="4"/>
  <c r="R184" i="4"/>
  <c r="O184" i="4"/>
  <c r="J184" i="4"/>
  <c r="Q184" i="4"/>
  <c r="AC184" i="4" l="1"/>
  <c r="AB184" i="4"/>
  <c r="C185" i="4"/>
  <c r="S184" i="4"/>
  <c r="I185" i="4" l="1"/>
  <c r="P185" i="4"/>
  <c r="D185" i="4"/>
  <c r="V185" i="4" s="1"/>
  <c r="W185" i="4" s="1"/>
  <c r="Y185" i="4" l="1"/>
  <c r="AA185" i="4"/>
  <c r="X185" i="4"/>
  <c r="Z185" i="4"/>
  <c r="R185" i="4"/>
  <c r="J185" i="4"/>
  <c r="Q185" i="4"/>
  <c r="O185" i="4"/>
  <c r="AC185" i="4" l="1"/>
  <c r="AB185" i="4"/>
  <c r="C186" i="4"/>
  <c r="S185" i="4"/>
  <c r="P186" i="4" l="1"/>
  <c r="I186" i="4"/>
  <c r="D186" i="4"/>
  <c r="V186" i="4" s="1"/>
  <c r="W186" i="4" s="1"/>
  <c r="AA186" i="4" l="1"/>
  <c r="Z186" i="4"/>
  <c r="Y186" i="4"/>
  <c r="X186" i="4"/>
  <c r="R186" i="4"/>
  <c r="O186" i="4"/>
  <c r="J186" i="4"/>
  <c r="Q186" i="4"/>
  <c r="AB186" i="4" l="1"/>
  <c r="AC186" i="4"/>
  <c r="C187" i="4"/>
  <c r="S186" i="4"/>
  <c r="P187" i="4" l="1"/>
  <c r="I187" i="4"/>
  <c r="D187" i="4"/>
  <c r="V187" i="4" s="1"/>
  <c r="W187" i="4" s="1"/>
  <c r="Y187" i="4" l="1"/>
  <c r="Z187" i="4"/>
  <c r="AA187" i="4"/>
  <c r="X187" i="4"/>
  <c r="R187" i="4"/>
  <c r="Q187" i="4"/>
  <c r="O187" i="4"/>
  <c r="J187" i="4"/>
  <c r="AB187" i="4" l="1"/>
  <c r="AC187" i="4"/>
  <c r="C188" i="4"/>
  <c r="S187" i="4"/>
  <c r="I188" i="4" l="1"/>
  <c r="P188" i="4"/>
  <c r="D188" i="4"/>
  <c r="V188" i="4" s="1"/>
  <c r="W188" i="4" s="1"/>
  <c r="AA188" i="4" l="1"/>
  <c r="Z188" i="4"/>
  <c r="X188" i="4"/>
  <c r="Y188" i="4"/>
  <c r="R188" i="4"/>
  <c r="J188" i="4"/>
  <c r="O188" i="4"/>
  <c r="Q188" i="4"/>
  <c r="AB188" i="4" l="1"/>
  <c r="AC188" i="4"/>
  <c r="C189" i="4"/>
  <c r="S188" i="4"/>
  <c r="D189" i="4" l="1"/>
  <c r="V189" i="4" s="1"/>
  <c r="W189" i="4" s="1"/>
  <c r="P189" i="4"/>
  <c r="I189" i="4"/>
  <c r="X189" i="4" l="1"/>
  <c r="Z189" i="4" s="1"/>
  <c r="AA189" i="4"/>
  <c r="Y189" i="4"/>
  <c r="J189" i="4"/>
  <c r="O189" i="4"/>
  <c r="Q189" i="4"/>
  <c r="R189" i="4"/>
  <c r="AC189" i="4" l="1"/>
  <c r="AB189" i="4"/>
  <c r="S189" i="4"/>
  <c r="C190" i="4"/>
  <c r="D190" i="4" l="1"/>
  <c r="V190" i="4" s="1"/>
  <c r="W190" i="4" s="1"/>
  <c r="I190" i="4"/>
  <c r="P190" i="4"/>
  <c r="AA190" i="4" l="1"/>
  <c r="Y190" i="4"/>
  <c r="Z190" i="4"/>
  <c r="X190" i="4"/>
  <c r="O190" i="4"/>
  <c r="J190" i="4"/>
  <c r="Q190" i="4"/>
  <c r="R190" i="4"/>
  <c r="AB190" i="4" l="1"/>
  <c r="AC190" i="4"/>
  <c r="S190" i="4"/>
  <c r="C191" i="4"/>
  <c r="D191" i="4" l="1"/>
  <c r="V191" i="4" s="1"/>
  <c r="W191" i="4" s="1"/>
  <c r="P191" i="4"/>
  <c r="I191" i="4"/>
  <c r="Z191" i="4" l="1"/>
  <c r="X191" i="4"/>
  <c r="AA191" i="4"/>
  <c r="Y191" i="4"/>
  <c r="Q191" i="4"/>
  <c r="J191" i="4"/>
  <c r="O191" i="4"/>
  <c r="R191" i="4"/>
  <c r="AC191" i="4" l="1"/>
  <c r="AB191" i="4"/>
  <c r="S191" i="4"/>
  <c r="C192" i="4"/>
  <c r="D192" i="4" l="1"/>
  <c r="V192" i="4" s="1"/>
  <c r="W192" i="4" s="1"/>
  <c r="P192" i="4"/>
  <c r="I192" i="4"/>
  <c r="Y192" i="4" l="1"/>
  <c r="AA192" i="4"/>
  <c r="X192" i="4"/>
  <c r="Z192" i="4"/>
  <c r="J192" i="4"/>
  <c r="Q192" i="4"/>
  <c r="O192" i="4"/>
  <c r="R192" i="4"/>
  <c r="AB192" i="4" l="1"/>
  <c r="AC192" i="4"/>
  <c r="S192" i="4"/>
  <c r="C193" i="4"/>
  <c r="I193" i="4" l="1"/>
  <c r="P193" i="4"/>
  <c r="D193" i="4"/>
  <c r="V193" i="4" s="1"/>
  <c r="W193" i="4" s="1"/>
  <c r="AA193" i="4" l="1"/>
  <c r="X193" i="4"/>
  <c r="Z193" i="4"/>
  <c r="Y193" i="4"/>
  <c r="R193" i="4"/>
  <c r="J193" i="4"/>
  <c r="Q193" i="4"/>
  <c r="O193" i="4"/>
  <c r="AB193" i="4" l="1"/>
  <c r="AC193" i="4"/>
  <c r="C194" i="4"/>
  <c r="S193" i="4"/>
  <c r="P194" i="4" l="1"/>
  <c r="I194" i="4"/>
  <c r="D194" i="4"/>
  <c r="V194" i="4" s="1"/>
  <c r="W194" i="4" s="1"/>
  <c r="AA194" i="4" l="1"/>
  <c r="Z194" i="4"/>
  <c r="X194" i="4"/>
  <c r="Y194" i="4"/>
  <c r="R194" i="4"/>
  <c r="J194" i="4"/>
  <c r="Q194" i="4"/>
  <c r="O194" i="4"/>
  <c r="AB194" i="4" l="1"/>
  <c r="AC194" i="4"/>
  <c r="C195" i="4"/>
  <c r="S194" i="4"/>
  <c r="P195" i="4" l="1"/>
  <c r="I195" i="4"/>
  <c r="D195" i="4"/>
  <c r="V195" i="4" s="1"/>
  <c r="W195" i="4" s="1"/>
  <c r="Y195" i="4" l="1"/>
  <c r="X195" i="4"/>
  <c r="Z195" i="4" s="1"/>
  <c r="AA195" i="4"/>
  <c r="R195" i="4"/>
  <c r="O195" i="4"/>
  <c r="J195" i="4"/>
  <c r="Q195" i="4"/>
  <c r="AB195" i="4" l="1"/>
  <c r="AC195" i="4"/>
  <c r="C196" i="4"/>
  <c r="S195" i="4"/>
  <c r="I196" i="4" l="1"/>
  <c r="P196" i="4"/>
  <c r="D196" i="4"/>
  <c r="V196" i="4" s="1"/>
  <c r="W196" i="4" s="1"/>
  <c r="AA196" i="4" l="1"/>
  <c r="Y196" i="4"/>
  <c r="X196" i="4"/>
  <c r="Z196" i="4"/>
  <c r="R196" i="4"/>
  <c r="O196" i="4"/>
  <c r="J196" i="4"/>
  <c r="Q196" i="4"/>
  <c r="AC196" i="4" l="1"/>
  <c r="AB196" i="4"/>
  <c r="C197" i="4"/>
  <c r="S196" i="4"/>
  <c r="P197" i="4" l="1"/>
  <c r="I197" i="4"/>
  <c r="D197" i="4"/>
  <c r="V197" i="4" s="1"/>
  <c r="W197" i="4" s="1"/>
  <c r="Y197" i="4" l="1"/>
  <c r="X197" i="4"/>
  <c r="Z197" i="4"/>
  <c r="AB197" i="4" s="1"/>
  <c r="AA197" i="4"/>
  <c r="R197" i="4"/>
  <c r="O197" i="4"/>
  <c r="Q197" i="4"/>
  <c r="J197" i="4"/>
  <c r="AG21" i="4" l="1"/>
  <c r="AG27" i="4"/>
  <c r="AF27" i="4"/>
  <c r="AG22" i="4"/>
  <c r="AH20" i="4"/>
  <c r="AF24" i="4"/>
  <c r="AG26" i="4"/>
  <c r="AF21" i="4"/>
  <c r="AF26" i="4"/>
  <c r="AG24" i="4"/>
  <c r="AG25" i="4"/>
  <c r="AF22" i="4"/>
  <c r="AF25" i="4"/>
  <c r="AG23" i="4"/>
  <c r="AF23" i="4"/>
  <c r="AH19" i="4"/>
  <c r="S197" i="4"/>
  <c r="AI27" i="4" l="1"/>
  <c r="AH27" i="4"/>
  <c r="AI21" i="4"/>
  <c r="AH21" i="4"/>
  <c r="AI24" i="4"/>
  <c r="AH24" i="4"/>
  <c r="AI26" i="4"/>
  <c r="AH26" i="4"/>
  <c r="AI22" i="4"/>
  <c r="AH22" i="4"/>
  <c r="AI25" i="4"/>
  <c r="AH25" i="4"/>
  <c r="AI23" i="4"/>
  <c r="AH2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<sst xmlns="http://schemas.openxmlformats.org/spreadsheetml/2006/main" count="72" uniqueCount="51">
  <si>
    <t>Descripción:</t>
  </si>
  <si>
    <r>
      <t>ALHA:</t>
    </r>
    <r>
      <rPr>
        <sz val="12"/>
        <color theme="1"/>
        <rFont val="Aptos Narrow"/>
        <family val="2"/>
        <charset val="1"/>
      </rPr>
      <t xml:space="preserve"> P95 -10%
</t>
    </r>
    <r>
      <rPr>
        <b/>
        <sz val="12"/>
        <color theme="1"/>
        <rFont val="Aptos Narrow"/>
        <family val="2"/>
        <charset val="1"/>
      </rPr>
      <t>GAT:</t>
    </r>
    <r>
      <rPr>
        <sz val="12"/>
        <color theme="1"/>
        <rFont val="Aptos Narrow"/>
        <family val="2"/>
        <charset val="1"/>
      </rPr>
      <t xml:space="preserve"> P95 -40%
</t>
    </r>
    <r>
      <rPr>
        <b/>
        <sz val="12"/>
        <color theme="1"/>
        <rFont val="Aptos Narrow"/>
        <family val="2"/>
        <charset val="1"/>
      </rPr>
      <t xml:space="preserve">Hidrogeneración: Variable según aporte.
</t>
    </r>
    <r>
      <rPr>
        <sz val="12"/>
        <color theme="1"/>
        <rFont val="Aptos Narrow"/>
        <family val="2"/>
        <charset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</t>
    </r>
  </si>
  <si>
    <t>Título:</t>
  </si>
  <si>
    <t>Modelo GLR</t>
  </si>
  <si>
    <t>Escenario:</t>
  </si>
  <si>
    <t>Autor:</t>
  </si>
  <si>
    <t>Niveles</t>
  </si>
  <si>
    <t>Aportes</t>
  </si>
  <si>
    <t>Hidrogeneración</t>
  </si>
  <si>
    <t>Vertido</t>
  </si>
  <si>
    <t>Esclusajes</t>
  </si>
  <si>
    <t>Evaporación</t>
  </si>
  <si>
    <t>Salidas Netas</t>
  </si>
  <si>
    <t>Alhajuela</t>
  </si>
  <si>
    <t>Gatún</t>
  </si>
  <si>
    <t xml:space="preserve">Fecha Hora </t>
  </si>
  <si>
    <t>(pies)</t>
  </si>
  <si>
    <r>
      <rPr>
        <b/>
        <sz val="11"/>
        <color theme="1"/>
        <rFont val="Aptos Narrow"/>
        <family val="2"/>
        <charset val="1"/>
      </rPr>
      <t>(m</t>
    </r>
    <r>
      <rPr>
        <b/>
        <vertAlign val="superscript"/>
        <sz val="11"/>
        <color theme="1"/>
        <rFont val="Aptos Narrow"/>
        <family val="2"/>
        <charset val="1"/>
      </rPr>
      <t>3</t>
    </r>
    <r>
      <rPr>
        <b/>
        <sz val="11"/>
        <color theme="1"/>
        <rFont val="Aptos Narrow"/>
        <family val="2"/>
        <charset val="1"/>
      </rPr>
      <t>/s)</t>
    </r>
  </si>
  <si>
    <t>(MW)</t>
  </si>
  <si>
    <t>(hm^3)</t>
  </si>
  <si>
    <t>Elev_Alha(pies)</t>
  </si>
  <si>
    <t>Elev_Gatún(pies)</t>
  </si>
  <si>
    <r>
      <rPr>
        <b/>
        <sz val="11"/>
        <color theme="1"/>
        <rFont val="Aptos Narrow"/>
        <family val="2"/>
        <charset val="1"/>
      </rPr>
      <t>AT_Alha(m^</t>
    </r>
    <r>
      <rPr>
        <b/>
        <vertAlign val="superscript"/>
        <sz val="11"/>
        <color theme="1"/>
        <rFont val="Aptos Narrow"/>
        <family val="2"/>
        <charset val="1"/>
      </rPr>
      <t>3</t>
    </r>
    <r>
      <rPr>
        <b/>
        <sz val="11"/>
        <color theme="1"/>
        <rFont val="Aptos Narrow"/>
        <family val="2"/>
        <charset val="1"/>
      </rPr>
      <t>/s)</t>
    </r>
  </si>
  <si>
    <r>
      <rPr>
        <b/>
        <sz val="11"/>
        <color theme="1"/>
        <rFont val="Aptos Narrow"/>
        <family val="2"/>
        <charset val="1"/>
      </rPr>
      <t>AT_Gatún(m^</t>
    </r>
    <r>
      <rPr>
        <b/>
        <vertAlign val="superscript"/>
        <sz val="11"/>
        <color theme="1"/>
        <rFont val="Aptos Narrow"/>
        <family val="2"/>
        <charset val="1"/>
      </rPr>
      <t>3</t>
    </r>
    <r>
      <rPr>
        <b/>
        <sz val="11"/>
        <color theme="1"/>
        <rFont val="Aptos Narrow"/>
        <family val="2"/>
        <charset val="1"/>
      </rPr>
      <t>/s)</t>
    </r>
  </si>
  <si>
    <t>Hidro_Alha(MW)</t>
  </si>
  <si>
    <t>Hidro_Gatún(MW)</t>
  </si>
  <si>
    <r>
      <rPr>
        <b/>
        <sz val="11"/>
        <color theme="1"/>
        <rFont val="Aptos Narrow"/>
        <family val="2"/>
        <charset val="1"/>
      </rPr>
      <t>Vert_Alha(m^</t>
    </r>
    <r>
      <rPr>
        <b/>
        <vertAlign val="superscript"/>
        <sz val="11"/>
        <color theme="1"/>
        <rFont val="Aptos Narrow"/>
        <family val="2"/>
        <charset val="1"/>
      </rPr>
      <t>3</t>
    </r>
    <r>
      <rPr>
        <b/>
        <sz val="11"/>
        <color theme="1"/>
        <rFont val="Aptos Narrow"/>
        <family val="2"/>
        <charset val="1"/>
      </rPr>
      <t>/s)</t>
    </r>
  </si>
  <si>
    <r>
      <rPr>
        <b/>
        <sz val="11"/>
        <color theme="1"/>
        <rFont val="Aptos Narrow"/>
        <family val="2"/>
        <charset val="1"/>
      </rPr>
      <t>Vert_Gatún(m^</t>
    </r>
    <r>
      <rPr>
        <b/>
        <vertAlign val="superscript"/>
        <sz val="11"/>
        <color theme="1"/>
        <rFont val="Aptos Narrow"/>
        <family val="2"/>
        <charset val="1"/>
      </rPr>
      <t>3</t>
    </r>
    <r>
      <rPr>
        <b/>
        <sz val="11"/>
        <color theme="1"/>
        <rFont val="Aptos Narrow"/>
        <family val="2"/>
        <charset val="1"/>
      </rPr>
      <t>/s)</t>
    </r>
  </si>
  <si>
    <t>Cant. PMX</t>
  </si>
  <si>
    <t>Ahorro PMX</t>
  </si>
  <si>
    <t>Cant.NPX</t>
  </si>
  <si>
    <t>Ahorro NPX</t>
  </si>
  <si>
    <t>Vol_Tránsito(hm^3)</t>
  </si>
  <si>
    <r>
      <rPr>
        <b/>
        <sz val="11"/>
        <color theme="1"/>
        <rFont val="Aptos Narrow"/>
        <family val="2"/>
        <charset val="1"/>
      </rPr>
      <t>Evap_Alha(m^</t>
    </r>
    <r>
      <rPr>
        <b/>
        <vertAlign val="superscript"/>
        <sz val="11"/>
        <color theme="1"/>
        <rFont val="Aptos Narrow"/>
        <family val="2"/>
        <charset val="1"/>
      </rPr>
      <t>3</t>
    </r>
    <r>
      <rPr>
        <b/>
        <sz val="11"/>
        <color theme="1"/>
        <rFont val="Aptos Narrow"/>
        <family val="2"/>
        <charset val="1"/>
      </rPr>
      <t>/s)</t>
    </r>
  </si>
  <si>
    <r>
      <rPr>
        <b/>
        <sz val="11"/>
        <color theme="1"/>
        <rFont val="Aptos Narrow"/>
        <family val="2"/>
        <charset val="1"/>
      </rPr>
      <t>Evap_Gatún(m^</t>
    </r>
    <r>
      <rPr>
        <b/>
        <vertAlign val="superscript"/>
        <sz val="11"/>
        <color theme="1"/>
        <rFont val="Aptos Narrow"/>
        <family val="2"/>
        <charset val="1"/>
      </rPr>
      <t>3</t>
    </r>
    <r>
      <rPr>
        <b/>
        <sz val="11"/>
        <color theme="1"/>
        <rFont val="Aptos Narrow"/>
        <family val="2"/>
        <charset val="1"/>
      </rPr>
      <t>/s)</t>
    </r>
  </si>
  <si>
    <t>SN_Alha (m^3/s)</t>
  </si>
  <si>
    <r>
      <rPr>
        <b/>
        <sz val="11"/>
        <color theme="1"/>
        <rFont val="Aptos Narrow"/>
        <family val="2"/>
        <charset val="1"/>
      </rPr>
      <t>SN_GAT(m^</t>
    </r>
    <r>
      <rPr>
        <b/>
        <vertAlign val="superscript"/>
        <sz val="11"/>
        <color theme="1"/>
        <rFont val="Aptos Narrow"/>
        <family val="2"/>
        <charset val="1"/>
      </rPr>
      <t>3</t>
    </r>
    <r>
      <rPr>
        <b/>
        <sz val="11"/>
        <color theme="1"/>
        <rFont val="Aptos Narrow"/>
        <family val="2"/>
        <charset val="1"/>
      </rPr>
      <t>/s)</t>
    </r>
  </si>
  <si>
    <t>Gat 97</t>
  </si>
  <si>
    <t>Alha97</t>
  </si>
  <si>
    <t>Calado NPX (pies)</t>
  </si>
  <si>
    <t>Cambio calado (día exacto)</t>
  </si>
  <si>
    <t>Primer_día_del_cambio</t>
  </si>
  <si>
    <t>No_cambio</t>
  </si>
  <si>
    <t>Fecha_cambio_limpia</t>
  </si>
  <si>
    <t>Calado_cambio_limpio</t>
  </si>
  <si>
    <t>Calado vigente</t>
  </si>
  <si>
    <t>Días desde cambio</t>
  </si>
  <si>
    <t>Nivel 80</t>
  </si>
  <si>
    <t>Fecha del cambio</t>
  </si>
  <si>
    <t>Días hasta próximo cambio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</si>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</sst>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;@"/>
    <numFmt numFmtId="165" formatCode="dd\-mmm\-yyyy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2"/>
      <color theme="1"/>
      <name val="Aptos Narrow"/>
      <family val="2"/>
      <charset val="1"/>
    </font>
    <font>
      <sz val="12"/>
      <color theme="1"/>
      <name val="Aptos Narrow"/>
      <family val="2"/>
      <charset val="1"/>
    </font>
    <font>
      <sz val="11"/>
      <name val="Aptos Narrow"/>
      <family val="2"/>
      <charset val="1"/>
    </font>
    <font>
      <b/>
      <sz val="11"/>
      <color theme="1"/>
      <name val="Aptos Narrow"/>
      <family val="1"/>
      <charset val="1"/>
    </font>
    <font>
      <b/>
      <vertAlign val="superscript"/>
      <sz val="11"/>
      <color theme="1"/>
      <name val="Aptos Narrow"/>
      <family val="2"/>
      <charset val="1"/>
    </font>
    <font>
      <b/>
      <sz val="11"/>
      <color rgb="FFFFFFFF"/>
      <name val="Carlito"/>
    </font>
    <font>
      <sz val="11"/>
      <color theme="1"/>
      <name val="Carlito"/>
    </font>
  </fonts>
  <fills count="10">
    <fill>
      <patternFill patternType="none"/>
    </fill>
    <fill>
      <patternFill patternType="gray125"/>
    </fill>
    <fill>
      <patternFill patternType="solid">
        <fgColor theme="7" tint="0.79989013336588644"/>
        <bgColor rgb="FFC1E5F5"/>
      </patternFill>
    </fill>
    <fill>
      <patternFill patternType="solid">
        <fgColor theme="0"/>
        <bgColor rgb="FFF2F2F2"/>
      </patternFill>
    </fill>
    <fill>
      <patternFill patternType="solid">
        <fgColor theme="0" tint="-0.499984740745262"/>
        <bgColor rgb="FF8B8B8B"/>
      </patternFill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8B8B8B"/>
      </patternFill>
    </fill>
    <fill>
      <patternFill patternType="solid">
        <fgColor rgb="FFFFFF00"/>
        <bgColor rgb="FFC1E5F5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0"/>
    <xf numFmtId="0" fontId="1" fillId="0" borderId="0"/>
    <xf numFmtId="0" fontId="1" fillId="0" borderId="0" applyBorder="0" applyProtection="0"/>
    <xf numFmtId="0" fontId="1" fillId="0" borderId="0" applyBorder="0" applyProtection="0"/>
    <xf numFmtId="0" fontId="1" fillId="0" borderId="0" applyBorder="0" applyProtection="0">
      <alignment horizontal="left"/>
    </xf>
    <xf numFmtId="0" fontId="1" fillId="0" borderId="0" applyBorder="0" applyProtection="0"/>
  </cellStyleXfs>
  <cellXfs count="60">
    <xf numFmtId="0" fontId="0" fillId="0" borderId="0" xfId="0"/>
    <xf numFmtId="0" fontId="1" fillId="0" borderId="0" xfId="1" applyProtection="1">
      <protection locked="0"/>
    </xf>
    <xf numFmtId="0" fontId="2" fillId="0" borderId="0" xfId="1" applyFont="1" applyProtection="1">
      <protection locked="0"/>
    </xf>
    <xf numFmtId="0" fontId="4" fillId="2" borderId="0" xfId="1" applyFont="1" applyFill="1" applyAlignment="1" applyProtection="1">
      <alignment horizontal="left" vertical="top" wrapText="1"/>
      <protection locked="0"/>
    </xf>
    <xf numFmtId="0" fontId="2" fillId="0" borderId="0" xfId="1" applyFont="1"/>
    <xf numFmtId="0" fontId="1" fillId="2" borderId="0" xfId="1" applyFill="1"/>
    <xf numFmtId="0" fontId="5" fillId="0" borderId="0" xfId="1" applyFont="1"/>
    <xf numFmtId="0" fontId="1" fillId="0" borderId="1" xfId="1" applyBorder="1"/>
    <xf numFmtId="0" fontId="2" fillId="3" borderId="0" xfId="1" applyFont="1" applyFill="1" applyAlignment="1">
      <alignment horizontal="center"/>
    </xf>
    <xf numFmtId="164" fontId="6" fillId="4" borderId="1" xfId="1" applyNumberFormat="1" applyFont="1" applyFill="1" applyBorder="1"/>
    <xf numFmtId="0" fontId="2" fillId="3" borderId="5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center"/>
    </xf>
    <xf numFmtId="0" fontId="2" fillId="3" borderId="7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center"/>
    </xf>
    <xf numFmtId="0" fontId="2" fillId="3" borderId="9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center"/>
    </xf>
    <xf numFmtId="0" fontId="2" fillId="3" borderId="11" xfId="1" applyFont="1" applyFill="1" applyBorder="1" applyAlignment="1">
      <alignment horizontal="center"/>
    </xf>
    <xf numFmtId="0" fontId="8" fillId="5" borderId="12" xfId="1" applyFont="1" applyFill="1" applyBorder="1" applyAlignment="1">
      <alignment horizontal="center" vertical="center"/>
    </xf>
    <xf numFmtId="0" fontId="8" fillId="5" borderId="13" xfId="1" applyFont="1" applyFill="1" applyBorder="1" applyAlignment="1">
      <alignment horizontal="center" vertical="center"/>
    </xf>
    <xf numFmtId="0" fontId="8" fillId="5" borderId="14" xfId="1" applyFont="1" applyFill="1" applyBorder="1" applyAlignment="1">
      <alignment horizontal="center" vertical="center" wrapText="1"/>
    </xf>
    <xf numFmtId="0" fontId="1" fillId="0" borderId="15" xfId="2" applyBorder="1"/>
    <xf numFmtId="0" fontId="1" fillId="0" borderId="16" xfId="3" applyBorder="1"/>
    <xf numFmtId="164" fontId="1" fillId="0" borderId="0" xfId="1" applyNumberFormat="1" applyProtection="1">
      <protection locked="0"/>
    </xf>
    <xf numFmtId="164" fontId="6" fillId="4" borderId="17" xfId="1" applyNumberFormat="1" applyFont="1" applyFill="1" applyBorder="1"/>
    <xf numFmtId="2" fontId="1" fillId="2" borderId="18" xfId="1" applyNumberFormat="1" applyFill="1" applyBorder="1" applyAlignment="1">
      <alignment horizontal="center"/>
    </xf>
    <xf numFmtId="2" fontId="1" fillId="2" borderId="0" xfId="1" applyNumberFormat="1" applyFill="1" applyAlignment="1">
      <alignment horizontal="center"/>
    </xf>
    <xf numFmtId="2" fontId="1" fillId="2" borderId="19" xfId="1" applyNumberFormat="1" applyFill="1" applyBorder="1" applyAlignment="1">
      <alignment horizontal="center"/>
    </xf>
    <xf numFmtId="2" fontId="1" fillId="2" borderId="5" xfId="1" applyNumberFormat="1" applyFill="1" applyBorder="1" applyAlignment="1">
      <alignment horizontal="center"/>
    </xf>
    <xf numFmtId="2" fontId="1" fillId="2" borderId="6" xfId="1" applyNumberFormat="1" applyFill="1" applyBorder="1" applyAlignment="1">
      <alignment horizontal="center"/>
    </xf>
    <xf numFmtId="2" fontId="9" fillId="6" borderId="12" xfId="1" applyNumberFormat="1" applyFont="1" applyFill="1" applyBorder="1"/>
    <xf numFmtId="0" fontId="9" fillId="6" borderId="12" xfId="1" applyFont="1" applyFill="1" applyBorder="1"/>
    <xf numFmtId="165" fontId="9" fillId="6" borderId="12" xfId="1" applyNumberFormat="1" applyFont="1" applyFill="1" applyBorder="1"/>
    <xf numFmtId="2" fontId="9" fillId="6" borderId="13" xfId="1" applyNumberFormat="1" applyFont="1" applyFill="1" applyBorder="1"/>
    <xf numFmtId="14" fontId="9" fillId="6" borderId="14" xfId="1" applyNumberFormat="1" applyFont="1" applyFill="1" applyBorder="1"/>
    <xf numFmtId="2" fontId="9" fillId="6" borderId="14" xfId="1" applyNumberFormat="1" applyFont="1" applyFill="1" applyBorder="1"/>
    <xf numFmtId="0" fontId="9" fillId="6" borderId="14" xfId="1" applyFont="1" applyFill="1" applyBorder="1"/>
    <xf numFmtId="0" fontId="1" fillId="0" borderId="20" xfId="4" applyBorder="1">
      <alignment horizontal="left"/>
    </xf>
    <xf numFmtId="0" fontId="1" fillId="0" borderId="21" xfId="5" applyBorder="1"/>
    <xf numFmtId="0" fontId="1" fillId="0" borderId="22" xfId="4" applyBorder="1">
      <alignment horizontal="left"/>
    </xf>
    <xf numFmtId="0" fontId="1" fillId="0" borderId="23" xfId="5" applyBorder="1"/>
    <xf numFmtId="2" fontId="1" fillId="0" borderId="23" xfId="5" applyNumberFormat="1" applyBorder="1"/>
    <xf numFmtId="0" fontId="1" fillId="0" borderId="24" xfId="4" applyBorder="1">
      <alignment horizontal="left"/>
    </xf>
    <xf numFmtId="0" fontId="1" fillId="0" borderId="25" xfId="5" applyBorder="1"/>
    <xf numFmtId="0" fontId="1" fillId="0" borderId="0" xfId="1"/>
    <xf numFmtId="164" fontId="1" fillId="7" borderId="0" xfId="1" applyNumberFormat="1" applyFill="1" applyProtection="1">
      <protection locked="0"/>
    </xf>
    <xf numFmtId="164" fontId="6" fillId="8" borderId="1" xfId="1" applyNumberFormat="1" applyFont="1" applyFill="1" applyBorder="1"/>
    <xf numFmtId="2" fontId="1" fillId="9" borderId="18" xfId="1" applyNumberFormat="1" applyFill="1" applyBorder="1" applyAlignment="1">
      <alignment horizontal="center"/>
    </xf>
    <xf numFmtId="2" fontId="1" fillId="9" borderId="0" xfId="1" applyNumberFormat="1" applyFill="1" applyAlignment="1">
      <alignment horizontal="center"/>
    </xf>
    <xf numFmtId="2" fontId="1" fillId="9" borderId="19" xfId="1" applyNumberFormat="1" applyFill="1" applyBorder="1" applyAlignment="1">
      <alignment horizontal="center"/>
    </xf>
    <xf numFmtId="0" fontId="1" fillId="7" borderId="0" xfId="1" applyFill="1" applyProtection="1">
      <protection locked="0"/>
    </xf>
    <xf numFmtId="14" fontId="1" fillId="0" borderId="0" xfId="1" applyNumberFormat="1" applyProtection="1">
      <protection locked="0"/>
    </xf>
    <xf numFmtId="2" fontId="1" fillId="2" borderId="8" xfId="1" applyNumberFormat="1" applyFill="1" applyBorder="1" applyAlignment="1">
      <alignment horizontal="center"/>
    </xf>
    <xf numFmtId="2" fontId="1" fillId="2" borderId="10" xfId="1" applyNumberFormat="1" applyFill="1" applyBorder="1" applyAlignment="1">
      <alignment horizontal="center"/>
    </xf>
    <xf numFmtId="2" fontId="1" fillId="2" borderId="9" xfId="1" applyNumberFormat="1" applyFill="1" applyBorder="1" applyAlignment="1">
      <alignment horizontal="center"/>
    </xf>
    <xf numFmtId="0" fontId="1" fillId="0" borderId="18" xfId="1" applyBorder="1" applyProtection="1">
      <protection locked="0"/>
    </xf>
    <xf numFmtId="0" fontId="1" fillId="0" borderId="19" xfId="1" applyBorder="1" applyProtection="1">
      <protection locked="0"/>
    </xf>
    <xf numFmtId="0" fontId="2" fillId="3" borderId="3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0" fontId="3" fillId="2" borderId="0" xfId="1" applyFont="1" applyFill="1" applyAlignment="1" applyProtection="1">
      <alignment horizontal="left" vertical="top" wrapText="1"/>
      <protection locked="0"/>
    </xf>
    <xf numFmtId="0" fontId="2" fillId="3" borderId="2" xfId="1" applyFont="1" applyFill="1" applyBorder="1" applyAlignment="1">
      <alignment horizontal="center"/>
    </xf>
  </cellXfs>
  <cellStyles count="6">
    <cellStyle name="Normal" xfId="0" builtinId="0"/>
    <cellStyle name="Normal 2" xfId="1" xr:uid="{EE1B5EA8-7D6B-4204-B318-B822092081BD}"/>
    <cellStyle name="Pivot Table Category" xfId="4" xr:uid="{A9D5E048-933A-4E51-886D-FEF87D79AA27}"/>
    <cellStyle name="Pivot Table Corner" xfId="3" xr:uid="{3F47436B-41AB-4A13-95C7-6336EB5A7451}"/>
    <cellStyle name="Pivot Table Field" xfId="2" xr:uid="{FC83A6A7-CA1F-465C-8A47-014A12D5741F}"/>
    <cellStyle name="Pivot Table Value" xfId="5" xr:uid="{D8F66C0A-A69B-4F33-8F71-9E959D1FD32B}"/>
  </cellStyles>
  <dxfs count="1">
    <dxf>
      <font>
        <b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ancanal-my.sharepoint.com/personal/jfrodriguez_pancanal_com/Documents/Documents/Doc%20Doctorado/Articulo%201/Borrador%20Articulo/nuevo/MareasTest/DATA/TuRepo/GLR_Diario_LP_Plantilla_Julio_P95%25agosto%2010%20-%2040.xlsx" TargetMode="External"/><Relationship Id="rId1" Type="http://schemas.openxmlformats.org/officeDocument/2006/relationships/externalLinkPath" Target="GLR_Diario_LP_Plantilla_Julio_P95%25agosto%2010%20-%204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R"/>
      <sheetName val="Resumen 1 "/>
      <sheetName val="Aportes"/>
      <sheetName val="Balance_Madden"/>
      <sheetName val="Balance_Gatún"/>
      <sheetName val="Balance_Río_Indio"/>
      <sheetName val="Resumen_Esc3_41T "/>
      <sheetName val="Gráfico_Balance_Río Indio"/>
      <sheetName val="Gráfico_Balance_Madden"/>
      <sheetName val="Gráfico_Balance_Gatún"/>
      <sheetName val="Tasa de Evaporación"/>
      <sheetName val="Parámetros"/>
      <sheetName val=" Tabla  agua CFS min"/>
      <sheetName val="Tabla agua CFS max"/>
      <sheetName val="Sheet1"/>
      <sheetName val="3daysMAD5711_15min"/>
      <sheetName val="3daysGAT5400_15min"/>
      <sheetName val="Tránsito"/>
      <sheetName val="ResInflow_PW"/>
      <sheetName val="Hoja1"/>
      <sheetName val="curva Capacidad gatun"/>
      <sheetName val="curva Capacidad Alhajuela"/>
      <sheetName val="Curva Guía"/>
      <sheetName val="HostFolder"/>
    </sheetNames>
    <sheetDataSet>
      <sheetData sheetId="0">
        <row r="13">
          <cell r="B13" t="str">
            <v>JFRodriguez</v>
          </cell>
        </row>
      </sheetData>
      <sheetData sheetId="1"/>
      <sheetData sheetId="2"/>
      <sheetData sheetId="3">
        <row r="2">
          <cell r="F2" t="str">
            <v>GLR ESC1 P95 Ultimo Decenio -10#ALHA/ -40$GAT (Transitos36)</v>
          </cell>
        </row>
        <row r="12">
          <cell r="A12">
            <v>46204</v>
          </cell>
          <cell r="B12">
            <v>226.68</v>
          </cell>
          <cell r="C12">
            <v>226.68</v>
          </cell>
          <cell r="D12">
            <v>362.76224456448</v>
          </cell>
          <cell r="E12">
            <v>2377.9050000000002</v>
          </cell>
          <cell r="F12">
            <v>2377.9050000000002</v>
          </cell>
          <cell r="G12">
            <v>2377.9050000000002</v>
          </cell>
          <cell r="H12">
            <v>379.8</v>
          </cell>
          <cell r="I12">
            <v>2008</v>
          </cell>
          <cell r="J12" t="str">
            <v>0</v>
          </cell>
          <cell r="L12">
            <v>65.731752526735633</v>
          </cell>
          <cell r="M12">
            <v>53</v>
          </cell>
          <cell r="N12">
            <v>2506.531752526736</v>
          </cell>
          <cell r="O12">
            <v>-0.31469454944199982</v>
          </cell>
          <cell r="P12">
            <v>362.44755001503802</v>
          </cell>
          <cell r="Q12">
            <v>226.648</v>
          </cell>
          <cell r="R12">
            <v>251.85</v>
          </cell>
          <cell r="S12">
            <v>8.0596724922520194E-2</v>
          </cell>
          <cell r="V12">
            <v>67.334779199250008</v>
          </cell>
        </row>
        <row r="13">
          <cell r="A13">
            <v>46205</v>
          </cell>
          <cell r="B13">
            <v>226.32</v>
          </cell>
          <cell r="C13">
            <v>226.32</v>
          </cell>
          <cell r="D13">
            <v>359.12403116351999</v>
          </cell>
          <cell r="E13">
            <v>1061.19</v>
          </cell>
          <cell r="F13">
            <v>1061.19</v>
          </cell>
          <cell r="G13">
            <v>1061.19</v>
          </cell>
          <cell r="H13">
            <v>379.8</v>
          </cell>
          <cell r="I13">
            <v>2008</v>
          </cell>
          <cell r="J13" t="str">
            <v>0</v>
          </cell>
          <cell r="L13">
            <v>64.956279640845807</v>
          </cell>
          <cell r="M13">
            <v>53</v>
          </cell>
          <cell r="N13">
            <v>2505.7562796408461</v>
          </cell>
          <cell r="O13">
            <v>-3.5342347185216494</v>
          </cell>
          <cell r="P13">
            <v>355.58979644499834</v>
          </cell>
          <cell r="Q13">
            <v>225.97</v>
          </cell>
          <cell r="R13">
            <v>251.85</v>
          </cell>
          <cell r="S13">
            <v>8.0596724922520194E-2</v>
          </cell>
          <cell r="V13">
            <v>30.049558051500004</v>
          </cell>
        </row>
        <row r="14">
          <cell r="A14">
            <v>46206</v>
          </cell>
          <cell r="B14">
            <v>226.04</v>
          </cell>
          <cell r="C14">
            <v>226.04</v>
          </cell>
          <cell r="D14">
            <v>356.29430962944002</v>
          </cell>
          <cell r="E14">
            <v>883.08399999999995</v>
          </cell>
          <cell r="F14">
            <v>883.08399999999995</v>
          </cell>
          <cell r="G14">
            <v>883.08399999999995</v>
          </cell>
          <cell r="H14">
            <v>379.8</v>
          </cell>
          <cell r="I14">
            <v>2008</v>
          </cell>
          <cell r="J14" t="str">
            <v>0</v>
          </cell>
          <cell r="L14">
            <v>62.841754837416836</v>
          </cell>
          <cell r="M14">
            <v>53</v>
          </cell>
          <cell r="N14">
            <v>2503.641754837417</v>
          </cell>
          <cell r="O14">
            <v>-3.9648104495003667</v>
          </cell>
          <cell r="P14">
            <v>352.32949917993966</v>
          </cell>
          <cell r="Q14">
            <v>225.64699999999999</v>
          </cell>
          <cell r="R14">
            <v>251.85</v>
          </cell>
          <cell r="S14">
            <v>8.0596724922520194E-2</v>
          </cell>
          <cell r="V14">
            <v>25.006157165399998</v>
          </cell>
        </row>
        <row r="15">
          <cell r="A15">
            <v>46207</v>
          </cell>
          <cell r="B15">
            <v>225.98</v>
          </cell>
          <cell r="C15">
            <v>225.98</v>
          </cell>
          <cell r="D15">
            <v>355.68794072928</v>
          </cell>
          <cell r="E15">
            <v>1916.1949999999999</v>
          </cell>
          <cell r="F15">
            <v>1916.1949999999999</v>
          </cell>
          <cell r="G15">
            <v>1916.1949999999999</v>
          </cell>
          <cell r="H15">
            <v>379.8</v>
          </cell>
          <cell r="I15">
            <v>2008</v>
          </cell>
          <cell r="J15" t="str">
            <v>0</v>
          </cell>
          <cell r="L15">
            <v>42.739929063284798</v>
          </cell>
          <cell r="M15">
            <v>53</v>
          </cell>
          <cell r="N15">
            <v>2483.5399290632849</v>
          </cell>
          <cell r="O15">
            <v>-1.3880499454626531</v>
          </cell>
          <cell r="P15">
            <v>354.29989078381737</v>
          </cell>
          <cell r="Q15">
            <v>225.84200000000001</v>
          </cell>
          <cell r="R15">
            <v>251.85</v>
          </cell>
          <cell r="S15">
            <v>8.0596724922520194E-2</v>
          </cell>
          <cell r="V15">
            <v>54.260606385750002</v>
          </cell>
        </row>
        <row r="16">
          <cell r="A16">
            <v>46208</v>
          </cell>
          <cell r="B16">
            <v>225.71</v>
          </cell>
          <cell r="C16">
            <v>225.71</v>
          </cell>
          <cell r="D16">
            <v>352.95928067855999</v>
          </cell>
          <cell r="E16">
            <v>1607.27</v>
          </cell>
          <cell r="F16">
            <v>1607.27</v>
          </cell>
          <cell r="G16">
            <v>1607.27</v>
          </cell>
          <cell r="H16">
            <v>379.8</v>
          </cell>
          <cell r="I16">
            <v>2008</v>
          </cell>
          <cell r="J16" t="str">
            <v>0</v>
          </cell>
          <cell r="L16">
            <v>21.500956381403125</v>
          </cell>
          <cell r="M16">
            <v>53</v>
          </cell>
          <cell r="N16">
            <v>2462.3009563814035</v>
          </cell>
          <cell r="O16">
            <v>-2.0918943866011039</v>
          </cell>
          <cell r="P16">
            <v>350.86738629195889</v>
          </cell>
          <cell r="Q16">
            <v>225.50299999999999</v>
          </cell>
          <cell r="R16">
            <v>251.85</v>
          </cell>
          <cell r="S16">
            <v>8.0596724922520194E-2</v>
          </cell>
          <cell r="V16">
            <v>45.512823499500001</v>
          </cell>
        </row>
        <row r="17">
          <cell r="A17">
            <v>46209</v>
          </cell>
          <cell r="B17">
            <v>225.45</v>
          </cell>
          <cell r="C17">
            <v>225.45</v>
          </cell>
          <cell r="D17">
            <v>350.3316821112</v>
          </cell>
          <cell r="E17">
            <v>1385.8330000000001</v>
          </cell>
          <cell r="F17">
            <v>1385.8330000000001</v>
          </cell>
          <cell r="G17">
            <v>1385.8330000000001</v>
          </cell>
          <cell r="H17">
            <v>379.8</v>
          </cell>
          <cell r="I17">
            <v>2008</v>
          </cell>
          <cell r="J17" t="str">
            <v>0</v>
          </cell>
          <cell r="L17">
            <v>7.4693307105225504</v>
          </cell>
          <cell r="M17">
            <v>53</v>
          </cell>
          <cell r="N17">
            <v>2448.2693307105228</v>
          </cell>
          <cell r="O17">
            <v>-2.5993264685296662</v>
          </cell>
          <cell r="P17">
            <v>347.73235564267031</v>
          </cell>
          <cell r="Q17">
            <v>225.19200000000001</v>
          </cell>
          <cell r="R17">
            <v>251.85</v>
          </cell>
          <cell r="S17">
            <v>8.0596724922520194E-2</v>
          </cell>
          <cell r="V17">
            <v>39.242425186050006</v>
          </cell>
        </row>
        <row r="18">
          <cell r="A18">
            <v>46210</v>
          </cell>
          <cell r="B18">
            <v>225.14</v>
          </cell>
          <cell r="C18">
            <v>225.14</v>
          </cell>
          <cell r="D18">
            <v>347.19877612703999</v>
          </cell>
          <cell r="E18">
            <v>1245.979</v>
          </cell>
          <cell r="F18">
            <v>1245.979</v>
          </cell>
          <cell r="G18">
            <v>1245.979</v>
          </cell>
          <cell r="H18">
            <v>379.8</v>
          </cell>
          <cell r="I18">
            <v>2008</v>
          </cell>
          <cell r="J18" t="str">
            <v>0</v>
          </cell>
          <cell r="L18">
            <v>45.025011649587121</v>
          </cell>
          <cell r="M18">
            <v>53</v>
          </cell>
          <cell r="N18">
            <v>2485.8250116495874</v>
          </cell>
          <cell r="O18">
            <v>-3.0333719412874682</v>
          </cell>
          <cell r="P18">
            <v>344.16540418575255</v>
          </cell>
          <cell r="Q18">
            <v>224.822</v>
          </cell>
          <cell r="R18">
            <v>251.85</v>
          </cell>
          <cell r="S18">
            <v>8.0596724922520194E-2</v>
          </cell>
          <cell r="V18">
            <v>35.28220044615</v>
          </cell>
        </row>
        <row r="19">
          <cell r="A19">
            <v>46211</v>
          </cell>
          <cell r="B19">
            <v>224.8</v>
          </cell>
          <cell r="C19">
            <v>224.8</v>
          </cell>
          <cell r="D19">
            <v>343.96088125919999</v>
          </cell>
          <cell r="E19">
            <v>1183.8209999999999</v>
          </cell>
          <cell r="F19">
            <v>1183.8209999999999</v>
          </cell>
          <cell r="G19">
            <v>1183.8209999999999</v>
          </cell>
          <cell r="H19">
            <v>379.8</v>
          </cell>
          <cell r="I19">
            <v>2008</v>
          </cell>
          <cell r="J19" t="str">
            <v>0</v>
          </cell>
          <cell r="L19">
            <v>52.535224044540975</v>
          </cell>
          <cell r="M19">
            <v>53</v>
          </cell>
          <cell r="N19">
            <v>2493.3352240445411</v>
          </cell>
          <cell r="O19">
            <v>-3.2038202055822733</v>
          </cell>
          <cell r="P19">
            <v>340.75706105361775</v>
          </cell>
          <cell r="Q19">
            <v>224.44800000000001</v>
          </cell>
          <cell r="R19">
            <v>251.85</v>
          </cell>
          <cell r="S19">
            <v>8.0596724922520194E-2</v>
          </cell>
          <cell r="V19">
            <v>33.522081683849997</v>
          </cell>
        </row>
        <row r="20">
          <cell r="A20">
            <v>46212</v>
          </cell>
          <cell r="B20">
            <v>224.49</v>
          </cell>
          <cell r="C20">
            <v>224.49</v>
          </cell>
          <cell r="D20">
            <v>341.13517840295998</v>
          </cell>
          <cell r="E20">
            <v>1117.779</v>
          </cell>
          <cell r="F20">
            <v>1117.779</v>
          </cell>
          <cell r="G20">
            <v>1117.779</v>
          </cell>
          <cell r="H20">
            <v>379.8</v>
          </cell>
          <cell r="I20">
            <v>2008</v>
          </cell>
          <cell r="J20" t="str">
            <v>0</v>
          </cell>
          <cell r="L20">
            <v>141.16062653841408</v>
          </cell>
          <cell r="M20">
            <v>53</v>
          </cell>
          <cell r="N20">
            <v>2581.9606265384141</v>
          </cell>
          <cell r="O20">
            <v>-3.58222506759616</v>
          </cell>
          <cell r="P20">
            <v>337.55295333536384</v>
          </cell>
          <cell r="Q20">
            <v>224.09700000000001</v>
          </cell>
          <cell r="R20">
            <v>251.85</v>
          </cell>
          <cell r="S20">
            <v>8.0596724922520194E-2</v>
          </cell>
          <cell r="V20">
            <v>31.651980276150002</v>
          </cell>
        </row>
        <row r="21">
          <cell r="A21">
            <v>46213</v>
          </cell>
          <cell r="B21">
            <v>224.17</v>
          </cell>
          <cell r="C21">
            <v>224.17</v>
          </cell>
          <cell r="D21">
            <v>338.21832384167999</v>
          </cell>
          <cell r="E21">
            <v>1063.3910000000001</v>
          </cell>
          <cell r="F21">
            <v>1063.3910000000001</v>
          </cell>
          <cell r="G21">
            <v>1063.3910000000001</v>
          </cell>
          <cell r="H21">
            <v>379.8</v>
          </cell>
          <cell r="I21">
            <v>2029</v>
          </cell>
          <cell r="J21" t="str">
            <v>0</v>
          </cell>
          <cell r="L21">
            <v>36.04727114008633</v>
          </cell>
          <cell r="M21">
            <v>53</v>
          </cell>
          <cell r="N21">
            <v>2497.8472711400864</v>
          </cell>
          <cell r="O21">
            <v>-3.5094998596567328</v>
          </cell>
          <cell r="P21">
            <v>334.70882398202326</v>
          </cell>
          <cell r="Q21">
            <v>223.78399999999999</v>
          </cell>
          <cell r="R21">
            <v>251.85</v>
          </cell>
          <cell r="S21">
            <v>8.1409959760545589E-2</v>
          </cell>
          <cell r="V21">
            <v>30.111883438350002</v>
          </cell>
        </row>
        <row r="22">
          <cell r="A22">
            <v>46214</v>
          </cell>
          <cell r="B22">
            <v>223.85</v>
          </cell>
          <cell r="C22">
            <v>223.85</v>
          </cell>
          <cell r="D22">
            <v>335.3014692804</v>
          </cell>
          <cell r="E22">
            <v>1035.3109999999999</v>
          </cell>
          <cell r="F22">
            <v>1035.3109999999999</v>
          </cell>
          <cell r="G22">
            <v>1035.3109999999999</v>
          </cell>
          <cell r="H22">
            <v>379.8</v>
          </cell>
          <cell r="I22">
            <v>2029</v>
          </cell>
          <cell r="J22" t="str">
            <v>0</v>
          </cell>
          <cell r="L22">
            <v>76.072494804426015</v>
          </cell>
          <cell r="M22">
            <v>53</v>
          </cell>
          <cell r="N22">
            <v>2537.8724948044264</v>
          </cell>
          <cell r="O22">
            <v>-3.6761241602371379</v>
          </cell>
          <cell r="P22">
            <v>331.62534512016288</v>
          </cell>
          <cell r="Q22">
            <v>223.446</v>
          </cell>
          <cell r="R22">
            <v>251.85</v>
          </cell>
          <cell r="S22">
            <v>8.1409959760545589E-2</v>
          </cell>
          <cell r="V22">
            <v>29.31674629035</v>
          </cell>
        </row>
        <row r="23">
          <cell r="A23">
            <v>46215</v>
          </cell>
          <cell r="B23">
            <v>223.61</v>
          </cell>
          <cell r="C23">
            <v>223.61</v>
          </cell>
          <cell r="D23">
            <v>333.11382835943999</v>
          </cell>
          <cell r="E23">
            <v>1810.2470000000001</v>
          </cell>
          <cell r="F23">
            <v>1810.2470000000001</v>
          </cell>
          <cell r="G23">
            <v>1810.2470000000001</v>
          </cell>
          <cell r="H23">
            <v>379.8</v>
          </cell>
          <cell r="I23">
            <v>2029</v>
          </cell>
          <cell r="J23" t="str">
            <v>0</v>
          </cell>
          <cell r="L23">
            <v>49.502490315828751</v>
          </cell>
          <cell r="M23">
            <v>53</v>
          </cell>
          <cell r="N23">
            <v>2511.3024903158289</v>
          </cell>
          <cell r="O23">
            <v>-1.7151823965463424</v>
          </cell>
          <cell r="P23">
            <v>331.39864596289362</v>
          </cell>
          <cell r="Q23">
            <v>223.42099999999999</v>
          </cell>
          <cell r="R23">
            <v>251.85</v>
          </cell>
          <cell r="S23">
            <v>8.1409959760545589E-2</v>
          </cell>
          <cell r="V23">
            <v>51.260492761950005</v>
          </cell>
        </row>
        <row r="24">
          <cell r="A24">
            <v>46216</v>
          </cell>
          <cell r="B24">
            <v>223.62</v>
          </cell>
          <cell r="C24">
            <v>223.62</v>
          </cell>
          <cell r="D24">
            <v>333.20498006448003</v>
          </cell>
          <cell r="E24">
            <v>3157.518</v>
          </cell>
          <cell r="F24">
            <v>3157.518</v>
          </cell>
          <cell r="G24">
            <v>3157.518</v>
          </cell>
          <cell r="H24">
            <v>379.8</v>
          </cell>
          <cell r="I24">
            <v>2029</v>
          </cell>
          <cell r="J24" t="str">
            <v>0</v>
          </cell>
          <cell r="L24">
            <v>52.709101271617079</v>
          </cell>
          <cell r="M24">
            <v>53</v>
          </cell>
          <cell r="N24">
            <v>2514.5091012716171</v>
          </cell>
          <cell r="O24">
            <v>1.5731672587354257</v>
          </cell>
          <cell r="P24">
            <v>334.77814732321548</v>
          </cell>
          <cell r="Q24">
            <v>223.792</v>
          </cell>
          <cell r="R24">
            <v>251.85</v>
          </cell>
          <cell r="S24">
            <v>8.1409959760545589E-2</v>
          </cell>
          <cell r="V24">
            <v>89.410963578299999</v>
          </cell>
        </row>
        <row r="25">
          <cell r="A25">
            <v>46217</v>
          </cell>
          <cell r="B25">
            <v>223.37</v>
          </cell>
          <cell r="C25">
            <v>223.37</v>
          </cell>
          <cell r="D25">
            <v>330.92618743847999</v>
          </cell>
          <cell r="E25">
            <v>1620.204</v>
          </cell>
          <cell r="F25">
            <v>1620.204</v>
          </cell>
          <cell r="G25">
            <v>1620.204</v>
          </cell>
          <cell r="H25">
            <v>379.8</v>
          </cell>
          <cell r="I25">
            <v>2029</v>
          </cell>
          <cell r="J25" t="str">
            <v>0</v>
          </cell>
          <cell r="L25">
            <v>40.241962106278272</v>
          </cell>
          <cell r="M25">
            <v>53</v>
          </cell>
          <cell r="N25">
            <v>2502.0419621062783</v>
          </cell>
          <cell r="O25">
            <v>-2.1574796433440602</v>
          </cell>
          <cell r="P25">
            <v>328.76870779513592</v>
          </cell>
          <cell r="Q25">
            <v>223.13300000000001</v>
          </cell>
          <cell r="R25">
            <v>251.85</v>
          </cell>
          <cell r="S25">
            <v>8.1409959760545589E-2</v>
          </cell>
          <cell r="V25">
            <v>45.879073637399998</v>
          </cell>
        </row>
        <row r="26">
          <cell r="A26">
            <v>46218</v>
          </cell>
          <cell r="B26">
            <v>223.05</v>
          </cell>
          <cell r="C26">
            <v>223.05</v>
          </cell>
          <cell r="D26">
            <v>328.00933287719999</v>
          </cell>
          <cell r="E26">
            <v>1311.384</v>
          </cell>
          <cell r="F26">
            <v>1311.384</v>
          </cell>
          <cell r="G26">
            <v>1311.384</v>
          </cell>
          <cell r="H26">
            <v>379.8</v>
          </cell>
          <cell r="I26">
            <v>2029</v>
          </cell>
          <cell r="J26" t="str">
            <v>0</v>
          </cell>
          <cell r="L26">
            <v>52.699008559346289</v>
          </cell>
          <cell r="M26">
            <v>53</v>
          </cell>
          <cell r="N26">
            <v>2514.4990085593463</v>
          </cell>
          <cell r="O26">
            <v>-2.9435069152258526</v>
          </cell>
          <cell r="P26">
            <v>325.06582596197416</v>
          </cell>
          <cell r="Q26">
            <v>222.727</v>
          </cell>
          <cell r="R26">
            <v>251.85</v>
          </cell>
          <cell r="S26">
            <v>8.1409959760545589E-2</v>
          </cell>
          <cell r="V26">
            <v>37.134264020400003</v>
          </cell>
        </row>
        <row r="27">
          <cell r="A27">
            <v>46219</v>
          </cell>
          <cell r="B27">
            <v>222.7</v>
          </cell>
          <cell r="C27">
            <v>222.7</v>
          </cell>
          <cell r="D27">
            <v>324.81902320080002</v>
          </cell>
          <cell r="E27">
            <v>1593.0550000000001</v>
          </cell>
          <cell r="F27">
            <v>1593.0550000000001</v>
          </cell>
          <cell r="G27">
            <v>1593.0550000000001</v>
          </cell>
          <cell r="H27">
            <v>379.8</v>
          </cell>
          <cell r="I27">
            <v>2029</v>
          </cell>
          <cell r="J27" t="str">
            <v>0</v>
          </cell>
          <cell r="L27">
            <v>65.763945659057654</v>
          </cell>
          <cell r="M27">
            <v>53</v>
          </cell>
          <cell r="N27">
            <v>2527.5639456590579</v>
          </cell>
          <cell r="O27">
            <v>-2.2863429716346784</v>
          </cell>
          <cell r="P27">
            <v>322.53268022916535</v>
          </cell>
          <cell r="Q27">
            <v>222.44900000000001</v>
          </cell>
          <cell r="R27">
            <v>251.85</v>
          </cell>
          <cell r="S27">
            <v>8.1409959760545589E-2</v>
          </cell>
          <cell r="V27">
            <v>45.110299476750001</v>
          </cell>
        </row>
        <row r="28">
          <cell r="A28">
            <v>46220</v>
          </cell>
          <cell r="B28">
            <v>222.35</v>
          </cell>
          <cell r="C28">
            <v>222.35</v>
          </cell>
          <cell r="D28">
            <v>321.62871352439998</v>
          </cell>
          <cell r="E28">
            <v>1175.6389999999999</v>
          </cell>
          <cell r="F28">
            <v>1175.6389999999999</v>
          </cell>
          <cell r="G28">
            <v>1175.6389999999999</v>
          </cell>
          <cell r="H28">
            <v>379.8</v>
          </cell>
          <cell r="I28">
            <v>2029</v>
          </cell>
          <cell r="J28" t="str">
            <v>0</v>
          </cell>
          <cell r="L28">
            <v>22.743870277711249</v>
          </cell>
          <cell r="M28">
            <v>53</v>
          </cell>
          <cell r="N28">
            <v>2484.5438702777114</v>
          </cell>
          <cell r="O28">
            <v>-3.2023293780107434</v>
          </cell>
          <cell r="P28">
            <v>318.42638414638924</v>
          </cell>
          <cell r="Q28">
            <v>221.99799999999999</v>
          </cell>
          <cell r="R28">
            <v>251.85</v>
          </cell>
          <cell r="S28">
            <v>8.1409959760545589E-2</v>
          </cell>
          <cell r="V28">
            <v>33.290393217149997</v>
          </cell>
        </row>
        <row r="29">
          <cell r="A29">
            <v>46221</v>
          </cell>
          <cell r="B29">
            <v>221.96</v>
          </cell>
          <cell r="C29">
            <v>221.96</v>
          </cell>
          <cell r="D29">
            <v>318.07379702783999</v>
          </cell>
          <cell r="E29">
            <v>1232.5709999999999</v>
          </cell>
          <cell r="F29">
            <v>1232.5709999999999</v>
          </cell>
          <cell r="G29">
            <v>1232.5709999999999</v>
          </cell>
          <cell r="H29">
            <v>379.8</v>
          </cell>
          <cell r="I29">
            <v>2029</v>
          </cell>
          <cell r="J29" t="str">
            <v>0</v>
          </cell>
          <cell r="L29">
            <v>55.973906049265196</v>
          </cell>
          <cell r="M29">
            <v>53</v>
          </cell>
          <cell r="N29">
            <v>2517.7739060492654</v>
          </cell>
          <cell r="O29">
            <v>-3.1443408273613684</v>
          </cell>
          <cell r="P29">
            <v>314.92945620047863</v>
          </cell>
          <cell r="Q29">
            <v>221.61500000000001</v>
          </cell>
          <cell r="R29">
            <v>251.85</v>
          </cell>
          <cell r="S29">
            <v>8.1409959760545589E-2</v>
          </cell>
          <cell r="V29">
            <v>34.902528121350002</v>
          </cell>
        </row>
        <row r="30">
          <cell r="A30">
            <v>46222</v>
          </cell>
          <cell r="B30">
            <v>222.77</v>
          </cell>
          <cell r="C30">
            <v>222.77</v>
          </cell>
          <cell r="D30">
            <v>325.45708513608002</v>
          </cell>
          <cell r="E30">
            <v>1062.546</v>
          </cell>
          <cell r="F30">
            <v>1062.546</v>
          </cell>
          <cell r="G30">
            <v>1062.546</v>
          </cell>
          <cell r="H30">
            <v>379.8</v>
          </cell>
          <cell r="I30">
            <v>2029</v>
          </cell>
          <cell r="J30" t="str">
            <v>0</v>
          </cell>
          <cell r="L30">
            <v>56.776761335669256</v>
          </cell>
          <cell r="M30">
            <v>53</v>
          </cell>
          <cell r="N30">
            <v>2518.5767613356693</v>
          </cell>
          <cell r="O30">
            <v>-3.5622833929277653</v>
          </cell>
          <cell r="P30">
            <v>321.89480174315224</v>
          </cell>
          <cell r="Q30">
            <v>222.37899999999999</v>
          </cell>
          <cell r="R30">
            <v>251.85</v>
          </cell>
          <cell r="S30">
            <v>8.1409959760545589E-2</v>
          </cell>
          <cell r="V30">
            <v>30.087955700100004</v>
          </cell>
        </row>
        <row r="31">
          <cell r="A31">
            <v>46223</v>
          </cell>
          <cell r="B31">
            <v>222.84</v>
          </cell>
          <cell r="C31">
            <v>222.84</v>
          </cell>
          <cell r="D31">
            <v>326.09514707135997</v>
          </cell>
          <cell r="E31">
            <v>1444.9780000000001</v>
          </cell>
          <cell r="F31">
            <v>1444.9780000000001</v>
          </cell>
          <cell r="G31">
            <v>1444.9780000000001</v>
          </cell>
          <cell r="H31">
            <v>379.8</v>
          </cell>
          <cell r="I31">
            <v>2029</v>
          </cell>
          <cell r="J31" t="str">
            <v>0</v>
          </cell>
          <cell r="L31">
            <v>46.940010398289644</v>
          </cell>
          <cell r="M31">
            <v>53</v>
          </cell>
          <cell r="N31">
            <v>2508.74001039829</v>
          </cell>
          <cell r="O31">
            <v>-2.6025698386984</v>
          </cell>
          <cell r="P31">
            <v>323.49257723266157</v>
          </cell>
          <cell r="Q31">
            <v>222.554</v>
          </cell>
          <cell r="R31">
            <v>251.85</v>
          </cell>
          <cell r="S31">
            <v>8.1409959760545589E-2</v>
          </cell>
          <cell r="V31">
            <v>40.917225279300006</v>
          </cell>
        </row>
        <row r="32">
          <cell r="A32">
            <v>46224</v>
          </cell>
          <cell r="B32">
            <v>222.59</v>
          </cell>
          <cell r="C32">
            <v>222.59</v>
          </cell>
          <cell r="D32">
            <v>323.81635444535999</v>
          </cell>
          <cell r="E32">
            <v>3048.36</v>
          </cell>
          <cell r="F32">
            <v>3048.36</v>
          </cell>
          <cell r="G32">
            <v>3048.36</v>
          </cell>
          <cell r="H32">
            <v>379.8</v>
          </cell>
          <cell r="I32">
            <v>2029</v>
          </cell>
          <cell r="J32" t="str">
            <v>0</v>
          </cell>
          <cell r="L32">
            <v>54.976817653629368</v>
          </cell>
          <cell r="M32">
            <v>53</v>
          </cell>
          <cell r="N32">
            <v>2516.7768176536297</v>
          </cell>
          <cell r="O32">
            <v>1.3005562744395966</v>
          </cell>
          <cell r="P32">
            <v>325.11691071979959</v>
          </cell>
          <cell r="Q32">
            <v>222.732</v>
          </cell>
          <cell r="R32">
            <v>251.85</v>
          </cell>
          <cell r="S32">
            <v>8.1409959760545589E-2</v>
          </cell>
          <cell r="V32">
            <v>86.319952866000008</v>
          </cell>
        </row>
        <row r="33">
          <cell r="A33">
            <v>46225</v>
          </cell>
          <cell r="B33">
            <v>223.53</v>
          </cell>
          <cell r="C33">
            <v>223.53</v>
          </cell>
          <cell r="D33">
            <v>332.38461471912001</v>
          </cell>
          <cell r="E33">
            <v>1260.8440000000001</v>
          </cell>
          <cell r="F33">
            <v>1260.8440000000001</v>
          </cell>
          <cell r="G33">
            <v>1260.8440000000001</v>
          </cell>
          <cell r="H33">
            <v>379.8</v>
          </cell>
          <cell r="I33">
            <v>2029</v>
          </cell>
          <cell r="J33" t="str">
            <v>0</v>
          </cell>
          <cell r="L33">
            <v>46.532095485632453</v>
          </cell>
          <cell r="M33">
            <v>53</v>
          </cell>
          <cell r="N33">
            <v>2508.3320954856326</v>
          </cell>
          <cell r="O33">
            <v>-3.0520688459541891</v>
          </cell>
          <cell r="P33">
            <v>329.33254587316583</v>
          </cell>
          <cell r="Q33">
            <v>223.19499999999999</v>
          </cell>
          <cell r="R33">
            <v>251.85</v>
          </cell>
          <cell r="S33">
            <v>8.1409959760545589E-2</v>
          </cell>
          <cell r="V33">
            <v>35.703130421400004</v>
          </cell>
        </row>
        <row r="34">
          <cell r="A34">
            <v>46226</v>
          </cell>
          <cell r="B34">
            <v>225.2</v>
          </cell>
          <cell r="C34">
            <v>225.2</v>
          </cell>
          <cell r="D34">
            <v>347.80514502720001</v>
          </cell>
          <cell r="E34">
            <v>1039.883</v>
          </cell>
          <cell r="F34">
            <v>1039.883</v>
          </cell>
          <cell r="G34">
            <v>1039.883</v>
          </cell>
          <cell r="H34">
            <v>379.8</v>
          </cell>
          <cell r="I34">
            <v>2029</v>
          </cell>
          <cell r="J34" t="str">
            <v>0</v>
          </cell>
          <cell r="L34">
            <v>47.197754136512188</v>
          </cell>
          <cell r="M34">
            <v>53</v>
          </cell>
          <cell r="N34">
            <v>2508.9977541365124</v>
          </cell>
          <cell r="O34">
            <v>-3.594294317082193</v>
          </cell>
          <cell r="P34">
            <v>344.21085071011782</v>
          </cell>
          <cell r="Q34">
            <v>224.827</v>
          </cell>
          <cell r="R34">
            <v>251.85</v>
          </cell>
          <cell r="S34">
            <v>8.1409959760545589E-2</v>
          </cell>
          <cell r="V34">
            <v>29.446210928550002</v>
          </cell>
        </row>
        <row r="35">
          <cell r="A35">
            <v>46227</v>
          </cell>
          <cell r="B35">
            <v>225.84</v>
          </cell>
          <cell r="C35">
            <v>225.84</v>
          </cell>
          <cell r="D35">
            <v>354.27307996223999</v>
          </cell>
          <cell r="E35">
            <v>946.4</v>
          </cell>
          <cell r="F35">
            <v>946.4</v>
          </cell>
          <cell r="G35">
            <v>946.4</v>
          </cell>
          <cell r="H35">
            <v>379.8</v>
          </cell>
          <cell r="I35">
            <v>296</v>
          </cell>
          <cell r="J35" t="str">
            <v>0</v>
          </cell>
          <cell r="L35">
            <v>31.205382294049318</v>
          </cell>
          <cell r="M35">
            <v>53</v>
          </cell>
          <cell r="N35">
            <v>760.00538229404924</v>
          </cell>
          <cell r="O35">
            <v>0.45602776316066684</v>
          </cell>
          <cell r="P35">
            <v>354.72910772540064</v>
          </cell>
          <cell r="Q35">
            <v>225.88499999999999</v>
          </cell>
          <cell r="R35">
            <v>251.85</v>
          </cell>
          <cell r="S35">
            <v>1.37613183359058E-2</v>
          </cell>
          <cell r="V35">
            <v>26.799066840000002</v>
          </cell>
        </row>
        <row r="36">
          <cell r="A36">
            <v>46228</v>
          </cell>
          <cell r="B36">
            <v>226.14</v>
          </cell>
          <cell r="C36">
            <v>226.14</v>
          </cell>
          <cell r="D36">
            <v>357.30492446303998</v>
          </cell>
          <cell r="E36">
            <v>1168.336</v>
          </cell>
          <cell r="F36">
            <v>1168.336</v>
          </cell>
          <cell r="G36">
            <v>1168.336</v>
          </cell>
          <cell r="H36">
            <v>379.8</v>
          </cell>
          <cell r="I36">
            <v>296</v>
          </cell>
          <cell r="J36" t="str">
            <v>0</v>
          </cell>
          <cell r="L36">
            <v>14.335564889371941</v>
          </cell>
          <cell r="M36">
            <v>53</v>
          </cell>
          <cell r="N36">
            <v>743.13556488937195</v>
          </cell>
          <cell r="O36">
            <v>1.0402832748332707</v>
          </cell>
          <cell r="P36">
            <v>358.34520773787324</v>
          </cell>
          <cell r="Q36">
            <v>226.24199999999999</v>
          </cell>
          <cell r="R36">
            <v>251.85</v>
          </cell>
          <cell r="S36">
            <v>1.37613183359058E-2</v>
          </cell>
          <cell r="V36">
            <v>33.083595261600003</v>
          </cell>
        </row>
        <row r="37">
          <cell r="A37">
            <v>46229</v>
          </cell>
          <cell r="B37">
            <v>226.33</v>
          </cell>
          <cell r="C37">
            <v>226.33</v>
          </cell>
          <cell r="D37">
            <v>359.22509264688</v>
          </cell>
          <cell r="E37">
            <v>895.08100000000002</v>
          </cell>
          <cell r="F37">
            <v>895.08100000000002</v>
          </cell>
          <cell r="G37">
            <v>895.08100000000002</v>
          </cell>
          <cell r="H37">
            <v>379.8</v>
          </cell>
          <cell r="I37">
            <v>296</v>
          </cell>
          <cell r="J37" t="str">
            <v>0</v>
          </cell>
          <cell r="L37">
            <v>44.5713530300279</v>
          </cell>
          <cell r="M37">
            <v>53</v>
          </cell>
          <cell r="N37">
            <v>773.37135303002788</v>
          </cell>
          <cell r="O37">
            <v>0.29777135598598808</v>
          </cell>
          <cell r="P37">
            <v>359.52286400286602</v>
          </cell>
          <cell r="Q37">
            <v>226.35900000000001</v>
          </cell>
          <cell r="R37">
            <v>251.85</v>
          </cell>
          <cell r="S37">
            <v>1.37613183359058E-2</v>
          </cell>
          <cell r="V37">
            <v>25.345874414850002</v>
          </cell>
        </row>
        <row r="38">
          <cell r="A38">
            <v>46230</v>
          </cell>
          <cell r="B38">
            <v>226.54</v>
          </cell>
          <cell r="C38">
            <v>226.54</v>
          </cell>
          <cell r="D38">
            <v>361.34738379743999</v>
          </cell>
          <cell r="E38">
            <v>787.03700000000003</v>
          </cell>
          <cell r="F38">
            <v>787.03700000000003</v>
          </cell>
          <cell r="G38">
            <v>787.03700000000003</v>
          </cell>
          <cell r="H38">
            <v>379.8</v>
          </cell>
          <cell r="I38">
            <v>296</v>
          </cell>
          <cell r="J38" t="str">
            <v>0</v>
          </cell>
          <cell r="L38">
            <v>30.341580444430733</v>
          </cell>
          <cell r="M38">
            <v>53</v>
          </cell>
          <cell r="N38">
            <v>759.1415804444307</v>
          </cell>
          <cell r="O38">
            <v>6.8248139023106988E-2</v>
          </cell>
          <cell r="P38">
            <v>361.41563193646311</v>
          </cell>
          <cell r="Q38">
            <v>226.54599999999999</v>
          </cell>
          <cell r="R38">
            <v>251.85</v>
          </cell>
          <cell r="S38">
            <v>1.37613183359058E-2</v>
          </cell>
          <cell r="V38">
            <v>22.286408673450001</v>
          </cell>
        </row>
        <row r="39">
          <cell r="A39">
            <v>46231</v>
          </cell>
          <cell r="B39">
            <v>226.69</v>
          </cell>
          <cell r="C39">
            <v>226.69</v>
          </cell>
          <cell r="D39">
            <v>362.86330604784001</v>
          </cell>
          <cell r="E39">
            <v>780.68200000000002</v>
          </cell>
          <cell r="F39">
            <v>780.68200000000002</v>
          </cell>
          <cell r="G39">
            <v>780.68200000000002</v>
          </cell>
          <cell r="H39">
            <v>379.8</v>
          </cell>
          <cell r="I39">
            <v>296</v>
          </cell>
          <cell r="J39" t="str">
            <v>0</v>
          </cell>
          <cell r="L39">
            <v>23.3719224807685</v>
          </cell>
          <cell r="M39">
            <v>53</v>
          </cell>
          <cell r="N39">
            <v>752.17192248076844</v>
          </cell>
          <cell r="O39">
            <v>6.9751943691544221E-2</v>
          </cell>
          <cell r="P39">
            <v>362.93305799153154</v>
          </cell>
          <cell r="Q39">
            <v>226.696</v>
          </cell>
          <cell r="R39">
            <v>251.85</v>
          </cell>
          <cell r="S39">
            <v>1.37613183359058E-2</v>
          </cell>
          <cell r="V39">
            <v>22.106455091700003</v>
          </cell>
        </row>
        <row r="40">
          <cell r="A40">
            <v>46232</v>
          </cell>
          <cell r="B40">
            <v>226.75</v>
          </cell>
          <cell r="C40">
            <v>226.75</v>
          </cell>
          <cell r="D40">
            <v>363.46967494799998</v>
          </cell>
          <cell r="E40">
            <v>2375.9180000000001</v>
          </cell>
          <cell r="F40">
            <v>2375.9180000000001</v>
          </cell>
          <cell r="G40">
            <v>2375.9180000000001</v>
          </cell>
          <cell r="H40">
            <v>379.8</v>
          </cell>
          <cell r="I40">
            <v>296</v>
          </cell>
          <cell r="J40" t="str">
            <v>0</v>
          </cell>
          <cell r="L40">
            <v>42.410016000069611</v>
          </cell>
          <cell r="M40">
            <v>53</v>
          </cell>
          <cell r="N40">
            <v>771.21001600006957</v>
          </cell>
          <cell r="O40">
            <v>3.9260328515708456</v>
          </cell>
          <cell r="P40">
            <v>367.3957077995708</v>
          </cell>
          <cell r="Q40">
            <v>227.13800000000001</v>
          </cell>
          <cell r="R40">
            <v>251.85</v>
          </cell>
          <cell r="S40">
            <v>1.37613183359058E-2</v>
          </cell>
          <cell r="V40">
            <v>67.278513618300011</v>
          </cell>
        </row>
        <row r="41">
          <cell r="A41">
            <v>46233</v>
          </cell>
          <cell r="B41">
            <v>226.78</v>
          </cell>
          <cell r="C41">
            <v>226.78</v>
          </cell>
          <cell r="D41">
            <v>363.77285939808002</v>
          </cell>
          <cell r="E41">
            <v>1060.325</v>
          </cell>
          <cell r="F41">
            <v>1060.325</v>
          </cell>
          <cell r="G41">
            <v>1060.325</v>
          </cell>
          <cell r="H41">
            <v>379.8</v>
          </cell>
          <cell r="I41">
            <v>296</v>
          </cell>
          <cell r="J41" t="str">
            <v>0</v>
          </cell>
          <cell r="L41">
            <v>38.564652816729676</v>
          </cell>
          <cell r="M41">
            <v>53</v>
          </cell>
          <cell r="N41">
            <v>767.36465281672963</v>
          </cell>
          <cell r="O41">
            <v>0.71674844190790155</v>
          </cell>
          <cell r="P41">
            <v>364.48960783998791</v>
          </cell>
          <cell r="Q41">
            <v>226.85</v>
          </cell>
          <cell r="R41">
            <v>251.85</v>
          </cell>
          <cell r="S41">
            <v>1.37613183359058E-2</v>
          </cell>
          <cell r="V41">
            <v>30.025063976250003</v>
          </cell>
        </row>
        <row r="42">
          <cell r="A42">
            <v>46234</v>
          </cell>
          <cell r="B42">
            <v>226.84</v>
          </cell>
          <cell r="C42">
            <v>226.84</v>
          </cell>
          <cell r="D42">
            <v>364.37922829823998</v>
          </cell>
          <cell r="E42">
            <v>882.37</v>
          </cell>
          <cell r="F42">
            <v>882.37</v>
          </cell>
          <cell r="G42">
            <v>882.37</v>
          </cell>
          <cell r="H42">
            <v>379.8</v>
          </cell>
          <cell r="I42">
            <v>0</v>
          </cell>
          <cell r="J42" t="str">
            <v>0</v>
          </cell>
          <cell r="L42">
            <v>57.637874283594222</v>
          </cell>
          <cell r="M42">
            <v>53</v>
          </cell>
          <cell r="N42">
            <v>490.43787428359423</v>
          </cell>
          <cell r="O42">
            <v>0.95888997655081798</v>
          </cell>
          <cell r="P42">
            <v>365.33811827479082</v>
          </cell>
          <cell r="Q42">
            <v>226.934</v>
          </cell>
          <cell r="R42">
            <v>251.85</v>
          </cell>
          <cell r="S42">
            <v>2.0929388252833997E-3</v>
          </cell>
          <cell r="V42">
            <v>24.985938934500002</v>
          </cell>
        </row>
        <row r="43">
          <cell r="A43">
            <v>46235</v>
          </cell>
          <cell r="B43">
            <v>226.98</v>
          </cell>
          <cell r="C43">
            <v>226.98</v>
          </cell>
          <cell r="D43">
            <v>365.79408906527999</v>
          </cell>
          <cell r="E43">
            <v>2001.6969999999999</v>
          </cell>
          <cell r="F43">
            <v>2001.6969999999999</v>
          </cell>
          <cell r="G43">
            <v>2001.6969999999999</v>
          </cell>
          <cell r="H43">
            <v>379.8</v>
          </cell>
          <cell r="I43">
            <v>0</v>
          </cell>
          <cell r="J43" t="str">
            <v>0</v>
          </cell>
          <cell r="L43">
            <v>54.311214824143683</v>
          </cell>
          <cell r="M43">
            <v>53</v>
          </cell>
          <cell r="N43">
            <v>487.1112148241437</v>
          </cell>
          <cell r="O43">
            <v>3.7055424466080877</v>
          </cell>
          <cell r="P43">
            <v>369.49963151188808</v>
          </cell>
          <cell r="Q43">
            <v>227.346</v>
          </cell>
          <cell r="R43">
            <v>251.85</v>
          </cell>
          <cell r="S43">
            <v>2.0929388252833997E-3</v>
          </cell>
          <cell r="V43">
            <v>56.681753694450002</v>
          </cell>
        </row>
        <row r="44">
          <cell r="A44">
            <v>46236</v>
          </cell>
          <cell r="B44">
            <v>227.1</v>
          </cell>
          <cell r="C44">
            <v>227.1</v>
          </cell>
          <cell r="D44">
            <v>367.00682686559998</v>
          </cell>
          <cell r="E44">
            <v>1681.2629999999999</v>
          </cell>
          <cell r="F44">
            <v>1681.2629999999999</v>
          </cell>
          <cell r="G44">
            <v>1681.2629999999999</v>
          </cell>
          <cell r="H44">
            <v>379.8</v>
          </cell>
          <cell r="I44">
            <v>0</v>
          </cell>
          <cell r="J44" t="str">
            <v>0</v>
          </cell>
          <cell r="L44">
            <v>54.65976796811816</v>
          </cell>
          <cell r="M44">
            <v>53</v>
          </cell>
          <cell r="N44">
            <v>487.45976796811817</v>
          </cell>
          <cell r="O44">
            <v>2.9207249879731529</v>
          </cell>
          <cell r="P44">
            <v>369.92755185357311</v>
          </cell>
          <cell r="Q44">
            <v>227.38900000000001</v>
          </cell>
          <cell r="R44">
            <v>251.85</v>
          </cell>
          <cell r="S44">
            <v>2.0929388252833997E-3</v>
          </cell>
          <cell r="V44">
            <v>47.60807218155</v>
          </cell>
        </row>
        <row r="45">
          <cell r="A45">
            <v>46237</v>
          </cell>
          <cell r="B45">
            <v>227.23</v>
          </cell>
          <cell r="C45">
            <v>227.23</v>
          </cell>
          <cell r="D45">
            <v>368.32062614927997</v>
          </cell>
          <cell r="E45">
            <v>1449.335</v>
          </cell>
          <cell r="F45">
            <v>1449.335</v>
          </cell>
          <cell r="G45">
            <v>1449.335</v>
          </cell>
          <cell r="H45">
            <v>379.8</v>
          </cell>
          <cell r="I45">
            <v>0</v>
          </cell>
          <cell r="J45" t="str">
            <v>0</v>
          </cell>
          <cell r="L45">
            <v>50.629029113108096</v>
          </cell>
          <cell r="M45">
            <v>53</v>
          </cell>
          <cell r="N45">
            <v>483.42902911310813</v>
          </cell>
          <cell r="O45">
            <v>2.3631580393698188</v>
          </cell>
          <cell r="P45">
            <v>370.68378418864978</v>
          </cell>
          <cell r="Q45">
            <v>227.46299999999999</v>
          </cell>
          <cell r="R45">
            <v>251.85</v>
          </cell>
          <cell r="S45">
            <v>2.0929388252833997E-3</v>
          </cell>
          <cell r="V45">
            <v>41.040601794750003</v>
          </cell>
        </row>
        <row r="46">
          <cell r="A46">
            <v>46238</v>
          </cell>
          <cell r="B46">
            <v>227.34</v>
          </cell>
          <cell r="C46">
            <v>227.34</v>
          </cell>
          <cell r="D46">
            <v>369.43230246624</v>
          </cell>
          <cell r="E46">
            <v>1302.854</v>
          </cell>
          <cell r="F46">
            <v>1302.854</v>
          </cell>
          <cell r="G46">
            <v>1302.854</v>
          </cell>
          <cell r="H46">
            <v>379.8</v>
          </cell>
          <cell r="I46">
            <v>0</v>
          </cell>
          <cell r="J46" t="str">
            <v>0</v>
          </cell>
          <cell r="L46">
            <v>47.740217771326094</v>
          </cell>
          <cell r="M46">
            <v>53</v>
          </cell>
          <cell r="N46">
            <v>480.54021777132613</v>
          </cell>
          <cell r="O46">
            <v>2.0118494801041558</v>
          </cell>
          <cell r="P46">
            <v>371.44415194634416</v>
          </cell>
          <cell r="Q46">
            <v>227.53899999999999</v>
          </cell>
          <cell r="R46">
            <v>251.85</v>
          </cell>
          <cell r="S46">
            <v>2.0929388252833997E-3</v>
          </cell>
          <cell r="V46">
            <v>36.892721289900003</v>
          </cell>
        </row>
        <row r="47">
          <cell r="A47">
            <v>46239</v>
          </cell>
          <cell r="B47">
            <v>228.11</v>
          </cell>
          <cell r="C47">
            <v>228.11</v>
          </cell>
          <cell r="D47">
            <v>377.21403668495998</v>
          </cell>
          <cell r="E47">
            <v>1237.751</v>
          </cell>
          <cell r="F47">
            <v>1237.751</v>
          </cell>
          <cell r="G47">
            <v>1237.751</v>
          </cell>
          <cell r="H47">
            <v>379.8</v>
          </cell>
          <cell r="I47">
            <v>0</v>
          </cell>
          <cell r="J47" t="str">
            <v>0</v>
          </cell>
          <cell r="L47">
            <v>67.985305903055988</v>
          </cell>
          <cell r="M47">
            <v>53</v>
          </cell>
          <cell r="N47">
            <v>500.78530590305598</v>
          </cell>
          <cell r="O47">
            <v>1.803039278394615</v>
          </cell>
          <cell r="P47">
            <v>379.01707596335461</v>
          </cell>
          <cell r="Q47">
            <v>228.28800000000001</v>
          </cell>
          <cell r="R47">
            <v>251.85</v>
          </cell>
          <cell r="S47">
            <v>2.0929388252833997E-3</v>
          </cell>
          <cell r="V47">
            <v>35.049209404350002</v>
          </cell>
        </row>
        <row r="48">
          <cell r="A48">
            <v>46240</v>
          </cell>
          <cell r="B48">
            <v>228.67</v>
          </cell>
          <cell r="C48">
            <v>228.67</v>
          </cell>
          <cell r="D48">
            <v>382.87347975312002</v>
          </cell>
          <cell r="E48">
            <v>1168.58</v>
          </cell>
          <cell r="F48">
            <v>1168.58</v>
          </cell>
          <cell r="G48">
            <v>1168.58</v>
          </cell>
          <cell r="H48">
            <v>379.8</v>
          </cell>
          <cell r="I48">
            <v>0</v>
          </cell>
          <cell r="J48" t="str">
            <v>0</v>
          </cell>
          <cell r="L48">
            <v>62.37067522469556</v>
          </cell>
          <cell r="M48">
            <v>53</v>
          </cell>
          <cell r="N48">
            <v>495.17067522469557</v>
          </cell>
          <cell r="O48">
            <v>1.6475440752976902</v>
          </cell>
          <cell r="P48">
            <v>384.5210238284177</v>
          </cell>
          <cell r="Q48">
            <v>228.833</v>
          </cell>
          <cell r="R48">
            <v>251.85</v>
          </cell>
          <cell r="S48">
            <v>2.0929388252833997E-3</v>
          </cell>
          <cell r="V48">
            <v>33.090504572999997</v>
          </cell>
        </row>
        <row r="49">
          <cell r="A49">
            <v>46241</v>
          </cell>
          <cell r="B49">
            <v>228.85</v>
          </cell>
          <cell r="C49">
            <v>228.85</v>
          </cell>
          <cell r="D49">
            <v>384.69258645359997</v>
          </cell>
          <cell r="E49">
            <v>1111.615</v>
          </cell>
          <cell r="F49">
            <v>1111.615</v>
          </cell>
          <cell r="G49">
            <v>1111.615</v>
          </cell>
          <cell r="H49">
            <v>379.8</v>
          </cell>
          <cell r="I49">
            <v>0</v>
          </cell>
          <cell r="J49" t="str">
            <v>0</v>
          </cell>
          <cell r="L49">
            <v>51.222417892418939</v>
          </cell>
          <cell r="M49">
            <v>53</v>
          </cell>
          <cell r="N49">
            <v>484.02241789241896</v>
          </cell>
          <cell r="O49">
            <v>1.5354501375476692</v>
          </cell>
          <cell r="P49">
            <v>386.22803659114766</v>
          </cell>
          <cell r="Q49">
            <v>229.001</v>
          </cell>
          <cell r="R49">
            <v>251.85</v>
          </cell>
          <cell r="S49">
            <v>2.0929388252833997E-3</v>
          </cell>
          <cell r="V49">
            <v>31.477435212750002</v>
          </cell>
        </row>
        <row r="50">
          <cell r="A50">
            <v>46242</v>
          </cell>
          <cell r="B50">
            <v>228.97</v>
          </cell>
          <cell r="C50">
            <v>228.97</v>
          </cell>
          <cell r="D50">
            <v>385.90532425392001</v>
          </cell>
          <cell r="E50">
            <v>1291.133</v>
          </cell>
          <cell r="F50">
            <v>1291.133</v>
          </cell>
          <cell r="G50">
            <v>1291.133</v>
          </cell>
          <cell r="H50">
            <v>379.8</v>
          </cell>
          <cell r="I50">
            <v>0</v>
          </cell>
          <cell r="J50" t="str">
            <v>0</v>
          </cell>
          <cell r="L50">
            <v>69.333238058036116</v>
          </cell>
          <cell r="M50">
            <v>53</v>
          </cell>
          <cell r="N50">
            <v>502.13323805803611</v>
          </cell>
          <cell r="O50">
            <v>1.9303443468539889</v>
          </cell>
          <cell r="P50">
            <v>387.835668600774</v>
          </cell>
          <cell r="Q50">
            <v>229.161</v>
          </cell>
          <cell r="R50">
            <v>251.85</v>
          </cell>
          <cell r="S50">
            <v>2.0929388252833997E-3</v>
          </cell>
          <cell r="V50">
            <v>36.560819491050005</v>
          </cell>
        </row>
        <row r="51">
          <cell r="A51">
            <v>46243</v>
          </cell>
          <cell r="B51">
            <v>229.15</v>
          </cell>
          <cell r="C51">
            <v>229.15</v>
          </cell>
          <cell r="D51">
            <v>387.72443095440002</v>
          </cell>
          <cell r="E51">
            <v>2279.4830000000002</v>
          </cell>
          <cell r="F51">
            <v>2279.4830000000002</v>
          </cell>
          <cell r="G51">
            <v>2279.4830000000002</v>
          </cell>
          <cell r="H51">
            <v>379.8</v>
          </cell>
          <cell r="I51">
            <v>0</v>
          </cell>
          <cell r="J51" t="str">
            <v>0</v>
          </cell>
          <cell r="L51">
            <v>56.730415147329218</v>
          </cell>
          <cell r="M51">
            <v>53</v>
          </cell>
          <cell r="N51">
            <v>489.53041514732922</v>
          </cell>
          <cell r="O51">
            <v>4.379247016250928</v>
          </cell>
          <cell r="P51">
            <v>392.10367797065095</v>
          </cell>
          <cell r="Q51">
            <v>229.583</v>
          </cell>
          <cell r="R51">
            <v>251.85</v>
          </cell>
          <cell r="S51">
            <v>2.0929388252833997E-3</v>
          </cell>
          <cell r="V51">
            <v>64.547778188550012</v>
          </cell>
        </row>
        <row r="52">
          <cell r="A52">
            <v>46244</v>
          </cell>
          <cell r="B52">
            <v>229.26</v>
          </cell>
          <cell r="C52">
            <v>229.26</v>
          </cell>
          <cell r="D52">
            <v>388.83610727135999</v>
          </cell>
          <cell r="E52">
            <v>3984.998</v>
          </cell>
          <cell r="F52">
            <v>3984.998</v>
          </cell>
          <cell r="G52">
            <v>3984.998</v>
          </cell>
          <cell r="H52">
            <v>379.8</v>
          </cell>
          <cell r="I52">
            <v>0</v>
          </cell>
          <cell r="J52" t="str">
            <v>0</v>
          </cell>
          <cell r="L52">
            <v>50.227811126182772</v>
          </cell>
          <cell r="M52">
            <v>53</v>
          </cell>
          <cell r="N52">
            <v>483.02781112618277</v>
          </cell>
          <cell r="O52">
            <v>8.5678205279877027</v>
          </cell>
          <cell r="P52">
            <v>397.40392779934768</v>
          </cell>
          <cell r="Q52">
            <v>230.09800000000001</v>
          </cell>
          <cell r="R52">
            <v>251.85</v>
          </cell>
          <cell r="S52">
            <v>2.0929388252833997E-3</v>
          </cell>
          <cell r="V52">
            <v>112.8425906163</v>
          </cell>
        </row>
        <row r="53">
          <cell r="A53">
            <v>46245</v>
          </cell>
          <cell r="B53">
            <v>229.35</v>
          </cell>
          <cell r="C53">
            <v>229.35</v>
          </cell>
          <cell r="D53">
            <v>389.7456606216</v>
          </cell>
          <cell r="E53">
            <v>2038.9069999999999</v>
          </cell>
          <cell r="F53">
            <v>2038.9069999999999</v>
          </cell>
          <cell r="G53">
            <v>2038.9069999999999</v>
          </cell>
          <cell r="H53">
            <v>379.8</v>
          </cell>
          <cell r="I53">
            <v>0</v>
          </cell>
          <cell r="J53" t="str">
            <v>0</v>
          </cell>
          <cell r="L53">
            <v>52.749343613177402</v>
          </cell>
          <cell r="M53">
            <v>53</v>
          </cell>
          <cell r="N53">
            <v>485.54934361317743</v>
          </cell>
          <cell r="O53">
            <v>3.8004006024899466</v>
          </cell>
          <cell r="P53">
            <v>393.54606122408995</v>
          </cell>
          <cell r="Q53">
            <v>229.726</v>
          </cell>
          <cell r="R53">
            <v>251.85</v>
          </cell>
          <cell r="S53">
            <v>2.0929388252833997E-3</v>
          </cell>
          <cell r="V53">
            <v>57.73542368295</v>
          </cell>
        </row>
        <row r="54">
          <cell r="A54">
            <v>46246</v>
          </cell>
          <cell r="B54">
            <v>229.45</v>
          </cell>
          <cell r="C54">
            <v>229.45</v>
          </cell>
          <cell r="D54">
            <v>390.75627545520001</v>
          </cell>
          <cell r="E54">
            <v>1647.97</v>
          </cell>
          <cell r="F54">
            <v>1647.97</v>
          </cell>
          <cell r="G54">
            <v>1647.97</v>
          </cell>
          <cell r="H54">
            <v>379.8</v>
          </cell>
          <cell r="I54">
            <v>0</v>
          </cell>
          <cell r="J54" t="str">
            <v>0</v>
          </cell>
          <cell r="L54">
            <v>63.326146977344905</v>
          </cell>
          <cell r="M54">
            <v>53</v>
          </cell>
          <cell r="N54">
            <v>496.12614697734489</v>
          </cell>
          <cell r="O54">
            <v>2.8180683662922936</v>
          </cell>
          <cell r="P54">
            <v>393.57434382149228</v>
          </cell>
          <cell r="Q54">
            <v>229.72800000000001</v>
          </cell>
          <cell r="R54">
            <v>251.85</v>
          </cell>
          <cell r="S54">
            <v>2.0929388252833997E-3</v>
          </cell>
          <cell r="V54">
            <v>46.665319294500001</v>
          </cell>
        </row>
        <row r="55">
          <cell r="A55">
            <v>46247</v>
          </cell>
          <cell r="B55">
            <v>229.51</v>
          </cell>
          <cell r="C55">
            <v>229.51</v>
          </cell>
          <cell r="D55">
            <v>391.36264435535998</v>
          </cell>
          <cell r="E55">
            <v>2004.539</v>
          </cell>
          <cell r="F55">
            <v>2004.539</v>
          </cell>
          <cell r="G55">
            <v>2004.539</v>
          </cell>
          <cell r="H55">
            <v>379.8</v>
          </cell>
          <cell r="I55">
            <v>0</v>
          </cell>
          <cell r="J55" t="str">
            <v>0</v>
          </cell>
          <cell r="L55">
            <v>84.522129387860673</v>
          </cell>
          <cell r="M55">
            <v>53</v>
          </cell>
          <cell r="N55">
            <v>517.32212938786074</v>
          </cell>
          <cell r="O55">
            <v>3.638582439703185</v>
          </cell>
          <cell r="P55">
            <v>395.00122679506313</v>
          </cell>
          <cell r="Q55">
            <v>229.87</v>
          </cell>
          <cell r="R55">
            <v>251.85</v>
          </cell>
          <cell r="S55">
            <v>2.0929388252833997E-3</v>
          </cell>
          <cell r="V55">
            <v>56.762230182149999</v>
          </cell>
        </row>
        <row r="56">
          <cell r="A56">
            <v>46248</v>
          </cell>
          <cell r="B56">
            <v>229.58</v>
          </cell>
          <cell r="C56">
            <v>229.58</v>
          </cell>
          <cell r="D56">
            <v>392.07007473888001</v>
          </cell>
          <cell r="E56">
            <v>1476.13</v>
          </cell>
          <cell r="F56">
            <v>1476.13</v>
          </cell>
          <cell r="G56">
            <v>1476.13</v>
          </cell>
          <cell r="H56">
            <v>379.8</v>
          </cell>
          <cell r="I56">
            <v>0</v>
          </cell>
          <cell r="J56" t="str">
            <v>0</v>
          </cell>
          <cell r="L56">
            <v>80.655761061266162</v>
          </cell>
          <cell r="M56">
            <v>53</v>
          </cell>
          <cell r="N56">
            <v>513.45576106126623</v>
          </cell>
          <cell r="O56">
            <v>2.3552513760251812</v>
          </cell>
          <cell r="P56">
            <v>394.4253261149052</v>
          </cell>
          <cell r="Q56">
            <v>229.81299999999999</v>
          </cell>
          <cell r="R56">
            <v>251.85</v>
          </cell>
          <cell r="S56">
            <v>2.0929388252833997E-3</v>
          </cell>
          <cell r="V56">
            <v>41.799351790500005</v>
          </cell>
        </row>
        <row r="57">
          <cell r="A57">
            <v>46249</v>
          </cell>
          <cell r="B57">
            <v>229.67</v>
          </cell>
          <cell r="C57">
            <v>229.67</v>
          </cell>
          <cell r="D57">
            <v>392.97962808912001</v>
          </cell>
          <cell r="E57">
            <v>1557.066</v>
          </cell>
          <cell r="F57">
            <v>1557.066</v>
          </cell>
          <cell r="G57">
            <v>1557.066</v>
          </cell>
          <cell r="H57">
            <v>379.8</v>
          </cell>
          <cell r="I57">
            <v>0</v>
          </cell>
          <cell r="J57" t="str">
            <v>0</v>
          </cell>
          <cell r="L57">
            <v>70.936071513566844</v>
          </cell>
          <cell r="M57">
            <v>53</v>
          </cell>
          <cell r="N57">
            <v>503.73607151356686</v>
          </cell>
          <cell r="O57">
            <v>2.5770470041985436</v>
          </cell>
          <cell r="P57">
            <v>395.55667509331857</v>
          </cell>
          <cell r="Q57">
            <v>229.92400000000001</v>
          </cell>
          <cell r="R57">
            <v>251.85</v>
          </cell>
          <cell r="S57">
            <v>2.0929388252833997E-3</v>
          </cell>
          <cell r="V57">
            <v>44.091204362100001</v>
          </cell>
        </row>
        <row r="58">
          <cell r="A58">
            <v>46250</v>
          </cell>
          <cell r="B58">
            <v>229.9</v>
          </cell>
          <cell r="C58">
            <v>229.9</v>
          </cell>
          <cell r="D58">
            <v>395.30404220640003</v>
          </cell>
          <cell r="E58">
            <v>1340.9280000000001</v>
          </cell>
          <cell r="F58">
            <v>1340.9280000000001</v>
          </cell>
          <cell r="G58">
            <v>1340.9280000000001</v>
          </cell>
          <cell r="H58">
            <v>379.8</v>
          </cell>
          <cell r="I58">
            <v>0</v>
          </cell>
          <cell r="J58" t="str">
            <v>0</v>
          </cell>
          <cell r="L58">
            <v>76.84173866406077</v>
          </cell>
          <cell r="M58">
            <v>53</v>
          </cell>
          <cell r="N58">
            <v>509.64173866406077</v>
          </cell>
          <cell r="O58">
            <v>2.0338012919517858</v>
          </cell>
          <cell r="P58">
            <v>397.33784349835179</v>
          </cell>
          <cell r="Q58">
            <v>230.09200000000001</v>
          </cell>
          <cell r="R58">
            <v>251.85</v>
          </cell>
          <cell r="S58">
            <v>2.0929388252833997E-3</v>
          </cell>
          <cell r="V58">
            <v>37.970857036800005</v>
          </cell>
        </row>
        <row r="59">
          <cell r="A59">
            <v>46251</v>
          </cell>
          <cell r="B59">
            <v>230.11</v>
          </cell>
          <cell r="C59">
            <v>230.11</v>
          </cell>
          <cell r="D59">
            <v>397.53289862807998</v>
          </cell>
          <cell r="E59">
            <v>1828.0440000000001</v>
          </cell>
          <cell r="F59">
            <v>1828.0440000000001</v>
          </cell>
          <cell r="G59">
            <v>1828.0440000000001</v>
          </cell>
          <cell r="H59">
            <v>379.8</v>
          </cell>
          <cell r="I59">
            <v>0</v>
          </cell>
          <cell r="J59" t="str">
            <v>0</v>
          </cell>
          <cell r="L59">
            <v>59.532316028021171</v>
          </cell>
          <cell r="M59">
            <v>53</v>
          </cell>
          <cell r="N59">
            <v>492.33231602802118</v>
          </cell>
          <cell r="O59">
            <v>3.2679141649370838</v>
          </cell>
          <cell r="P59">
            <v>400.80081279301709</v>
          </cell>
          <cell r="Q59">
            <v>230.405</v>
          </cell>
          <cell r="R59">
            <v>251.85</v>
          </cell>
          <cell r="S59">
            <v>2.0929388252833997E-3</v>
          </cell>
          <cell r="V59">
            <v>51.764447741400005</v>
          </cell>
        </row>
        <row r="60">
          <cell r="A60">
            <v>46252</v>
          </cell>
          <cell r="B60">
            <v>230.23</v>
          </cell>
          <cell r="C60">
            <v>230.23</v>
          </cell>
          <cell r="D60">
            <v>398.86188945143999</v>
          </cell>
          <cell r="E60">
            <v>3870.3240000000001</v>
          </cell>
          <cell r="F60">
            <v>3870.3240000000001</v>
          </cell>
          <cell r="G60">
            <v>3870.3240000000001</v>
          </cell>
          <cell r="H60">
            <v>379.8</v>
          </cell>
          <cell r="I60">
            <v>0</v>
          </cell>
          <cell r="J60" t="str">
            <v>0</v>
          </cell>
          <cell r="L60">
            <v>33.815692965045905</v>
          </cell>
          <cell r="M60">
            <v>53</v>
          </cell>
          <cell r="N60">
            <v>466.61569296504592</v>
          </cell>
          <cell r="O60">
            <v>8.3274158063791326</v>
          </cell>
          <cell r="P60">
            <v>407.18930525781911</v>
          </cell>
          <cell r="Q60">
            <v>230.98099999999999</v>
          </cell>
          <cell r="R60">
            <v>251.85</v>
          </cell>
          <cell r="S60">
            <v>2.0929388252833997E-3</v>
          </cell>
          <cell r="V60">
            <v>109.59538415940001</v>
          </cell>
        </row>
        <row r="61">
          <cell r="A61">
            <v>46253</v>
          </cell>
          <cell r="B61">
            <v>230.33</v>
          </cell>
          <cell r="C61">
            <v>230.33</v>
          </cell>
          <cell r="D61">
            <v>399.96938180424002</v>
          </cell>
          <cell r="E61">
            <v>1593.5070000000001</v>
          </cell>
          <cell r="F61">
            <v>1593.5070000000001</v>
          </cell>
          <cell r="G61">
            <v>1593.5070000000001</v>
          </cell>
          <cell r="H61">
            <v>379.8</v>
          </cell>
          <cell r="I61">
            <v>0</v>
          </cell>
          <cell r="J61" t="str">
            <v>0</v>
          </cell>
          <cell r="L61">
            <v>66.934645447013736</v>
          </cell>
          <cell r="M61">
            <v>53</v>
          </cell>
          <cell r="N61">
            <v>499.73464544701375</v>
          </cell>
          <cell r="O61">
            <v>2.6759922920126789</v>
          </cell>
          <cell r="P61">
            <v>402.64537409625268</v>
          </cell>
          <cell r="Q61">
            <v>230.571</v>
          </cell>
          <cell r="R61">
            <v>251.85</v>
          </cell>
          <cell r="S61">
            <v>2.0929388252833997E-3</v>
          </cell>
          <cell r="V61">
            <v>45.123098692950002</v>
          </cell>
        </row>
        <row r="62">
          <cell r="A62">
            <v>46254</v>
          </cell>
          <cell r="B62">
            <v>230.44</v>
          </cell>
          <cell r="C62">
            <v>230.44</v>
          </cell>
          <cell r="D62">
            <v>401.18762339232001</v>
          </cell>
          <cell r="E62">
            <v>1312.0619999999999</v>
          </cell>
          <cell r="F62">
            <v>1312.0619999999999</v>
          </cell>
          <cell r="G62">
            <v>1312.0619999999999</v>
          </cell>
          <cell r="H62">
            <v>379.8</v>
          </cell>
          <cell r="I62">
            <v>0</v>
          </cell>
          <cell r="J62" t="str">
            <v>0</v>
          </cell>
          <cell r="L62">
            <v>92.536416301830059</v>
          </cell>
          <cell r="M62">
            <v>53</v>
          </cell>
          <cell r="N62">
            <v>525.33641630183001</v>
          </cell>
          <cell r="O62">
            <v>1.9247804071313186</v>
          </cell>
          <cell r="P62">
            <v>403.11240379945133</v>
          </cell>
          <cell r="Q62">
            <v>230.613</v>
          </cell>
          <cell r="R62">
            <v>251.85</v>
          </cell>
          <cell r="S62">
            <v>2.0929388252833997E-3</v>
          </cell>
          <cell r="V62">
            <v>37.153462844700002</v>
          </cell>
        </row>
        <row r="63">
          <cell r="A63">
            <v>46255</v>
          </cell>
          <cell r="B63">
            <v>230.58</v>
          </cell>
          <cell r="C63">
            <v>230.58</v>
          </cell>
          <cell r="D63">
            <v>402.73811268624002</v>
          </cell>
          <cell r="E63">
            <v>1192.989</v>
          </cell>
          <cell r="F63">
            <v>1192.989</v>
          </cell>
          <cell r="G63">
            <v>1192.989</v>
          </cell>
          <cell r="H63">
            <v>379.8</v>
          </cell>
          <cell r="I63">
            <v>300</v>
          </cell>
          <cell r="J63" t="str">
            <v>0</v>
          </cell>
          <cell r="L63">
            <v>80.795818918825859</v>
          </cell>
          <cell r="M63">
            <v>53</v>
          </cell>
          <cell r="N63">
            <v>813.59581891882578</v>
          </cell>
          <cell r="O63">
            <v>0.92821255171540362</v>
          </cell>
          <cell r="P63">
            <v>403.66632523795539</v>
          </cell>
          <cell r="Q63">
            <v>230.66300000000001</v>
          </cell>
          <cell r="R63">
            <v>251.85</v>
          </cell>
          <cell r="S63">
            <v>1.3918762945303399E-2</v>
          </cell>
          <cell r="V63">
            <v>33.781690564649999</v>
          </cell>
        </row>
        <row r="64">
          <cell r="A64">
            <v>46256</v>
          </cell>
          <cell r="B64">
            <v>230.79</v>
          </cell>
          <cell r="C64">
            <v>230.79</v>
          </cell>
          <cell r="D64">
            <v>405.06384662711997</v>
          </cell>
          <cell r="E64">
            <v>1707.537</v>
          </cell>
          <cell r="F64">
            <v>1707.537</v>
          </cell>
          <cell r="G64">
            <v>1707.537</v>
          </cell>
          <cell r="H64">
            <v>379.8</v>
          </cell>
          <cell r="I64">
            <v>300</v>
          </cell>
          <cell r="J64" t="str">
            <v>0</v>
          </cell>
          <cell r="L64">
            <v>83.289565114817066</v>
          </cell>
          <cell r="M64">
            <v>53</v>
          </cell>
          <cell r="N64">
            <v>816.08956511481699</v>
          </cell>
          <cell r="O64">
            <v>2.1809899057671434</v>
          </cell>
          <cell r="P64">
            <v>407.24483653288712</v>
          </cell>
          <cell r="Q64">
            <v>230.98599999999999</v>
          </cell>
          <cell r="R64">
            <v>251.85</v>
          </cell>
          <cell r="S64">
            <v>1.3918762945303399E-2</v>
          </cell>
          <cell r="V64">
            <v>48.352069098450002</v>
          </cell>
        </row>
        <row r="65">
          <cell r="A65">
            <v>46257</v>
          </cell>
          <cell r="B65">
            <v>231.52</v>
          </cell>
          <cell r="C65">
            <v>231.52</v>
          </cell>
          <cell r="D65">
            <v>413.14854080255998</v>
          </cell>
          <cell r="E65">
            <v>1312.771</v>
          </cell>
          <cell r="F65">
            <v>1312.771</v>
          </cell>
          <cell r="G65">
            <v>1312.771</v>
          </cell>
          <cell r="H65">
            <v>379.8</v>
          </cell>
          <cell r="I65">
            <v>300</v>
          </cell>
          <cell r="J65" t="str">
            <v>0</v>
          </cell>
          <cell r="L65">
            <v>74.9943809413368</v>
          </cell>
          <cell r="M65">
            <v>53</v>
          </cell>
          <cell r="N65">
            <v>807.79438094133673</v>
          </cell>
          <cell r="O65">
            <v>1.2354614144548146</v>
          </cell>
          <cell r="P65">
            <v>414.38400221701477</v>
          </cell>
          <cell r="Q65">
            <v>231.631</v>
          </cell>
          <cell r="R65">
            <v>251.85</v>
          </cell>
          <cell r="S65">
            <v>1.3918762945303399E-2</v>
          </cell>
          <cell r="V65">
            <v>37.173539491349999</v>
          </cell>
        </row>
        <row r="66">
          <cell r="A66">
            <v>46258</v>
          </cell>
          <cell r="B66">
            <v>231.75</v>
          </cell>
          <cell r="C66">
            <v>231.75</v>
          </cell>
          <cell r="D66">
            <v>415.69577321399998</v>
          </cell>
          <cell r="E66">
            <v>1151.605</v>
          </cell>
          <cell r="F66">
            <v>1151.605</v>
          </cell>
          <cell r="G66">
            <v>1151.605</v>
          </cell>
          <cell r="H66">
            <v>379.8</v>
          </cell>
          <cell r="I66">
            <v>300</v>
          </cell>
          <cell r="J66" t="str">
            <v>0</v>
          </cell>
          <cell r="L66">
            <v>67.072446896029362</v>
          </cell>
          <cell r="M66">
            <v>53</v>
          </cell>
          <cell r="N66">
            <v>799.87244689602926</v>
          </cell>
          <cell r="O66">
            <v>0.86053884708106243</v>
          </cell>
          <cell r="P66">
            <v>416.55631206108103</v>
          </cell>
          <cell r="Q66">
            <v>231.827</v>
          </cell>
          <cell r="R66">
            <v>251.85</v>
          </cell>
          <cell r="S66">
            <v>1.3918762945303399E-2</v>
          </cell>
          <cell r="V66">
            <v>32.609826044249999</v>
          </cell>
        </row>
        <row r="67">
          <cell r="A67">
            <v>46259</v>
          </cell>
          <cell r="B67">
            <v>231.88</v>
          </cell>
          <cell r="C67">
            <v>231.88</v>
          </cell>
          <cell r="D67">
            <v>417.13551327264003</v>
          </cell>
          <cell r="E67">
            <v>1142.124</v>
          </cell>
          <cell r="F67">
            <v>1142.124</v>
          </cell>
          <cell r="G67">
            <v>1142.124</v>
          </cell>
          <cell r="H67">
            <v>379.8</v>
          </cell>
          <cell r="I67">
            <v>300</v>
          </cell>
          <cell r="J67" t="str">
            <v>0</v>
          </cell>
          <cell r="L67">
            <v>52.969120209127361</v>
          </cell>
          <cell r="M67">
            <v>53</v>
          </cell>
          <cell r="N67">
            <v>785.76912020912732</v>
          </cell>
          <cell r="O67">
            <v>0.87184769990937272</v>
          </cell>
          <cell r="P67">
            <v>418.00736097254941</v>
          </cell>
          <cell r="Q67">
            <v>231.958</v>
          </cell>
          <cell r="R67">
            <v>251.85</v>
          </cell>
          <cell r="S67">
            <v>1.3918762945303399E-2</v>
          </cell>
          <cell r="V67">
            <v>32.341353989400005</v>
          </cell>
        </row>
        <row r="68">
          <cell r="A68">
            <v>46260</v>
          </cell>
          <cell r="B68">
            <v>232.04</v>
          </cell>
          <cell r="C68">
            <v>232.04</v>
          </cell>
          <cell r="D68">
            <v>418.90750103712003</v>
          </cell>
          <cell r="E68">
            <v>3521.701</v>
          </cell>
          <cell r="F68">
            <v>3521.701</v>
          </cell>
          <cell r="G68">
            <v>3521.701</v>
          </cell>
          <cell r="H68">
            <v>379.8</v>
          </cell>
          <cell r="I68">
            <v>300</v>
          </cell>
          <cell r="J68" t="str">
            <v>0</v>
          </cell>
          <cell r="L68">
            <v>21.770624093398997</v>
          </cell>
          <cell r="M68">
            <v>53</v>
          </cell>
          <cell r="N68">
            <v>754.57062409339892</v>
          </cell>
          <cell r="O68">
            <v>6.769982369819985</v>
          </cell>
          <cell r="P68">
            <v>425.67748340694004</v>
          </cell>
          <cell r="Q68">
            <v>232.65100000000001</v>
          </cell>
          <cell r="R68">
            <v>251.85</v>
          </cell>
          <cell r="S68">
            <v>1.3918762945303399E-2</v>
          </cell>
          <cell r="V68">
            <v>99.723478961850006</v>
          </cell>
        </row>
        <row r="69">
          <cell r="A69">
            <v>46261</v>
          </cell>
          <cell r="B69">
            <v>232.27</v>
          </cell>
          <cell r="C69">
            <v>232.27</v>
          </cell>
          <cell r="D69">
            <v>421.45473344855998</v>
          </cell>
          <cell r="E69">
            <v>1559.261</v>
          </cell>
          <cell r="F69">
            <v>1559.261</v>
          </cell>
          <cell r="G69">
            <v>1559.261</v>
          </cell>
          <cell r="H69">
            <v>379.8</v>
          </cell>
          <cell r="I69">
            <v>300</v>
          </cell>
          <cell r="J69" t="str">
            <v>0</v>
          </cell>
          <cell r="L69">
            <v>18.140678006867088</v>
          </cell>
          <cell r="M69">
            <v>53</v>
          </cell>
          <cell r="N69">
            <v>750.94067800686707</v>
          </cell>
          <cell r="O69">
            <v>1.9776134788256288</v>
          </cell>
          <cell r="P69">
            <v>423.43234692738559</v>
          </cell>
          <cell r="Q69">
            <v>232.44800000000001</v>
          </cell>
          <cell r="R69">
            <v>251.85</v>
          </cell>
          <cell r="S69">
            <v>1.3918762945303399E-2</v>
          </cell>
          <cell r="V69">
            <v>44.153359847849998</v>
          </cell>
        </row>
        <row r="70">
          <cell r="A70">
            <v>46262</v>
          </cell>
          <cell r="B70">
            <v>232.97</v>
          </cell>
          <cell r="C70">
            <v>232.97</v>
          </cell>
          <cell r="D70">
            <v>429.20717991816002</v>
          </cell>
          <cell r="E70">
            <v>1293.81</v>
          </cell>
          <cell r="F70">
            <v>1293.81</v>
          </cell>
          <cell r="G70">
            <v>1293.81</v>
          </cell>
          <cell r="H70">
            <v>379.8</v>
          </cell>
          <cell r="I70">
            <v>300</v>
          </cell>
          <cell r="J70" t="str">
            <v>0</v>
          </cell>
          <cell r="L70">
            <v>50.986617482320916</v>
          </cell>
          <cell r="M70">
            <v>53</v>
          </cell>
          <cell r="N70">
            <v>783.78661748232082</v>
          </cell>
          <cell r="O70">
            <v>1.2478086822018195</v>
          </cell>
          <cell r="P70">
            <v>430.45498860036184</v>
          </cell>
          <cell r="Q70">
            <v>233.08199999999999</v>
          </cell>
          <cell r="R70">
            <v>251.85</v>
          </cell>
          <cell r="S70">
            <v>1.3918762945303399E-2</v>
          </cell>
          <cell r="V70">
            <v>36.636623698500003</v>
          </cell>
        </row>
        <row r="71">
          <cell r="A71">
            <v>46263</v>
          </cell>
          <cell r="B71">
            <v>233.24</v>
          </cell>
          <cell r="C71">
            <v>233.24</v>
          </cell>
          <cell r="D71">
            <v>432.19740927072002</v>
          </cell>
          <cell r="E71">
            <v>2251.4540000000002</v>
          </cell>
          <cell r="F71">
            <v>2251.4540000000002</v>
          </cell>
          <cell r="G71">
            <v>2251.4540000000002</v>
          </cell>
          <cell r="H71">
            <v>379.8</v>
          </cell>
          <cell r="I71">
            <v>300</v>
          </cell>
          <cell r="J71" t="str">
            <v>0</v>
          </cell>
          <cell r="L71">
            <v>46.184028565272463</v>
          </cell>
          <cell r="M71">
            <v>53</v>
          </cell>
          <cell r="N71">
            <v>778.98402856527241</v>
          </cell>
          <cell r="O71">
            <v>3.602503096167418</v>
          </cell>
          <cell r="P71">
            <v>435.79991236688744</v>
          </cell>
          <cell r="Q71">
            <v>233.565</v>
          </cell>
          <cell r="R71">
            <v>251.85</v>
          </cell>
          <cell r="S71">
            <v>1.3918762945303399E-2</v>
          </cell>
          <cell r="V71">
            <v>63.754085199900004</v>
          </cell>
        </row>
        <row r="72">
          <cell r="A72">
            <v>46264</v>
          </cell>
          <cell r="B72">
            <v>236.1</v>
          </cell>
          <cell r="C72">
            <v>236.1</v>
          </cell>
          <cell r="D72">
            <v>464.82201289199998</v>
          </cell>
          <cell r="E72">
            <v>1869.722</v>
          </cell>
          <cell r="F72">
            <v>1869.722</v>
          </cell>
          <cell r="G72">
            <v>1869.722</v>
          </cell>
          <cell r="H72">
            <v>379.8</v>
          </cell>
          <cell r="I72">
            <v>300</v>
          </cell>
          <cell r="J72" t="str">
            <v>0</v>
          </cell>
          <cell r="L72">
            <v>43.838175055721187</v>
          </cell>
          <cell r="M72">
            <v>53</v>
          </cell>
          <cell r="N72">
            <v>776.63817505572115</v>
          </cell>
          <cell r="O72">
            <v>2.6743077550813381</v>
          </cell>
          <cell r="P72">
            <v>467.49632064708129</v>
          </cell>
          <cell r="Q72">
            <v>236.32400000000001</v>
          </cell>
          <cell r="R72">
            <v>251.85</v>
          </cell>
          <cell r="S72">
            <v>1.3918762945303399E-2</v>
          </cell>
          <cell r="V72">
            <v>52.944637415700001</v>
          </cell>
        </row>
        <row r="73">
          <cell r="A73">
            <v>46265</v>
          </cell>
          <cell r="B73">
            <v>236.59</v>
          </cell>
          <cell r="C73">
            <v>236.59</v>
          </cell>
          <cell r="D73">
            <v>470.67205082279997</v>
          </cell>
          <cell r="E73">
            <v>1611.0719999999999</v>
          </cell>
          <cell r="F73">
            <v>1611.0719999999999</v>
          </cell>
          <cell r="G73">
            <v>1611.0719999999999</v>
          </cell>
          <cell r="H73">
            <v>379.8</v>
          </cell>
          <cell r="I73">
            <v>300</v>
          </cell>
          <cell r="J73" t="str">
            <v>0</v>
          </cell>
          <cell r="L73">
            <v>45.248097168991983</v>
          </cell>
          <cell r="M73">
            <v>53</v>
          </cell>
          <cell r="N73">
            <v>778.04809716899194</v>
          </cell>
          <cell r="O73">
            <v>2.0380525561455913</v>
          </cell>
          <cell r="P73">
            <v>472.71010337894558</v>
          </cell>
          <cell r="Q73">
            <v>236.76</v>
          </cell>
          <cell r="R73">
            <v>251.85</v>
          </cell>
          <cell r="S73">
            <v>1.3918762945303399E-2</v>
          </cell>
          <cell r="V73">
            <v>45.620484163199997</v>
          </cell>
        </row>
        <row r="74">
          <cell r="A74">
            <v>46266</v>
          </cell>
          <cell r="B74">
            <v>236.87</v>
          </cell>
          <cell r="C74">
            <v>236.87</v>
          </cell>
          <cell r="D74">
            <v>474.0149296404</v>
          </cell>
          <cell r="E74">
            <v>1447.7139999999999</v>
          </cell>
          <cell r="F74">
            <v>1447.7139999999999</v>
          </cell>
          <cell r="G74">
            <v>1447.7139999999999</v>
          </cell>
          <cell r="H74">
            <v>379.8</v>
          </cell>
          <cell r="I74">
            <v>300</v>
          </cell>
          <cell r="J74" t="str">
            <v>0</v>
          </cell>
          <cell r="L74">
            <v>72.834121520696286</v>
          </cell>
          <cell r="M74">
            <v>53</v>
          </cell>
          <cell r="N74">
            <v>805.63412152069623</v>
          </cell>
          <cell r="O74">
            <v>1.5708943442525256</v>
          </cell>
          <cell r="P74">
            <v>475.58582398465251</v>
          </cell>
          <cell r="Q74">
            <v>237.001</v>
          </cell>
          <cell r="R74">
            <v>251.85</v>
          </cell>
          <cell r="S74">
            <v>1.3918762945303399E-2</v>
          </cell>
          <cell r="V74">
            <v>40.994700180899997</v>
          </cell>
        </row>
        <row r="75">
          <cell r="A75">
            <v>46267</v>
          </cell>
          <cell r="B75">
            <v>237.06</v>
          </cell>
          <cell r="C75">
            <v>237.06</v>
          </cell>
          <cell r="D75">
            <v>476.28331169519998</v>
          </cell>
          <cell r="E75">
            <v>1375.1110000000001</v>
          </cell>
          <cell r="F75">
            <v>1375.1110000000001</v>
          </cell>
          <cell r="G75">
            <v>1375.1110000000001</v>
          </cell>
          <cell r="H75">
            <v>379.8</v>
          </cell>
          <cell r="I75">
            <v>300</v>
          </cell>
          <cell r="J75" t="str">
            <v>0</v>
          </cell>
          <cell r="L75">
            <v>79.838915823252705</v>
          </cell>
          <cell r="M75">
            <v>53</v>
          </cell>
          <cell r="N75">
            <v>812.63891582325266</v>
          </cell>
          <cell r="O75">
            <v>1.3761281819418729</v>
          </cell>
          <cell r="P75">
            <v>477.65943987714184</v>
          </cell>
          <cell r="Q75">
            <v>237.17500000000001</v>
          </cell>
          <cell r="R75">
            <v>251.85</v>
          </cell>
          <cell r="S75">
            <v>1.3918762945303399E-2</v>
          </cell>
          <cell r="V75">
            <v>38.938811920350005</v>
          </cell>
        </row>
        <row r="76">
          <cell r="A76">
            <v>46268</v>
          </cell>
          <cell r="B76">
            <v>237.24</v>
          </cell>
          <cell r="C76">
            <v>237.24</v>
          </cell>
          <cell r="D76">
            <v>478.4323052208</v>
          </cell>
          <cell r="E76">
            <v>1297.9690000000001</v>
          </cell>
          <cell r="F76">
            <v>1297.9690000000001</v>
          </cell>
          <cell r="G76">
            <v>1297.9690000000001</v>
          </cell>
          <cell r="H76">
            <v>379.8</v>
          </cell>
          <cell r="I76">
            <v>300</v>
          </cell>
          <cell r="J76" t="str">
            <v>0</v>
          </cell>
          <cell r="L76">
            <v>46.79138841413365</v>
          </cell>
          <cell r="M76">
            <v>53</v>
          </cell>
          <cell r="N76">
            <v>779.59138841413358</v>
          </cell>
          <cell r="O76">
            <v>1.2682479011116028</v>
          </cell>
          <cell r="P76">
            <v>479.70055312191158</v>
          </cell>
          <cell r="Q76">
            <v>237.346</v>
          </cell>
          <cell r="R76">
            <v>251.85</v>
          </cell>
          <cell r="S76">
            <v>1.3918762945303399E-2</v>
          </cell>
          <cell r="V76">
            <v>36.754393477650005</v>
          </cell>
        </row>
        <row r="77">
          <cell r="A77">
            <v>46269</v>
          </cell>
          <cell r="B77">
            <v>237.54</v>
          </cell>
          <cell r="C77">
            <v>237.54</v>
          </cell>
          <cell r="D77">
            <v>482.01396109680002</v>
          </cell>
          <cell r="E77">
            <v>1234.441</v>
          </cell>
          <cell r="F77">
            <v>1234.441</v>
          </cell>
          <cell r="G77">
            <v>1234.441</v>
          </cell>
          <cell r="H77">
            <v>379.8</v>
          </cell>
          <cell r="I77">
            <v>300</v>
          </cell>
          <cell r="J77" t="str">
            <v>0</v>
          </cell>
          <cell r="L77">
            <v>57.403172346482137</v>
          </cell>
          <cell r="M77">
            <v>53</v>
          </cell>
          <cell r="N77">
            <v>790.20317234648212</v>
          </cell>
          <cell r="O77">
            <v>1.0868596172437655</v>
          </cell>
          <cell r="P77">
            <v>483.10082071404378</v>
          </cell>
          <cell r="Q77">
            <v>237.631</v>
          </cell>
          <cell r="R77">
            <v>251.85</v>
          </cell>
          <cell r="S77">
            <v>1.3918762945303399E-2</v>
          </cell>
          <cell r="V77">
            <v>34.955480630850005</v>
          </cell>
        </row>
        <row r="78">
          <cell r="A78">
            <v>46270</v>
          </cell>
          <cell r="B78">
            <v>237.64</v>
          </cell>
          <cell r="C78">
            <v>237.64</v>
          </cell>
          <cell r="D78">
            <v>483.20784638880002</v>
          </cell>
          <cell r="E78">
            <v>1154.904</v>
          </cell>
          <cell r="F78">
            <v>1154.904</v>
          </cell>
          <cell r="G78">
            <v>1154.904</v>
          </cell>
          <cell r="H78">
            <v>379.8</v>
          </cell>
          <cell r="I78">
            <v>300</v>
          </cell>
          <cell r="J78" t="str">
            <v>0</v>
          </cell>
          <cell r="L78">
            <v>47.177206975970904</v>
          </cell>
          <cell r="M78">
            <v>53</v>
          </cell>
          <cell r="N78">
            <v>779.97720697597083</v>
          </cell>
          <cell r="O78">
            <v>0.91728521389752427</v>
          </cell>
          <cell r="P78">
            <v>484.12513160269754</v>
          </cell>
          <cell r="Q78">
            <v>237.71600000000001</v>
          </cell>
          <cell r="R78">
            <v>251.85</v>
          </cell>
          <cell r="S78">
            <v>1.3918762945303399E-2</v>
          </cell>
          <cell r="V78">
            <v>32.7032433324</v>
          </cell>
        </row>
        <row r="79">
          <cell r="A79">
            <v>46271</v>
          </cell>
          <cell r="B79">
            <v>238.33</v>
          </cell>
          <cell r="C79">
            <v>238.33</v>
          </cell>
          <cell r="D79">
            <v>491.44565490359997</v>
          </cell>
          <cell r="E79">
            <v>2020.501</v>
          </cell>
          <cell r="F79">
            <v>2020.501</v>
          </cell>
          <cell r="G79">
            <v>2020.501</v>
          </cell>
          <cell r="H79">
            <v>379.8</v>
          </cell>
          <cell r="I79">
            <v>300</v>
          </cell>
          <cell r="J79" t="str">
            <v>0</v>
          </cell>
          <cell r="L79">
            <v>29.766872272947268</v>
          </cell>
          <cell r="M79">
            <v>53</v>
          </cell>
          <cell r="N79">
            <v>762.56687227294719</v>
          </cell>
          <cell r="O79">
            <v>3.0776258109330499</v>
          </cell>
          <cell r="P79">
            <v>494.52328071453303</v>
          </cell>
          <cell r="Q79">
            <v>238.58699999999999</v>
          </cell>
          <cell r="R79">
            <v>251.85</v>
          </cell>
          <cell r="S79">
            <v>1.3918762945303399E-2</v>
          </cell>
          <cell r="V79">
            <v>57.214223741849999</v>
          </cell>
        </row>
        <row r="80">
          <cell r="A80">
            <v>46272</v>
          </cell>
          <cell r="B80">
            <v>238.52</v>
          </cell>
          <cell r="C80">
            <v>238.52</v>
          </cell>
          <cell r="D80">
            <v>493.71403695840002</v>
          </cell>
          <cell r="E80">
            <v>3528.2930000000001</v>
          </cell>
          <cell r="F80">
            <v>3528.2930000000001</v>
          </cell>
          <cell r="G80">
            <v>3528.2930000000001</v>
          </cell>
          <cell r="H80">
            <v>379.8</v>
          </cell>
          <cell r="I80">
            <v>300</v>
          </cell>
          <cell r="J80" t="str">
            <v>0</v>
          </cell>
          <cell r="L80">
            <v>32.783551337512399</v>
          </cell>
          <cell r="M80">
            <v>53</v>
          </cell>
          <cell r="N80">
            <v>765.5835513375124</v>
          </cell>
          <cell r="O80">
            <v>6.7591662551325449</v>
          </cell>
          <cell r="P80">
            <v>500.47320321353254</v>
          </cell>
          <cell r="Q80">
            <v>239.08600000000001</v>
          </cell>
          <cell r="R80">
            <v>251.85</v>
          </cell>
          <cell r="S80">
            <v>1.3918762945303399E-2</v>
          </cell>
          <cell r="V80">
            <v>99.910143637050012</v>
          </cell>
        </row>
        <row r="81">
          <cell r="A81">
            <v>46273</v>
          </cell>
          <cell r="B81">
            <v>238.59</v>
          </cell>
          <cell r="C81">
            <v>238.59</v>
          </cell>
          <cell r="D81">
            <v>494.54975666280001</v>
          </cell>
          <cell r="E81">
            <v>1807.8150000000001</v>
          </cell>
          <cell r="F81">
            <v>1807.8150000000001</v>
          </cell>
          <cell r="G81">
            <v>1807.8150000000001</v>
          </cell>
          <cell r="H81">
            <v>379.8</v>
          </cell>
          <cell r="I81">
            <v>300</v>
          </cell>
          <cell r="J81" t="str">
            <v>0</v>
          </cell>
          <cell r="L81">
            <v>31.285612465685194</v>
          </cell>
          <cell r="M81">
            <v>53</v>
          </cell>
          <cell r="N81">
            <v>764.08561246568513</v>
          </cell>
          <cell r="O81">
            <v>2.5535585941284973</v>
          </cell>
          <cell r="P81">
            <v>497.10331525692851</v>
          </cell>
          <cell r="Q81">
            <v>238.803</v>
          </cell>
          <cell r="R81">
            <v>251.85</v>
          </cell>
          <cell r="S81">
            <v>1.3918762945303399E-2</v>
          </cell>
          <cell r="V81">
            <v>51.191626182750007</v>
          </cell>
        </row>
        <row r="82">
          <cell r="A82">
            <v>46274</v>
          </cell>
          <cell r="B82">
            <v>238.71</v>
          </cell>
          <cell r="C82">
            <v>238.71</v>
          </cell>
          <cell r="D82">
            <v>495.9824190132</v>
          </cell>
          <cell r="E82">
            <v>1462.2</v>
          </cell>
          <cell r="F82">
            <v>1462.2</v>
          </cell>
          <cell r="G82">
            <v>1462.2</v>
          </cell>
          <cell r="H82">
            <v>379.8</v>
          </cell>
          <cell r="I82">
            <v>300</v>
          </cell>
          <cell r="J82" t="str">
            <v>0</v>
          </cell>
          <cell r="L82">
            <v>47.994142724485314</v>
          </cell>
          <cell r="M82">
            <v>53</v>
          </cell>
          <cell r="N82">
            <v>780.79414272448525</v>
          </cell>
          <cell r="O82">
            <v>1.6671081639714591</v>
          </cell>
          <cell r="P82">
            <v>497.64952717717148</v>
          </cell>
          <cell r="Q82">
            <v>238.84899999999999</v>
          </cell>
          <cell r="R82">
            <v>251.85</v>
          </cell>
          <cell r="S82">
            <v>1.3918762945303399E-2</v>
          </cell>
          <cell r="V82">
            <v>41.404898070000002</v>
          </cell>
        </row>
        <row r="83">
          <cell r="A83">
            <v>46275</v>
          </cell>
          <cell r="B83">
            <v>238.92</v>
          </cell>
          <cell r="C83">
            <v>238.92</v>
          </cell>
          <cell r="D83">
            <v>498.48957812639998</v>
          </cell>
          <cell r="E83">
            <v>1777.431</v>
          </cell>
          <cell r="F83">
            <v>1777.431</v>
          </cell>
          <cell r="G83">
            <v>1777.431</v>
          </cell>
          <cell r="H83">
            <v>379.8</v>
          </cell>
          <cell r="I83">
            <v>300</v>
          </cell>
          <cell r="J83" t="str">
            <v>0</v>
          </cell>
          <cell r="L83">
            <v>36.191173977878293</v>
          </cell>
          <cell r="M83">
            <v>53</v>
          </cell>
          <cell r="N83">
            <v>768.99117397787825</v>
          </cell>
          <cell r="O83">
            <v>2.4672201579794781</v>
          </cell>
          <cell r="P83">
            <v>500.95679828437943</v>
          </cell>
          <cell r="Q83">
            <v>239.126</v>
          </cell>
          <cell r="R83">
            <v>251.85</v>
          </cell>
          <cell r="S83">
            <v>1.3918762945303399E-2</v>
          </cell>
          <cell r="V83">
            <v>50.331247012350005</v>
          </cell>
        </row>
        <row r="84">
          <cell r="A84">
            <v>46276</v>
          </cell>
          <cell r="B84">
            <v>238.96</v>
          </cell>
          <cell r="C84">
            <v>238.96</v>
          </cell>
          <cell r="D84">
            <v>498.96713224320001</v>
          </cell>
          <cell r="E84">
            <v>1310.2819999999999</v>
          </cell>
          <cell r="F84">
            <v>1310.2819999999999</v>
          </cell>
          <cell r="G84">
            <v>1310.2819999999999</v>
          </cell>
          <cell r="H84">
            <v>379.8</v>
          </cell>
          <cell r="I84">
            <v>300</v>
          </cell>
          <cell r="J84" t="str">
            <v>0</v>
          </cell>
          <cell r="L84">
            <v>27.506898347814758</v>
          </cell>
          <cell r="M84">
            <v>53</v>
          </cell>
          <cell r="N84">
            <v>760.30689834781469</v>
          </cell>
          <cell r="O84">
            <v>1.3455534204113411</v>
          </cell>
          <cell r="P84">
            <v>500.31268566361138</v>
          </cell>
          <cell r="Q84">
            <v>239.072</v>
          </cell>
          <cell r="R84">
            <v>251.85</v>
          </cell>
          <cell r="S84">
            <v>1.3918762945303399E-2</v>
          </cell>
          <cell r="V84">
            <v>37.103058851699998</v>
          </cell>
        </row>
        <row r="85">
          <cell r="A85">
            <v>46277</v>
          </cell>
          <cell r="B85">
            <v>239.04</v>
          </cell>
          <cell r="C85">
            <v>239.04</v>
          </cell>
          <cell r="D85">
            <v>499.92224047680003</v>
          </cell>
          <cell r="E85">
            <v>1389.1120000000001</v>
          </cell>
          <cell r="F85">
            <v>1389.1120000000001</v>
          </cell>
          <cell r="G85">
            <v>1389.1120000000001</v>
          </cell>
          <cell r="H85">
            <v>379.8</v>
          </cell>
          <cell r="I85">
            <v>300</v>
          </cell>
          <cell r="J85" t="str">
            <v>0</v>
          </cell>
          <cell r="L85">
            <v>78.263003227802869</v>
          </cell>
          <cell r="M85">
            <v>53</v>
          </cell>
          <cell r="N85">
            <v>811.06300322780282</v>
          </cell>
          <cell r="O85">
            <v>1.4142382126674298</v>
          </cell>
          <cell r="P85">
            <v>501.33647868946747</v>
          </cell>
          <cell r="Q85">
            <v>239.15799999999999</v>
          </cell>
          <cell r="R85">
            <v>251.85</v>
          </cell>
          <cell r="S85">
            <v>1.3918762945303399E-2</v>
          </cell>
          <cell r="V85">
            <v>39.335276137200005</v>
          </cell>
        </row>
        <row r="86">
          <cell r="A86">
            <v>46278</v>
          </cell>
          <cell r="B86">
            <v>239.54</v>
          </cell>
          <cell r="C86">
            <v>239.54</v>
          </cell>
          <cell r="D86">
            <v>505.89166693679999</v>
          </cell>
          <cell r="E86">
            <v>1205.019</v>
          </cell>
          <cell r="F86">
            <v>1205.019</v>
          </cell>
          <cell r="G86">
            <v>1205.019</v>
          </cell>
          <cell r="H86">
            <v>379.8</v>
          </cell>
          <cell r="I86">
            <v>300</v>
          </cell>
          <cell r="J86" t="str">
            <v>0</v>
          </cell>
          <cell r="L86">
            <v>94.009969069536268</v>
          </cell>
          <cell r="M86">
            <v>53</v>
          </cell>
          <cell r="N86">
            <v>826.80996906953624</v>
          </cell>
          <cell r="O86">
            <v>0.92531544368127183</v>
          </cell>
          <cell r="P86">
            <v>506.81698238048125</v>
          </cell>
          <cell r="Q86">
            <v>239.61699999999999</v>
          </cell>
          <cell r="R86">
            <v>251.85</v>
          </cell>
          <cell r="S86">
            <v>1.3918762945303399E-2</v>
          </cell>
          <cell r="V86">
            <v>34.12234227015</v>
          </cell>
        </row>
        <row r="87">
          <cell r="A87">
            <v>46279</v>
          </cell>
          <cell r="B87">
            <v>239.62</v>
          </cell>
          <cell r="C87">
            <v>239.62</v>
          </cell>
          <cell r="D87">
            <v>506.84677517040001</v>
          </cell>
          <cell r="E87">
            <v>1641.028</v>
          </cell>
          <cell r="F87">
            <v>1641.028</v>
          </cell>
          <cell r="G87">
            <v>1641.028</v>
          </cell>
          <cell r="H87">
            <v>379.8</v>
          </cell>
          <cell r="I87">
            <v>300</v>
          </cell>
          <cell r="J87" t="str">
            <v>0</v>
          </cell>
          <cell r="L87">
            <v>88.7622125192825</v>
          </cell>
          <cell r="M87">
            <v>53</v>
          </cell>
          <cell r="N87">
            <v>821.56221251928241</v>
          </cell>
          <cell r="O87">
            <v>2.0048816572646961</v>
          </cell>
          <cell r="P87">
            <v>508.85165682766473</v>
          </cell>
          <cell r="Q87">
            <v>239.78700000000001</v>
          </cell>
          <cell r="R87">
            <v>251.85</v>
          </cell>
          <cell r="S87">
            <v>1.3918762945303399E-2</v>
          </cell>
          <cell r="V87">
            <v>46.468743721800003</v>
          </cell>
        </row>
        <row r="88">
          <cell r="A88">
            <v>46280</v>
          </cell>
          <cell r="B88">
            <v>239.65</v>
          </cell>
          <cell r="C88">
            <v>239.65</v>
          </cell>
          <cell r="D88">
            <v>507.20494075800002</v>
          </cell>
          <cell r="E88">
            <v>3469.0329999999999</v>
          </cell>
          <cell r="F88">
            <v>3469.0329999999999</v>
          </cell>
          <cell r="G88">
            <v>3469.0329999999999</v>
          </cell>
          <cell r="H88">
            <v>379.8</v>
          </cell>
          <cell r="I88">
            <v>300</v>
          </cell>
          <cell r="J88" t="str">
            <v>0</v>
          </cell>
          <cell r="L88">
            <v>87.971211883005907</v>
          </cell>
          <cell r="M88">
            <v>53</v>
          </cell>
          <cell r="N88">
            <v>820.77121188300589</v>
          </cell>
          <cell r="O88">
            <v>6.4791618683113121</v>
          </cell>
          <cell r="P88">
            <v>513.6841026263113</v>
          </cell>
          <cell r="Q88">
            <v>240.17699999999999</v>
          </cell>
          <cell r="R88">
            <v>251.85</v>
          </cell>
          <cell r="S88">
            <v>1.3918762945303399E-2</v>
          </cell>
          <cell r="V88">
            <v>98.232087106050002</v>
          </cell>
        </row>
        <row r="89">
          <cell r="A89">
            <v>46281</v>
          </cell>
          <cell r="B89">
            <v>240.15</v>
          </cell>
          <cell r="C89">
            <v>240.15</v>
          </cell>
          <cell r="D89">
            <v>513.3319689576</v>
          </cell>
          <cell r="E89">
            <v>1431.098</v>
          </cell>
          <cell r="F89">
            <v>1431.098</v>
          </cell>
          <cell r="G89">
            <v>1431.098</v>
          </cell>
          <cell r="H89">
            <v>379.8</v>
          </cell>
          <cell r="I89">
            <v>300</v>
          </cell>
          <cell r="J89" t="str">
            <v>0</v>
          </cell>
          <cell r="L89">
            <v>85.699285129169397</v>
          </cell>
          <cell r="M89">
            <v>53</v>
          </cell>
          <cell r="N89">
            <v>818.49928512916938</v>
          </cell>
          <cell r="O89">
            <v>1.4987665689915746</v>
          </cell>
          <cell r="P89">
            <v>514.83073552659152</v>
          </cell>
          <cell r="Q89">
            <v>240.26499999999999</v>
          </cell>
          <cell r="R89">
            <v>251.85</v>
          </cell>
          <cell r="S89">
            <v>1.3918762945303399E-2</v>
          </cell>
          <cell r="V89">
            <v>40.524187401299997</v>
          </cell>
        </row>
        <row r="90">
          <cell r="A90">
            <v>46282</v>
          </cell>
          <cell r="B90">
            <v>240.41</v>
          </cell>
          <cell r="C90">
            <v>240.41</v>
          </cell>
          <cell r="D90">
            <v>516.70924706543997</v>
          </cell>
          <cell r="E90">
            <v>1179.182</v>
          </cell>
          <cell r="F90">
            <v>1179.182</v>
          </cell>
          <cell r="G90">
            <v>1179.182</v>
          </cell>
          <cell r="H90">
            <v>379.8</v>
          </cell>
          <cell r="I90">
            <v>300</v>
          </cell>
          <cell r="J90" t="str">
            <v>0</v>
          </cell>
          <cell r="L90">
            <v>52.612765259426418</v>
          </cell>
          <cell r="M90">
            <v>53</v>
          </cell>
          <cell r="N90">
            <v>785.41276525942635</v>
          </cell>
          <cell r="O90">
            <v>0.96338459516848207</v>
          </cell>
          <cell r="P90">
            <v>517.67263166060843</v>
          </cell>
          <cell r="Q90">
            <v>240.48400000000001</v>
          </cell>
          <cell r="R90">
            <v>251.85</v>
          </cell>
          <cell r="S90">
            <v>1.3918762945303399E-2</v>
          </cell>
          <cell r="V90">
            <v>33.390719816699999</v>
          </cell>
        </row>
        <row r="91">
          <cell r="A91">
            <v>46283</v>
          </cell>
          <cell r="B91">
            <v>240.66</v>
          </cell>
          <cell r="C91">
            <v>240.66</v>
          </cell>
          <cell r="D91">
            <v>519.95662986143998</v>
          </cell>
          <cell r="E91">
            <v>1072.6020000000001</v>
          </cell>
          <cell r="F91">
            <v>1072.6020000000001</v>
          </cell>
          <cell r="G91">
            <v>1072.6020000000001</v>
          </cell>
          <cell r="H91">
            <v>379.8</v>
          </cell>
          <cell r="I91">
            <v>300</v>
          </cell>
          <cell r="J91" t="str">
            <v>0</v>
          </cell>
          <cell r="L91">
            <v>38.609445744788196</v>
          </cell>
          <cell r="M91">
            <v>53</v>
          </cell>
          <cell r="N91">
            <v>771.40944574478817</v>
          </cell>
          <cell r="O91">
            <v>0.73688912527685635</v>
          </cell>
          <cell r="P91">
            <v>520.69351898671687</v>
          </cell>
          <cell r="Q91">
            <v>240.71600000000001</v>
          </cell>
          <cell r="R91">
            <v>251.85</v>
          </cell>
          <cell r="S91">
            <v>1.3918762945303399E-2</v>
          </cell>
          <cell r="V91">
            <v>30.372709943700002</v>
          </cell>
        </row>
        <row r="92">
          <cell r="A92">
            <v>46284</v>
          </cell>
          <cell r="B92">
            <v>240.9</v>
          </cell>
          <cell r="C92">
            <v>240.9</v>
          </cell>
          <cell r="D92">
            <v>523.07411734560003</v>
          </cell>
          <cell r="E92">
            <v>1254.7760000000001</v>
          </cell>
          <cell r="F92">
            <v>1254.7760000000001</v>
          </cell>
          <cell r="G92">
            <v>1254.7760000000001</v>
          </cell>
          <cell r="H92">
            <v>379.8</v>
          </cell>
          <cell r="I92">
            <v>300</v>
          </cell>
          <cell r="J92" t="str">
            <v>0</v>
          </cell>
          <cell r="L92">
            <v>71.324056855181794</v>
          </cell>
          <cell r="M92">
            <v>53</v>
          </cell>
          <cell r="N92">
            <v>804.12405685518172</v>
          </cell>
          <cell r="O92">
            <v>1.1025522095307718</v>
          </cell>
          <cell r="P92">
            <v>524.17666955513084</v>
          </cell>
          <cell r="Q92">
            <v>240.98400000000001</v>
          </cell>
          <cell r="R92">
            <v>251.85</v>
          </cell>
          <cell r="S92">
            <v>1.3918762945303399E-2</v>
          </cell>
          <cell r="V92">
            <v>35.531303775600001</v>
          </cell>
        </row>
        <row r="93">
          <cell r="A93">
            <v>46285</v>
          </cell>
          <cell r="B93">
            <v>241.06</v>
          </cell>
          <cell r="C93">
            <v>241.06</v>
          </cell>
          <cell r="D93">
            <v>525.15244233503995</v>
          </cell>
          <cell r="E93">
            <v>970.93299999999999</v>
          </cell>
          <cell r="F93">
            <v>970.93299999999999</v>
          </cell>
          <cell r="G93">
            <v>970.93299999999999</v>
          </cell>
          <cell r="H93">
            <v>379.8</v>
          </cell>
          <cell r="I93">
            <v>300</v>
          </cell>
          <cell r="J93" t="str">
            <v>0</v>
          </cell>
          <cell r="L93">
            <v>69.882496331244198</v>
          </cell>
          <cell r="M93">
            <v>53</v>
          </cell>
          <cell r="N93">
            <v>802.68249633124412</v>
          </cell>
          <cell r="O93">
            <v>0.4116368905016336</v>
          </cell>
          <cell r="P93">
            <v>525.5640792255416</v>
          </cell>
          <cell r="Q93">
            <v>241.09100000000001</v>
          </cell>
          <cell r="R93">
            <v>251.85</v>
          </cell>
          <cell r="S93">
            <v>1.3918762945303399E-2</v>
          </cell>
          <cell r="V93">
            <v>27.493764121050003</v>
          </cell>
        </row>
        <row r="94">
          <cell r="A94">
            <v>46286</v>
          </cell>
          <cell r="B94">
            <v>241.17</v>
          </cell>
          <cell r="C94">
            <v>241.17</v>
          </cell>
          <cell r="D94">
            <v>526.58129076527996</v>
          </cell>
          <cell r="E94">
            <v>853.24199999999996</v>
          </cell>
          <cell r="F94">
            <v>853.24199999999996</v>
          </cell>
          <cell r="G94">
            <v>853.24199999999996</v>
          </cell>
          <cell r="H94">
            <v>379.8</v>
          </cell>
          <cell r="I94">
            <v>300</v>
          </cell>
          <cell r="J94" t="str">
            <v>0</v>
          </cell>
          <cell r="L94">
            <v>48.058045847677953</v>
          </cell>
          <cell r="M94">
            <v>53</v>
          </cell>
          <cell r="N94">
            <v>780.85804584767789</v>
          </cell>
          <cell r="O94">
            <v>0.17709252073405693</v>
          </cell>
          <cell r="P94">
            <v>526.75838328601401</v>
          </cell>
          <cell r="Q94">
            <v>241.18299999999999</v>
          </cell>
          <cell r="R94">
            <v>251.85</v>
          </cell>
          <cell r="S94">
            <v>1.3918762945303399E-2</v>
          </cell>
          <cell r="V94">
            <v>24.1611257277</v>
          </cell>
        </row>
        <row r="95">
          <cell r="A95">
            <v>46287</v>
          </cell>
          <cell r="B95">
            <v>241.57</v>
          </cell>
          <cell r="C95">
            <v>241.57</v>
          </cell>
          <cell r="D95">
            <v>531.77710323888004</v>
          </cell>
          <cell r="E95">
            <v>846.31899999999996</v>
          </cell>
          <cell r="F95">
            <v>846.31899999999996</v>
          </cell>
          <cell r="G95">
            <v>846.31899999999996</v>
          </cell>
          <cell r="H95">
            <v>379.8</v>
          </cell>
          <cell r="I95">
            <v>300</v>
          </cell>
          <cell r="J95" t="str">
            <v>0</v>
          </cell>
          <cell r="L95">
            <v>84.00171590983193</v>
          </cell>
          <cell r="M95">
            <v>53</v>
          </cell>
          <cell r="N95">
            <v>816.80171590983184</v>
          </cell>
          <cell r="O95">
            <v>7.2216146602754425E-2</v>
          </cell>
          <cell r="P95">
            <v>531.84931938548277</v>
          </cell>
          <cell r="Q95">
            <v>241.57499999999999</v>
          </cell>
          <cell r="R95">
            <v>251.85</v>
          </cell>
          <cell r="S95">
            <v>1.3918762945303399E-2</v>
          </cell>
          <cell r="V95">
            <v>23.965088175150001</v>
          </cell>
        </row>
        <row r="96">
          <cell r="A96">
            <v>46288</v>
          </cell>
          <cell r="B96">
            <v>241.85</v>
          </cell>
          <cell r="C96">
            <v>241.85</v>
          </cell>
          <cell r="D96">
            <v>535.41417197040005</v>
          </cell>
          <cell r="E96">
            <v>2583.9899999999998</v>
          </cell>
          <cell r="F96">
            <v>2583.9899999999998</v>
          </cell>
          <cell r="G96">
            <v>2583.9899999999998</v>
          </cell>
          <cell r="H96">
            <v>379.8</v>
          </cell>
          <cell r="I96">
            <v>300</v>
          </cell>
          <cell r="J96" t="str">
            <v>0</v>
          </cell>
          <cell r="L96">
            <v>86.065909551064934</v>
          </cell>
          <cell r="M96">
            <v>53</v>
          </cell>
          <cell r="N96">
            <v>818.86590955106487</v>
          </cell>
          <cell r="O96">
            <v>4.3185023289582682</v>
          </cell>
          <cell r="P96">
            <v>539.73267429935834</v>
          </cell>
          <cell r="Q96">
            <v>242.18199999999999</v>
          </cell>
          <cell r="R96">
            <v>251.85</v>
          </cell>
          <cell r="S96">
            <v>1.3918762945303399E-2</v>
          </cell>
          <cell r="V96">
            <v>73.170457231499995</v>
          </cell>
        </row>
        <row r="97">
          <cell r="A97">
            <v>46289</v>
          </cell>
          <cell r="B97">
            <v>242.76</v>
          </cell>
          <cell r="C97">
            <v>242.76</v>
          </cell>
          <cell r="D97">
            <v>547.23464534784</v>
          </cell>
          <cell r="E97">
            <v>1150.931</v>
          </cell>
          <cell r="F97">
            <v>1150.931</v>
          </cell>
          <cell r="G97">
            <v>1150.931</v>
          </cell>
          <cell r="H97">
            <v>379.8</v>
          </cell>
          <cell r="I97">
            <v>300</v>
          </cell>
          <cell r="J97" t="str">
            <v>0</v>
          </cell>
          <cell r="L97">
            <v>67.619654465974577</v>
          </cell>
          <cell r="M97">
            <v>53</v>
          </cell>
          <cell r="N97">
            <v>800.41965446597453</v>
          </cell>
          <cell r="O97">
            <v>0.85755107542042586</v>
          </cell>
          <cell r="P97">
            <v>548.09219642326048</v>
          </cell>
          <cell r="Q97">
            <v>242.82599999999999</v>
          </cell>
          <cell r="R97">
            <v>251.85</v>
          </cell>
          <cell r="S97">
            <v>1.3918762945303399E-2</v>
          </cell>
          <cell r="V97">
            <v>32.590740487350004</v>
          </cell>
        </row>
        <row r="98">
          <cell r="A98">
            <v>46290</v>
          </cell>
          <cell r="B98">
            <v>243.13</v>
          </cell>
          <cell r="C98">
            <v>243.13</v>
          </cell>
          <cell r="D98">
            <v>552.04077188591998</v>
          </cell>
          <cell r="E98">
            <v>957.08699999999999</v>
          </cell>
          <cell r="F98">
            <v>957.08699999999999</v>
          </cell>
          <cell r="G98">
            <v>957.08699999999999</v>
          </cell>
          <cell r="H98">
            <v>379.8</v>
          </cell>
          <cell r="I98">
            <v>300</v>
          </cell>
          <cell r="J98" t="str">
            <v>0</v>
          </cell>
          <cell r="L98">
            <v>92.852702544344282</v>
          </cell>
          <cell r="M98">
            <v>53</v>
          </cell>
          <cell r="N98">
            <v>825.65270254434427</v>
          </cell>
          <cell r="O98">
            <v>0.32156340890621571</v>
          </cell>
          <cell r="P98">
            <v>552.36233529482615</v>
          </cell>
          <cell r="Q98">
            <v>243.154</v>
          </cell>
          <cell r="R98">
            <v>251.85</v>
          </cell>
          <cell r="S98">
            <v>1.3918762945303399E-2</v>
          </cell>
          <cell r="V98">
            <v>27.101689015950001</v>
          </cell>
        </row>
        <row r="99">
          <cell r="A99">
            <v>46291</v>
          </cell>
          <cell r="B99">
            <v>243.58</v>
          </cell>
          <cell r="C99">
            <v>243.58</v>
          </cell>
          <cell r="D99">
            <v>557.88606091871998</v>
          </cell>
          <cell r="E99">
            <v>1992.5650000000001</v>
          </cell>
          <cell r="F99">
            <v>1992.5650000000001</v>
          </cell>
          <cell r="G99">
            <v>1992.5650000000001</v>
          </cell>
          <cell r="H99">
            <v>379.8</v>
          </cell>
          <cell r="I99">
            <v>300</v>
          </cell>
          <cell r="J99" t="str">
            <v>0</v>
          </cell>
          <cell r="L99">
            <v>86.411241160760795</v>
          </cell>
          <cell r="M99">
            <v>53</v>
          </cell>
          <cell r="N99">
            <v>819.21124116076078</v>
          </cell>
          <cell r="O99">
            <v>2.8706938892610303</v>
          </cell>
          <cell r="P99">
            <v>560.756754807981</v>
          </cell>
          <cell r="Q99">
            <v>243.80099999999999</v>
          </cell>
          <cell r="R99">
            <v>251.85</v>
          </cell>
          <cell r="S99">
            <v>1.3918762945303399E-2</v>
          </cell>
          <cell r="V99">
            <v>56.423164220250001</v>
          </cell>
        </row>
        <row r="100">
          <cell r="A100">
            <v>46292</v>
          </cell>
          <cell r="B100">
            <v>243.89</v>
          </cell>
          <cell r="C100">
            <v>243.89</v>
          </cell>
          <cell r="D100">
            <v>561.91281558575997</v>
          </cell>
          <cell r="E100">
            <v>1659.366</v>
          </cell>
          <cell r="F100">
            <v>1659.366</v>
          </cell>
          <cell r="G100">
            <v>1659.366</v>
          </cell>
          <cell r="H100">
            <v>379.8</v>
          </cell>
          <cell r="I100">
            <v>300</v>
          </cell>
          <cell r="J100" t="str">
            <v>0</v>
          </cell>
          <cell r="L100">
            <v>55.163017262352938</v>
          </cell>
          <cell r="M100">
            <v>53</v>
          </cell>
          <cell r="N100">
            <v>787.96301726235288</v>
          </cell>
          <cell r="O100">
            <v>2.1319497200089792</v>
          </cell>
          <cell r="P100">
            <v>564.04476530576892</v>
          </cell>
          <cell r="Q100">
            <v>244.054</v>
          </cell>
          <cell r="R100">
            <v>251.85</v>
          </cell>
          <cell r="S100">
            <v>1.3918762945303399E-2</v>
          </cell>
          <cell r="V100">
            <v>46.988018117100005</v>
          </cell>
        </row>
        <row r="101">
          <cell r="A101">
            <v>46293</v>
          </cell>
          <cell r="B101">
            <v>244.18</v>
          </cell>
          <cell r="C101">
            <v>244.18</v>
          </cell>
          <cell r="D101">
            <v>565.67977962912005</v>
          </cell>
          <cell r="E101">
            <v>1430.5429999999999</v>
          </cell>
          <cell r="F101">
            <v>1430.5429999999999</v>
          </cell>
          <cell r="G101">
            <v>1430.5429999999999</v>
          </cell>
          <cell r="H101">
            <v>379.8</v>
          </cell>
          <cell r="I101">
            <v>300</v>
          </cell>
          <cell r="J101" t="str">
            <v>0</v>
          </cell>
          <cell r="L101">
            <v>48.35440746136554</v>
          </cell>
          <cell r="M101">
            <v>53</v>
          </cell>
          <cell r="N101">
            <v>781.15440746136551</v>
          </cell>
          <cell r="O101">
            <v>1.5887756359179073</v>
          </cell>
          <cell r="P101">
            <v>567.268555265038</v>
          </cell>
          <cell r="Q101">
            <v>244.30199999999999</v>
          </cell>
          <cell r="R101">
            <v>251.85</v>
          </cell>
          <cell r="S101">
            <v>1.3918762945303399E-2</v>
          </cell>
          <cell r="V101">
            <v>40.508471549549995</v>
          </cell>
        </row>
        <row r="102">
          <cell r="A102">
            <v>46294</v>
          </cell>
          <cell r="B102">
            <v>243.32</v>
          </cell>
          <cell r="C102">
            <v>243.32</v>
          </cell>
          <cell r="D102">
            <v>554.50878281088001</v>
          </cell>
          <cell r="E102">
            <v>1286.0229999999999</v>
          </cell>
          <cell r="F102">
            <v>1286.0229999999999</v>
          </cell>
          <cell r="G102">
            <v>1286.0229999999999</v>
          </cell>
          <cell r="H102">
            <v>379.8</v>
          </cell>
          <cell r="I102">
            <v>300</v>
          </cell>
          <cell r="J102" t="str">
            <v>0</v>
          </cell>
          <cell r="L102">
            <v>41.598889776156057</v>
          </cell>
          <cell r="M102">
            <v>53</v>
          </cell>
          <cell r="N102">
            <v>774.39888977615601</v>
          </cell>
          <cell r="O102">
            <v>1.2517249770189973</v>
          </cell>
          <cell r="P102">
            <v>555.76050778789897</v>
          </cell>
          <cell r="Q102">
            <v>243.416</v>
          </cell>
          <cell r="R102">
            <v>251.85</v>
          </cell>
          <cell r="S102">
            <v>1.3918762945303399E-2</v>
          </cell>
          <cell r="V102">
            <v>36.416120387550002</v>
          </cell>
        </row>
        <row r="103">
          <cell r="A103">
            <v>46295</v>
          </cell>
          <cell r="B103">
            <v>242.66</v>
          </cell>
          <cell r="C103">
            <v>242.66</v>
          </cell>
          <cell r="D103">
            <v>545.93569222943995</v>
          </cell>
          <cell r="E103">
            <v>1221.7919999999999</v>
          </cell>
          <cell r="F103">
            <v>1221.7919999999999</v>
          </cell>
          <cell r="G103">
            <v>1221.7919999999999</v>
          </cell>
          <cell r="H103">
            <v>379.8</v>
          </cell>
          <cell r="I103">
            <v>300</v>
          </cell>
          <cell r="J103" t="str">
            <v>0</v>
          </cell>
          <cell r="L103">
            <v>43.248996189026919</v>
          </cell>
          <cell r="M103">
            <v>53</v>
          </cell>
          <cell r="N103">
            <v>776.04899618902687</v>
          </cell>
          <cell r="O103">
            <v>1.0905421383631781</v>
          </cell>
          <cell r="P103">
            <v>547.02623436780311</v>
          </cell>
          <cell r="Q103">
            <v>242.74299999999999</v>
          </cell>
          <cell r="R103">
            <v>251.85</v>
          </cell>
          <cell r="S103">
            <v>1.3918762945303399E-2</v>
          </cell>
          <cell r="V103">
            <v>34.597300795199999</v>
          </cell>
        </row>
        <row r="104">
          <cell r="A104">
            <v>46296</v>
          </cell>
          <cell r="B104">
            <v>242.74299999999999</v>
          </cell>
          <cell r="D104">
            <v>547.01382331771197</v>
          </cell>
          <cell r="E104">
            <v>1153.546</v>
          </cell>
          <cell r="F104">
            <v>1153.546</v>
          </cell>
          <cell r="G104">
            <v>1153.546</v>
          </cell>
          <cell r="H104">
            <v>379.8</v>
          </cell>
          <cell r="I104">
            <v>300</v>
          </cell>
          <cell r="J104" t="str">
            <v>0</v>
          </cell>
          <cell r="L104">
            <v>72.041398123573245</v>
          </cell>
          <cell r="M104">
            <v>53</v>
          </cell>
          <cell r="N104">
            <v>804.84139812357319</v>
          </cell>
          <cell r="O104">
            <v>0.85313074784380438</v>
          </cell>
          <cell r="P104">
            <v>547.86695406555577</v>
          </cell>
          <cell r="Q104">
            <v>242.80799999999999</v>
          </cell>
          <cell r="R104">
            <v>251.85</v>
          </cell>
          <cell r="S104">
            <v>1.3918762945303399E-2</v>
          </cell>
          <cell r="V104">
            <v>32.664789050100005</v>
          </cell>
        </row>
        <row r="105">
          <cell r="A105">
            <v>46297</v>
          </cell>
          <cell r="B105">
            <v>242.80799999999999</v>
          </cell>
          <cell r="C105"/>
          <cell r="D105">
            <v>547.85814284467199</v>
          </cell>
          <cell r="E105">
            <v>1097.3440000000001</v>
          </cell>
          <cell r="F105">
            <v>1097.3440000000001</v>
          </cell>
          <cell r="G105">
            <v>1097.3440000000001</v>
          </cell>
          <cell r="H105">
            <v>379.8</v>
          </cell>
          <cell r="I105">
            <v>300</v>
          </cell>
          <cell r="J105" t="str">
            <v>0</v>
          </cell>
          <cell r="L105">
            <v>65.339318133814075</v>
          </cell>
          <cell r="M105">
            <v>53</v>
          </cell>
          <cell r="N105">
            <v>798.13931813381407</v>
          </cell>
          <cell r="O105">
            <v>0.73202565330447111</v>
          </cell>
          <cell r="P105">
            <v>548.59016849797649</v>
          </cell>
          <cell r="Q105">
            <v>242.864</v>
          </cell>
          <cell r="R105">
            <v>251.85</v>
          </cell>
          <cell r="S105">
            <v>1.3918762945303399E-2</v>
          </cell>
          <cell r="V105">
            <v>31.073325446400002</v>
          </cell>
        </row>
        <row r="106">
          <cell r="A106">
            <v>46298</v>
          </cell>
          <cell r="B106">
            <v>242.864</v>
          </cell>
          <cell r="C106"/>
          <cell r="D106">
            <v>548.58555659097601</v>
          </cell>
          <cell r="E106">
            <v>782.77099999999996</v>
          </cell>
          <cell r="F106">
            <v>782.77099999999996</v>
          </cell>
          <cell r="G106">
            <v>782.77099999999996</v>
          </cell>
          <cell r="H106">
            <v>379.8</v>
          </cell>
          <cell r="I106">
            <v>300</v>
          </cell>
          <cell r="J106" t="str">
            <v>0</v>
          </cell>
          <cell r="L106">
            <v>17.837986299728936</v>
          </cell>
          <cell r="M106">
            <v>53</v>
          </cell>
          <cell r="N106">
            <v>750.63798629972894</v>
          </cell>
          <cell r="O106">
            <v>7.8615716170852903E-2</v>
          </cell>
          <cell r="P106">
            <v>548.66417230714683</v>
          </cell>
          <cell r="Q106">
            <v>242.87</v>
          </cell>
          <cell r="R106">
            <v>251.85</v>
          </cell>
          <cell r="S106">
            <v>1.3918762945303399E-2</v>
          </cell>
          <cell r="V106">
            <v>22.165608991349998</v>
          </cell>
        </row>
        <row r="107">
          <cell r="A107">
            <v>46299</v>
          </cell>
          <cell r="B107">
            <v>242.87</v>
          </cell>
          <cell r="C107"/>
          <cell r="D107">
            <v>548.66349377808001</v>
          </cell>
          <cell r="E107">
            <v>1349.47</v>
          </cell>
          <cell r="F107">
            <v>1349.47</v>
          </cell>
          <cell r="G107">
            <v>1349.47</v>
          </cell>
          <cell r="H107">
            <v>379.8</v>
          </cell>
          <cell r="I107">
            <v>300</v>
          </cell>
          <cell r="J107" t="str">
            <v>0</v>
          </cell>
          <cell r="L107">
            <v>37.850445128399947</v>
          </cell>
          <cell r="M107">
            <v>53</v>
          </cell>
          <cell r="N107">
            <v>770.65044512839995</v>
          </cell>
          <cell r="O107">
            <v>1.416123438167934</v>
          </cell>
          <cell r="P107">
            <v>550.07961721624793</v>
          </cell>
          <cell r="Q107">
            <v>242.97900000000001</v>
          </cell>
          <cell r="R107">
            <v>251.85</v>
          </cell>
          <cell r="S107">
            <v>1.3918762945303399E-2</v>
          </cell>
          <cell r="V107">
            <v>38.212739569500002</v>
          </cell>
        </row>
        <row r="108">
          <cell r="A108">
            <v>46300</v>
          </cell>
          <cell r="B108">
            <v>242.97900000000001</v>
          </cell>
          <cell r="C108"/>
          <cell r="D108">
            <v>550.07935267713594</v>
          </cell>
          <cell r="E108">
            <v>2344.9560000000001</v>
          </cell>
          <cell r="F108">
            <v>2344.9560000000001</v>
          </cell>
          <cell r="G108">
            <v>2344.9560000000001</v>
          </cell>
          <cell r="H108">
            <v>379.8</v>
          </cell>
          <cell r="I108">
            <v>300</v>
          </cell>
          <cell r="J108" t="str">
            <v>0</v>
          </cell>
          <cell r="L108">
            <v>43.974620212434871</v>
          </cell>
          <cell r="M108">
            <v>53</v>
          </cell>
          <cell r="N108">
            <v>776.7746202124348</v>
          </cell>
          <cell r="O108">
            <v>3.8366679019825605</v>
          </cell>
          <cell r="P108">
            <v>553.91602057911848</v>
          </cell>
          <cell r="Q108">
            <v>243.274</v>
          </cell>
          <cell r="R108">
            <v>251.85</v>
          </cell>
          <cell r="S108">
            <v>1.3918762945303399E-2</v>
          </cell>
          <cell r="V108">
            <v>66.4017673086</v>
          </cell>
        </row>
        <row r="109">
          <cell r="A109">
            <v>46301</v>
          </cell>
          <cell r="B109">
            <v>243.274</v>
          </cell>
          <cell r="C109"/>
          <cell r="D109">
            <v>553.91126437641606</v>
          </cell>
          <cell r="E109">
            <v>1209.049</v>
          </cell>
          <cell r="F109">
            <v>1209.049</v>
          </cell>
          <cell r="G109">
            <v>1209.049</v>
          </cell>
          <cell r="H109">
            <v>379.8</v>
          </cell>
          <cell r="I109">
            <v>300</v>
          </cell>
          <cell r="J109" t="str">
            <v>0</v>
          </cell>
          <cell r="L109">
            <v>39.782323040649693</v>
          </cell>
          <cell r="M109">
            <v>53</v>
          </cell>
          <cell r="N109">
            <v>772.58232304064961</v>
          </cell>
          <cell r="O109">
            <v>1.0678469412777867</v>
          </cell>
          <cell r="P109">
            <v>554.97911131769388</v>
          </cell>
          <cell r="Q109">
            <v>243.35599999999999</v>
          </cell>
          <cell r="R109">
            <v>251.85</v>
          </cell>
          <cell r="S109">
            <v>1.3918762945303399E-2</v>
          </cell>
          <cell r="V109">
            <v>34.236459175649998</v>
          </cell>
        </row>
        <row r="110">
          <cell r="A110">
            <v>46302</v>
          </cell>
          <cell r="B110">
            <v>243.35599999999999</v>
          </cell>
          <cell r="C110"/>
          <cell r="D110">
            <v>554.976405933504</v>
          </cell>
          <cell r="E110">
            <v>980.86500000000001</v>
          </cell>
          <cell r="F110">
            <v>980.86500000000001</v>
          </cell>
          <cell r="G110">
            <v>980.86500000000001</v>
          </cell>
          <cell r="H110">
            <v>379.8</v>
          </cell>
          <cell r="I110">
            <v>300</v>
          </cell>
          <cell r="J110" t="str">
            <v>0</v>
          </cell>
          <cell r="L110">
            <v>84.299866859362538</v>
          </cell>
          <cell r="M110">
            <v>53</v>
          </cell>
          <cell r="N110">
            <v>817.09986685936246</v>
          </cell>
          <cell r="O110">
            <v>0.40066311071089195</v>
          </cell>
          <cell r="P110">
            <v>555.37706904421486</v>
          </cell>
          <cell r="Q110">
            <v>243.386</v>
          </cell>
          <cell r="R110">
            <v>251.85</v>
          </cell>
          <cell r="S110">
            <v>1.3918762945303399E-2</v>
          </cell>
          <cell r="V110">
            <v>27.775007075250002</v>
          </cell>
        </row>
        <row r="111">
          <cell r="A111">
            <v>46303</v>
          </cell>
          <cell r="B111">
            <v>243.386</v>
          </cell>
          <cell r="C111"/>
          <cell r="D111">
            <v>555.36609186902399</v>
          </cell>
          <cell r="E111">
            <v>1188.989</v>
          </cell>
          <cell r="F111">
            <v>1188.989</v>
          </cell>
          <cell r="G111">
            <v>1188.989</v>
          </cell>
          <cell r="H111">
            <v>379.8</v>
          </cell>
          <cell r="I111">
            <v>300</v>
          </cell>
          <cell r="J111" t="str">
            <v>0</v>
          </cell>
          <cell r="L111">
            <v>95.81956045955036</v>
          </cell>
          <cell r="M111">
            <v>53</v>
          </cell>
          <cell r="N111">
            <v>828.61956045955026</v>
          </cell>
          <cell r="O111">
            <v>0.88166960745802636</v>
          </cell>
          <cell r="P111">
            <v>556.24776147648197</v>
          </cell>
          <cell r="Q111">
            <v>243.453</v>
          </cell>
          <cell r="R111">
            <v>251.85</v>
          </cell>
          <cell r="S111">
            <v>1.3918762945303399E-2</v>
          </cell>
          <cell r="V111">
            <v>33.668423164650001</v>
          </cell>
        </row>
        <row r="112">
          <cell r="A112">
            <v>46304</v>
          </cell>
          <cell r="B112">
            <v>243.453</v>
          </cell>
          <cell r="C112"/>
          <cell r="D112">
            <v>556.23639045835205</v>
          </cell>
          <cell r="E112">
            <v>880.56399999999996</v>
          </cell>
          <cell r="F112">
            <v>880.56399999999996</v>
          </cell>
          <cell r="G112">
            <v>880.56399999999996</v>
          </cell>
          <cell r="H112">
            <v>379.8</v>
          </cell>
          <cell r="I112">
            <v>300</v>
          </cell>
          <cell r="J112" t="str">
            <v>0</v>
          </cell>
          <cell r="L112">
            <v>50.250990315959989</v>
          </cell>
          <cell r="M112">
            <v>53</v>
          </cell>
          <cell r="N112">
            <v>783.05099031595989</v>
          </cell>
          <cell r="O112">
            <v>0.23857255232245664</v>
          </cell>
          <cell r="P112">
            <v>556.47496301067451</v>
          </cell>
          <cell r="Q112">
            <v>243.471</v>
          </cell>
          <cell r="R112">
            <v>251.85</v>
          </cell>
          <cell r="S112">
            <v>1.3918762945303399E-2</v>
          </cell>
          <cell r="V112">
            <v>24.934798703399998</v>
          </cell>
        </row>
        <row r="113">
          <cell r="A113">
            <v>46305</v>
          </cell>
          <cell r="B113">
            <v>243.471</v>
          </cell>
          <cell r="C113"/>
          <cell r="D113">
            <v>556.47020201966404</v>
          </cell>
          <cell r="E113">
            <v>981.928</v>
          </cell>
          <cell r="F113">
            <v>981.928</v>
          </cell>
          <cell r="G113">
            <v>981.928</v>
          </cell>
          <cell r="H113">
            <v>379.8</v>
          </cell>
          <cell r="I113">
            <v>300</v>
          </cell>
          <cell r="J113" t="str">
            <v>0</v>
          </cell>
          <cell r="L113">
            <v>33.071300203547835</v>
          </cell>
          <cell r="M113">
            <v>53</v>
          </cell>
          <cell r="N113">
            <v>765.87130020354778</v>
          </cell>
          <cell r="O113">
            <v>0.52859816842718976</v>
          </cell>
          <cell r="P113">
            <v>556.9988001880912</v>
          </cell>
          <cell r="Q113">
            <v>243.511</v>
          </cell>
          <cell r="R113">
            <v>251.85</v>
          </cell>
          <cell r="S113">
            <v>1.3918762945303399E-2</v>
          </cell>
          <cell r="V113">
            <v>27.805107886800002</v>
          </cell>
        </row>
        <row r="114">
          <cell r="A114">
            <v>46306</v>
          </cell>
          <cell r="B114">
            <v>243.511</v>
          </cell>
          <cell r="C114"/>
          <cell r="D114">
            <v>556.98978326702399</v>
          </cell>
          <cell r="E114">
            <v>853.62699999999995</v>
          </cell>
          <cell r="F114">
            <v>853.62699999999995</v>
          </cell>
          <cell r="G114">
            <v>853.62699999999995</v>
          </cell>
          <cell r="H114">
            <v>379.8</v>
          </cell>
          <cell r="I114">
            <v>300</v>
          </cell>
          <cell r="J114" t="str">
            <v>0</v>
          </cell>
          <cell r="L114">
            <v>38.011933760983268</v>
          </cell>
          <cell r="M114">
            <v>53</v>
          </cell>
          <cell r="N114">
            <v>770.81193376098327</v>
          </cell>
          <cell r="O114">
            <v>0.2026129824872917</v>
          </cell>
          <cell r="P114">
            <v>557.19239624951126</v>
          </cell>
          <cell r="Q114">
            <v>243.52600000000001</v>
          </cell>
          <cell r="R114">
            <v>251.85</v>
          </cell>
          <cell r="S114">
            <v>1.3918762945303399E-2</v>
          </cell>
          <cell r="V114">
            <v>24.172027714949998</v>
          </cell>
        </row>
        <row r="115">
          <cell r="A115">
            <v>46307</v>
          </cell>
          <cell r="B115">
            <v>243.52600000000001</v>
          </cell>
          <cell r="C115"/>
          <cell r="D115">
            <v>557.18462623478399</v>
          </cell>
          <cell r="E115">
            <v>1157.4970000000001</v>
          </cell>
          <cell r="F115">
            <v>1157.4970000000001</v>
          </cell>
          <cell r="G115">
            <v>1157.4970000000001</v>
          </cell>
          <cell r="H115">
            <v>379.8</v>
          </cell>
          <cell r="I115">
            <v>300</v>
          </cell>
          <cell r="J115" t="str">
            <v>0</v>
          </cell>
          <cell r="L115">
            <v>27.616200706689771</v>
          </cell>
          <cell r="M115">
            <v>53</v>
          </cell>
          <cell r="N115">
            <v>760.41620070668978</v>
          </cell>
          <cell r="O115">
            <v>0.971486574689849</v>
          </cell>
          <cell r="P115">
            <v>558.15611280947383</v>
          </cell>
          <cell r="Q115">
            <v>243.6</v>
          </cell>
          <cell r="R115">
            <v>251.85</v>
          </cell>
          <cell r="S115">
            <v>1.3918762945303399E-2</v>
          </cell>
          <cell r="V115">
            <v>32.77666892445</v>
          </cell>
        </row>
        <row r="116">
          <cell r="A116">
            <v>46308</v>
          </cell>
          <cell r="B116">
            <v>243.6</v>
          </cell>
          <cell r="C116"/>
          <cell r="D116">
            <v>558.14585154240001</v>
          </cell>
          <cell r="E116">
            <v>2431.498</v>
          </cell>
          <cell r="F116">
            <v>2431.498</v>
          </cell>
          <cell r="G116">
            <v>2431.498</v>
          </cell>
          <cell r="H116">
            <v>379.8</v>
          </cell>
          <cell r="I116">
            <v>300</v>
          </cell>
          <cell r="J116" t="str">
            <v>0</v>
          </cell>
          <cell r="L116">
            <v>51.603982903005026</v>
          </cell>
          <cell r="M116">
            <v>53</v>
          </cell>
          <cell r="N116">
            <v>784.40398290300493</v>
          </cell>
          <cell r="O116">
            <v>4.0297333129919011</v>
          </cell>
          <cell r="P116">
            <v>562.17558485539189</v>
          </cell>
          <cell r="Q116">
            <v>243.91</v>
          </cell>
          <cell r="R116">
            <v>251.85</v>
          </cell>
          <cell r="S116">
            <v>1.3918762945303399E-2</v>
          </cell>
          <cell r="V116">
            <v>68.852364141300001</v>
          </cell>
        </row>
        <row r="117">
          <cell r="A117">
            <v>46309</v>
          </cell>
          <cell r="B117">
            <v>243.91</v>
          </cell>
          <cell r="C117"/>
          <cell r="D117">
            <v>562.17260620944</v>
          </cell>
          <cell r="E117">
            <v>1011.189</v>
          </cell>
          <cell r="F117">
            <v>1011.189</v>
          </cell>
          <cell r="G117">
            <v>1011.189</v>
          </cell>
          <cell r="H117">
            <v>379.8</v>
          </cell>
          <cell r="I117">
            <v>300</v>
          </cell>
          <cell r="J117" t="str">
            <v>0</v>
          </cell>
          <cell r="L117">
            <v>93.780218106305995</v>
          </cell>
          <cell r="M117">
            <v>53</v>
          </cell>
          <cell r="N117">
            <v>826.58021810630589</v>
          </cell>
          <cell r="O117">
            <v>0.45165858812300352</v>
          </cell>
          <cell r="P117">
            <v>562.624264797563</v>
          </cell>
          <cell r="Q117">
            <v>243.94399999999999</v>
          </cell>
          <cell r="R117">
            <v>251.85</v>
          </cell>
          <cell r="S117">
            <v>1.3918762945303399E-2</v>
          </cell>
          <cell r="V117">
            <v>28.633687234650001</v>
          </cell>
        </row>
        <row r="118">
          <cell r="A118">
            <v>46310</v>
          </cell>
          <cell r="B118">
            <v>243.94399999999999</v>
          </cell>
          <cell r="C118"/>
          <cell r="D118">
            <v>562.61425026969596</v>
          </cell>
          <cell r="E118">
            <v>835.62</v>
          </cell>
          <cell r="F118">
            <v>835.62</v>
          </cell>
          <cell r="G118">
            <v>835.62</v>
          </cell>
          <cell r="H118">
            <v>379.8</v>
          </cell>
          <cell r="I118">
            <v>300</v>
          </cell>
          <cell r="J118" t="str">
            <v>0</v>
          </cell>
          <cell r="L118">
            <v>28.313891947202983</v>
          </cell>
          <cell r="M118">
            <v>53</v>
          </cell>
          <cell r="N118">
            <v>761.11389194720289</v>
          </cell>
          <cell r="O118">
            <v>0.18228452202801607</v>
          </cell>
          <cell r="P118">
            <v>562.79653479172396</v>
          </cell>
          <cell r="Q118">
            <v>243.958</v>
          </cell>
          <cell r="R118">
            <v>251.85</v>
          </cell>
          <cell r="S118">
            <v>1.3918762945303399E-2</v>
          </cell>
          <cell r="V118">
            <v>23.662126197000003</v>
          </cell>
        </row>
        <row r="119">
          <cell r="A119">
            <v>46311</v>
          </cell>
          <cell r="B119">
            <v>243.958</v>
          </cell>
          <cell r="C119"/>
          <cell r="D119">
            <v>562.79610370627199</v>
          </cell>
          <cell r="E119">
            <v>761.34100000000001</v>
          </cell>
          <cell r="F119">
            <v>761.34100000000001</v>
          </cell>
          <cell r="G119">
            <v>761.34100000000001</v>
          </cell>
          <cell r="H119">
            <v>379.8</v>
          </cell>
          <cell r="I119">
            <v>300</v>
          </cell>
          <cell r="J119" t="str">
            <v>0</v>
          </cell>
          <cell r="L119">
            <v>40.280655614454183</v>
          </cell>
          <cell r="M119">
            <v>53</v>
          </cell>
          <cell r="N119">
            <v>773.08065561445414</v>
          </cell>
          <cell r="O119">
            <v>-2.8721907080931589E-2</v>
          </cell>
          <cell r="P119">
            <v>562.76738179919107</v>
          </cell>
          <cell r="Q119">
            <v>243.95500000000001</v>
          </cell>
          <cell r="R119">
            <v>251.85</v>
          </cell>
          <cell r="S119">
            <v>1.3918762945303399E-2</v>
          </cell>
          <cell r="V119">
            <v>21.558778895850001</v>
          </cell>
        </row>
        <row r="120">
          <cell r="A120">
            <v>46312</v>
          </cell>
          <cell r="B120">
            <v>243.95500000000001</v>
          </cell>
          <cell r="C120"/>
          <cell r="D120">
            <v>562.75713511271999</v>
          </cell>
          <cell r="E120">
            <v>1408.3789999999999</v>
          </cell>
          <cell r="F120">
            <v>1408.3789999999999</v>
          </cell>
          <cell r="G120">
            <v>1408.3789999999999</v>
          </cell>
          <cell r="H120">
            <v>379.8</v>
          </cell>
          <cell r="I120">
            <v>300</v>
          </cell>
          <cell r="J120" t="str">
            <v>0</v>
          </cell>
          <cell r="L120">
            <v>86.597252202947573</v>
          </cell>
          <cell r="M120">
            <v>53</v>
          </cell>
          <cell r="N120">
            <v>819.39725220294758</v>
          </cell>
          <cell r="O120">
            <v>1.4409859699600909</v>
          </cell>
          <cell r="P120">
            <v>564.19812108268013</v>
          </cell>
          <cell r="Q120">
            <v>244.065</v>
          </cell>
          <cell r="R120">
            <v>251.85</v>
          </cell>
          <cell r="S120">
            <v>1.3918762945303399E-2</v>
          </cell>
          <cell r="V120">
            <v>39.880856886149999</v>
          </cell>
        </row>
        <row r="121">
          <cell r="A121">
            <v>46313</v>
          </cell>
          <cell r="B121">
            <v>244.065</v>
          </cell>
          <cell r="C121"/>
          <cell r="D121">
            <v>564.18598354296</v>
          </cell>
          <cell r="E121">
            <v>1088.48</v>
          </cell>
          <cell r="F121">
            <v>1088.48</v>
          </cell>
          <cell r="G121">
            <v>1088.48</v>
          </cell>
          <cell r="H121">
            <v>379.8</v>
          </cell>
          <cell r="I121">
            <v>300</v>
          </cell>
          <cell r="J121" t="str">
            <v>0</v>
          </cell>
          <cell r="L121">
            <v>36.855039641265115</v>
          </cell>
          <cell r="M121">
            <v>53</v>
          </cell>
          <cell r="N121">
            <v>769.65503964126503</v>
          </cell>
          <cell r="O121">
            <v>0.78002806787881007</v>
          </cell>
          <cell r="P121">
            <v>564.96601161083879</v>
          </cell>
          <cell r="Q121">
            <v>244.125</v>
          </cell>
          <cell r="R121">
            <v>251.85</v>
          </cell>
          <cell r="S121">
            <v>1.3918762945303399E-2</v>
          </cell>
          <cell r="V121">
            <v>30.822324888000001</v>
          </cell>
        </row>
        <row r="122">
          <cell r="A122">
            <v>46314</v>
          </cell>
          <cell r="B122">
            <v>244.125</v>
          </cell>
          <cell r="C122"/>
          <cell r="D122">
            <v>564.96535541399999</v>
          </cell>
          <cell r="E122">
            <v>955.84</v>
          </cell>
          <cell r="F122">
            <v>955.84</v>
          </cell>
          <cell r="G122">
            <v>955.84</v>
          </cell>
          <cell r="H122">
            <v>379.8</v>
          </cell>
          <cell r="I122">
            <v>300</v>
          </cell>
          <cell r="J122" t="str">
            <v>0</v>
          </cell>
          <cell r="L122">
            <v>32.869780316978378</v>
          </cell>
          <cell r="M122">
            <v>53</v>
          </cell>
          <cell r="N122">
            <v>765.66978031697829</v>
          </cell>
          <cell r="O122">
            <v>0.4652650434286244</v>
          </cell>
          <cell r="P122">
            <v>565.43062045742863</v>
          </cell>
          <cell r="Q122">
            <v>244.16</v>
          </cell>
          <cell r="R122">
            <v>251.85</v>
          </cell>
          <cell r="S122">
            <v>1.3918762945303399E-2</v>
          </cell>
          <cell r="V122">
            <v>27.066377904000003</v>
          </cell>
        </row>
        <row r="123">
          <cell r="A123">
            <v>46315</v>
          </cell>
          <cell r="B123">
            <v>244.16</v>
          </cell>
          <cell r="C123"/>
          <cell r="D123">
            <v>565.41998900544002</v>
          </cell>
          <cell r="E123">
            <v>948.03700000000003</v>
          </cell>
          <cell r="F123">
            <v>948.03700000000003</v>
          </cell>
          <cell r="G123">
            <v>948.03700000000003</v>
          </cell>
          <cell r="H123">
            <v>379.8</v>
          </cell>
          <cell r="I123">
            <v>300</v>
          </cell>
          <cell r="J123" t="str">
            <v>0</v>
          </cell>
          <cell r="L123">
            <v>82.335367992074993</v>
          </cell>
          <cell r="M123">
            <v>53</v>
          </cell>
          <cell r="N123">
            <v>815.13536799207498</v>
          </cell>
          <cell r="O123">
            <v>0.32515334783210986</v>
          </cell>
          <cell r="P123">
            <v>565.74514235327217</v>
          </cell>
          <cell r="Q123">
            <v>244.185</v>
          </cell>
          <cell r="R123">
            <v>251.85</v>
          </cell>
          <cell r="S123">
            <v>1.3918762945303399E-2</v>
          </cell>
          <cell r="V123">
            <v>26.845421523450003</v>
          </cell>
        </row>
        <row r="124">
          <cell r="A124">
            <v>46316</v>
          </cell>
          <cell r="B124">
            <v>244.185</v>
          </cell>
          <cell r="C124"/>
          <cell r="D124">
            <v>565.74472728503997</v>
          </cell>
          <cell r="E124">
            <v>2906.44</v>
          </cell>
          <cell r="F124">
            <v>2906.44</v>
          </cell>
          <cell r="G124">
            <v>2906.44</v>
          </cell>
          <cell r="H124">
            <v>379.8</v>
          </cell>
          <cell r="I124">
            <v>300</v>
          </cell>
          <cell r="J124" t="str">
            <v>0</v>
          </cell>
          <cell r="L124">
            <v>36.588644288361152</v>
          </cell>
          <cell r="M124">
            <v>53</v>
          </cell>
          <cell r="N124">
            <v>769.38864428836109</v>
          </cell>
          <cell r="O124">
            <v>5.2284489836614849</v>
          </cell>
          <cell r="P124">
            <v>570.97317626870142</v>
          </cell>
          <cell r="Q124">
            <v>244.58699999999999</v>
          </cell>
          <cell r="R124">
            <v>251.85</v>
          </cell>
          <cell r="S124">
            <v>1.3918762945303399E-2</v>
          </cell>
          <cell r="V124">
            <v>82.301225514000009</v>
          </cell>
        </row>
        <row r="125">
          <cell r="A125">
            <v>46317</v>
          </cell>
          <cell r="B125">
            <v>244.58699999999999</v>
          </cell>
          <cell r="C125"/>
          <cell r="D125">
            <v>570.96651882100798</v>
          </cell>
          <cell r="E125">
            <v>1291.3430000000001</v>
          </cell>
          <cell r="F125">
            <v>1291.3430000000001</v>
          </cell>
          <cell r="G125">
            <v>1291.3430000000001</v>
          </cell>
          <cell r="H125">
            <v>379.8</v>
          </cell>
          <cell r="I125">
            <v>300</v>
          </cell>
          <cell r="J125" t="str">
            <v>0</v>
          </cell>
          <cell r="L125">
            <v>49.695617938311479</v>
          </cell>
          <cell r="M125">
            <v>53</v>
          </cell>
          <cell r="N125">
            <v>782.4956179383114</v>
          </cell>
          <cell r="O125">
            <v>1.2449315129786864</v>
          </cell>
          <cell r="P125">
            <v>572.2114503339867</v>
          </cell>
          <cell r="Q125">
            <v>244.68199999999999</v>
          </cell>
          <cell r="R125">
            <v>251.85</v>
          </cell>
          <cell r="S125">
            <v>1.3918762945303399E-2</v>
          </cell>
          <cell r="V125">
            <v>36.566766029550003</v>
          </cell>
        </row>
        <row r="126">
          <cell r="A126">
            <v>46318</v>
          </cell>
          <cell r="B126">
            <v>244.68199999999999</v>
          </cell>
          <cell r="C126"/>
          <cell r="D126">
            <v>572.20052428348799</v>
          </cell>
          <cell r="E126">
            <v>1072.876</v>
          </cell>
          <cell r="F126">
            <v>1072.876</v>
          </cell>
          <cell r="G126">
            <v>1072.876</v>
          </cell>
          <cell r="H126">
            <v>379.8</v>
          </cell>
          <cell r="I126">
            <v>300</v>
          </cell>
          <cell r="J126" t="str">
            <v>0</v>
          </cell>
          <cell r="L126">
            <v>47.314454176096191</v>
          </cell>
          <cell r="M126">
            <v>53</v>
          </cell>
          <cell r="N126">
            <v>780.11445417609616</v>
          </cell>
          <cell r="O126">
            <v>0.71626206016393801</v>
          </cell>
          <cell r="P126">
            <v>572.91678634365189</v>
          </cell>
          <cell r="Q126">
            <v>244.73699999999999</v>
          </cell>
          <cell r="R126">
            <v>251.85</v>
          </cell>
          <cell r="S126">
            <v>1.3918762945303399E-2</v>
          </cell>
          <cell r="V126">
            <v>30.380468760599999</v>
          </cell>
        </row>
        <row r="127">
          <cell r="A127">
            <v>46319</v>
          </cell>
          <cell r="B127">
            <v>244.73699999999999</v>
          </cell>
          <cell r="C127"/>
          <cell r="D127">
            <v>572.91494849860806</v>
          </cell>
          <cell r="E127">
            <v>2810.5169999999998</v>
          </cell>
          <cell r="F127">
            <v>2810.5169999999998</v>
          </cell>
          <cell r="G127">
            <v>2810.5169999999998</v>
          </cell>
          <cell r="H127">
            <v>379.8</v>
          </cell>
          <cell r="I127">
            <v>300</v>
          </cell>
          <cell r="J127" t="str">
            <v>0</v>
          </cell>
          <cell r="L127">
            <v>72.517697601581858</v>
          </cell>
          <cell r="M127">
            <v>53</v>
          </cell>
          <cell r="N127">
            <v>805.31769760158181</v>
          </cell>
          <cell r="O127">
            <v>4.9058635051718369</v>
          </cell>
          <cell r="P127">
            <v>577.82081200377991</v>
          </cell>
          <cell r="Q127">
            <v>245.107</v>
          </cell>
          <cell r="R127">
            <v>251.85</v>
          </cell>
          <cell r="S127">
            <v>1.3918762945303399E-2</v>
          </cell>
          <cell r="V127">
            <v>79.584988311450005</v>
          </cell>
        </row>
        <row r="128">
          <cell r="A128">
            <v>46320</v>
          </cell>
          <cell r="B128">
            <v>245.107</v>
          </cell>
          <cell r="C128"/>
          <cell r="D128">
            <v>577.80960880377597</v>
          </cell>
          <cell r="E128">
            <v>2337.3389999999999</v>
          </cell>
          <cell r="F128">
            <v>2337.3389999999999</v>
          </cell>
          <cell r="G128">
            <v>2337.3389999999999</v>
          </cell>
          <cell r="H128">
            <v>379.8</v>
          </cell>
          <cell r="I128">
            <v>300</v>
          </cell>
          <cell r="J128" t="str">
            <v>0</v>
          </cell>
          <cell r="L128">
            <v>25.620531476833143</v>
          </cell>
          <cell r="M128">
            <v>53</v>
          </cell>
          <cell r="N128">
            <v>758.42053147683305</v>
          </cell>
          <cell r="O128">
            <v>3.8629369574907964</v>
          </cell>
          <cell r="P128">
            <v>581.67254576126675</v>
          </cell>
          <cell r="Q128">
            <v>245.386</v>
          </cell>
          <cell r="R128">
            <v>251.85</v>
          </cell>
          <cell r="S128">
            <v>1.3918762945303399E-2</v>
          </cell>
          <cell r="V128">
            <v>66.18607786215</v>
          </cell>
        </row>
        <row r="129">
          <cell r="A129">
            <v>46321</v>
          </cell>
          <cell r="B129">
            <v>245.386</v>
          </cell>
          <cell r="C129"/>
          <cell r="D129">
            <v>581.66453773324804</v>
          </cell>
          <cell r="E129">
            <v>2012.385</v>
          </cell>
          <cell r="F129">
            <v>2012.385</v>
          </cell>
          <cell r="G129">
            <v>2012.385</v>
          </cell>
          <cell r="H129">
            <v>379.8</v>
          </cell>
          <cell r="I129">
            <v>300</v>
          </cell>
          <cell r="J129" t="str">
            <v>0</v>
          </cell>
          <cell r="L129">
            <v>23.940151194339457</v>
          </cell>
          <cell r="M129">
            <v>53</v>
          </cell>
          <cell r="N129">
            <v>756.74015119433943</v>
          </cell>
          <cell r="O129">
            <v>3.0720249263226354</v>
          </cell>
          <cell r="P129">
            <v>584.73656265957072</v>
          </cell>
          <cell r="Q129">
            <v>245.608</v>
          </cell>
          <cell r="R129">
            <v>251.85</v>
          </cell>
          <cell r="S129">
            <v>1.3918762945303399E-2</v>
          </cell>
          <cell r="V129">
            <v>56.98440418725</v>
          </cell>
        </row>
        <row r="130">
          <cell r="A130">
            <v>46322</v>
          </cell>
          <cell r="B130">
            <v>245.608</v>
          </cell>
          <cell r="C130"/>
          <cell r="D130">
            <v>584.73190053734402</v>
          </cell>
          <cell r="E130">
            <v>1807.1510000000001</v>
          </cell>
          <cell r="F130">
            <v>1807.1510000000001</v>
          </cell>
          <cell r="G130">
            <v>1807.1510000000001</v>
          </cell>
          <cell r="H130">
            <v>379.8</v>
          </cell>
          <cell r="I130">
            <v>300</v>
          </cell>
          <cell r="J130" t="str">
            <v>0</v>
          </cell>
          <cell r="L130">
            <v>21.920930102401069</v>
          </cell>
          <cell r="M130">
            <v>53</v>
          </cell>
          <cell r="N130">
            <v>754.72093010240098</v>
          </cell>
          <cell r="O130">
            <v>2.5748454358030748</v>
          </cell>
          <cell r="P130">
            <v>587.30674597314714</v>
          </cell>
          <cell r="Q130">
            <v>245.79400000000001</v>
          </cell>
          <cell r="R130">
            <v>251.85</v>
          </cell>
          <cell r="S130">
            <v>1.3918762945303399E-2</v>
          </cell>
          <cell r="V130">
            <v>51.172823794350002</v>
          </cell>
        </row>
        <row r="131">
          <cell r="A131">
            <v>46323</v>
          </cell>
          <cell r="B131">
            <v>245.79400000000001</v>
          </cell>
          <cell r="C131"/>
          <cell r="D131">
            <v>587.30185315699202</v>
          </cell>
          <cell r="E131">
            <v>1715.9359999999999</v>
          </cell>
          <cell r="F131">
            <v>1715.9359999999999</v>
          </cell>
          <cell r="G131">
            <v>1715.9359999999999</v>
          </cell>
          <cell r="H131">
            <v>379.8</v>
          </cell>
          <cell r="I131">
            <v>300</v>
          </cell>
          <cell r="J131" t="str">
            <v>0</v>
          </cell>
          <cell r="L131">
            <v>45.236513783679975</v>
          </cell>
          <cell r="M131">
            <v>53</v>
          </cell>
          <cell r="N131">
            <v>778.03651378367988</v>
          </cell>
          <cell r="O131">
            <v>2.2946381715994812</v>
          </cell>
          <cell r="P131">
            <v>589.59649132859147</v>
          </cell>
          <cell r="Q131">
            <v>245.96</v>
          </cell>
          <cell r="R131">
            <v>251.85</v>
          </cell>
          <cell r="S131">
            <v>1.3918762945303399E-2</v>
          </cell>
          <cell r="V131">
            <v>48.5899023216</v>
          </cell>
        </row>
        <row r="132">
          <cell r="A132">
            <v>46324</v>
          </cell>
          <cell r="B132">
            <v>245.96</v>
          </cell>
          <cell r="C132"/>
          <cell r="D132">
            <v>589.59546678528</v>
          </cell>
          <cell r="E132">
            <v>1619.02</v>
          </cell>
          <cell r="F132">
            <v>1619.02</v>
          </cell>
          <cell r="G132">
            <v>1619.02</v>
          </cell>
          <cell r="H132">
            <v>379.8</v>
          </cell>
          <cell r="I132">
            <v>300</v>
          </cell>
          <cell r="J132" t="str">
            <v>0</v>
          </cell>
          <cell r="L132">
            <v>41.535782848004679</v>
          </cell>
          <cell r="M132">
            <v>53</v>
          </cell>
          <cell r="N132">
            <v>774.33578284800467</v>
          </cell>
          <cell r="O132">
            <v>2.0665803490775669</v>
          </cell>
          <cell r="P132">
            <v>591.66204713435752</v>
          </cell>
          <cell r="Q132">
            <v>246.10900000000001</v>
          </cell>
          <cell r="R132">
            <v>251.85</v>
          </cell>
          <cell r="S132">
            <v>1.3918762945303399E-2</v>
          </cell>
          <cell r="V132">
            <v>45.845546487</v>
          </cell>
        </row>
        <row r="133">
          <cell r="A133">
            <v>46325</v>
          </cell>
          <cell r="B133">
            <v>246.10900000000001</v>
          </cell>
          <cell r="C133"/>
          <cell r="D133">
            <v>591.65419227091195</v>
          </cell>
          <cell r="E133">
            <v>1539.2070000000001</v>
          </cell>
          <cell r="F133">
            <v>1539.2070000000001</v>
          </cell>
          <cell r="G133">
            <v>1539.2070000000001</v>
          </cell>
          <cell r="H133">
            <v>379.8</v>
          </cell>
          <cell r="I133">
            <v>300</v>
          </cell>
          <cell r="J133" t="str">
            <v>0</v>
          </cell>
          <cell r="L133">
            <v>33.127357477379654</v>
          </cell>
          <cell r="M133">
            <v>53</v>
          </cell>
          <cell r="N133">
            <v>765.92735747737959</v>
          </cell>
          <cell r="O133">
            <v>1.891883950391624</v>
          </cell>
          <cell r="P133">
            <v>593.54607622130357</v>
          </cell>
          <cell r="Q133">
            <v>246.245</v>
          </cell>
          <cell r="R133">
            <v>251.85</v>
          </cell>
          <cell r="S133">
            <v>1.3918762945303399E-2</v>
          </cell>
          <cell r="V133">
            <v>43.585493737950003</v>
          </cell>
        </row>
        <row r="134">
          <cell r="A134">
            <v>46326</v>
          </cell>
          <cell r="B134">
            <v>246.245</v>
          </cell>
          <cell r="C134"/>
          <cell r="D134">
            <v>593.53329741215998</v>
          </cell>
          <cell r="E134">
            <v>1303.71</v>
          </cell>
          <cell r="F134">
            <v>1303.71</v>
          </cell>
          <cell r="G134">
            <v>1303.71</v>
          </cell>
          <cell r="H134">
            <v>379.8</v>
          </cell>
          <cell r="I134">
            <v>300</v>
          </cell>
          <cell r="J134" t="str">
            <v>0</v>
          </cell>
          <cell r="L134">
            <v>53.730132691567349</v>
          </cell>
          <cell r="M134">
            <v>53</v>
          </cell>
          <cell r="N134">
            <v>786.53013269156736</v>
          </cell>
          <cell r="O134">
            <v>1.2653175340741905</v>
          </cell>
          <cell r="P134">
            <v>594.79861494623412</v>
          </cell>
          <cell r="Q134">
            <v>246.33600000000001</v>
          </cell>
          <cell r="R134">
            <v>251.85</v>
          </cell>
          <cell r="S134">
            <v>1.3918762945303399E-2</v>
          </cell>
          <cell r="V134">
            <v>36.916960513500001</v>
          </cell>
        </row>
        <row r="135">
          <cell r="A135">
            <v>46327</v>
          </cell>
          <cell r="B135">
            <v>246.33600000000001</v>
          </cell>
          <cell r="C135"/>
          <cell r="D135">
            <v>594.79063982284799</v>
          </cell>
          <cell r="E135">
            <v>2270.8589999999999</v>
          </cell>
          <cell r="F135">
            <v>2270.8589999999999</v>
          </cell>
          <cell r="G135">
            <v>2270.8589999999999</v>
          </cell>
          <cell r="H135">
            <v>379.8</v>
          </cell>
          <cell r="I135">
            <v>300</v>
          </cell>
          <cell r="J135" t="str">
            <v>0</v>
          </cell>
          <cell r="L135">
            <v>52.844850104537571</v>
          </cell>
          <cell r="M135">
            <v>53</v>
          </cell>
          <cell r="N135">
            <v>785.64485010453757</v>
          </cell>
          <cell r="O135">
            <v>3.6336826402352491</v>
          </cell>
          <cell r="P135">
            <v>598.42432246308329</v>
          </cell>
          <cell r="Q135">
            <v>246.59800000000001</v>
          </cell>
          <cell r="R135">
            <v>251.85</v>
          </cell>
          <cell r="S135">
            <v>1.3918762945303399E-2</v>
          </cell>
          <cell r="V135">
            <v>64.303573674150002</v>
          </cell>
        </row>
        <row r="136">
          <cell r="A136">
            <v>46328</v>
          </cell>
          <cell r="B136">
            <v>246.59800000000001</v>
          </cell>
          <cell r="C136"/>
          <cell r="D136">
            <v>598.41068060966404</v>
          </cell>
          <cell r="E136">
            <v>3969.7890000000002</v>
          </cell>
          <cell r="F136">
            <v>3969.7890000000002</v>
          </cell>
          <cell r="G136">
            <v>3969.7890000000002</v>
          </cell>
          <cell r="H136">
            <v>379.8</v>
          </cell>
          <cell r="I136">
            <v>300</v>
          </cell>
          <cell r="J136" t="str">
            <v>0</v>
          </cell>
          <cell r="L136">
            <v>46.021477526792758</v>
          </cell>
          <cell r="M136">
            <v>53</v>
          </cell>
          <cell r="N136">
            <v>778.82147752679271</v>
          </cell>
          <cell r="O136">
            <v>7.806930261727909</v>
          </cell>
          <cell r="P136">
            <v>606.21761087139191</v>
          </cell>
          <cell r="Q136">
            <v>247.16300000000001</v>
          </cell>
          <cell r="R136">
            <v>251.85</v>
          </cell>
          <cell r="S136">
            <v>1.3918762945303399E-2</v>
          </cell>
          <cell r="V136">
            <v>112.41191964465001</v>
          </cell>
        </row>
        <row r="137">
          <cell r="A137">
            <v>46329</v>
          </cell>
          <cell r="B137">
            <v>247.16300000000001</v>
          </cell>
          <cell r="C137"/>
          <cell r="D137">
            <v>606.21725711558395</v>
          </cell>
          <cell r="E137">
            <v>2031.211</v>
          </cell>
          <cell r="F137">
            <v>2031.211</v>
          </cell>
          <cell r="G137">
            <v>2031.211</v>
          </cell>
          <cell r="H137">
            <v>379.8</v>
          </cell>
          <cell r="I137">
            <v>300</v>
          </cell>
          <cell r="J137" t="str">
            <v>0</v>
          </cell>
          <cell r="L137">
            <v>63.774662398227676</v>
          </cell>
          <cell r="M137">
            <v>53</v>
          </cell>
          <cell r="N137">
            <v>796.57466239822759</v>
          </cell>
          <cell r="O137">
            <v>3.0206261011336015</v>
          </cell>
          <cell r="P137">
            <v>609.23788321671759</v>
          </cell>
          <cell r="Q137">
            <v>247.381</v>
          </cell>
          <cell r="R137">
            <v>251.85</v>
          </cell>
          <cell r="S137">
            <v>1.3918762945303399E-2</v>
          </cell>
          <cell r="V137">
            <v>57.517497205350004</v>
          </cell>
        </row>
        <row r="138">
          <cell r="A138">
            <v>46330</v>
          </cell>
          <cell r="B138">
            <v>247.381</v>
          </cell>
          <cell r="C138"/>
          <cell r="D138">
            <v>609.22935212140806</v>
          </cell>
          <cell r="E138">
            <v>1641.7840000000001</v>
          </cell>
          <cell r="F138">
            <v>1641.7840000000001</v>
          </cell>
          <cell r="G138">
            <v>1641.7840000000001</v>
          </cell>
          <cell r="H138">
            <v>379.8</v>
          </cell>
          <cell r="I138">
            <v>300</v>
          </cell>
          <cell r="J138" t="str">
            <v>0</v>
          </cell>
          <cell r="L138">
            <v>77.816001419852867</v>
          </cell>
          <cell r="M138">
            <v>53</v>
          </cell>
          <cell r="N138">
            <v>810.61600141985286</v>
          </cell>
          <cell r="O138">
            <v>2.0335119536615887</v>
          </cell>
          <cell r="P138">
            <v>611.26286407506961</v>
          </cell>
          <cell r="Q138">
            <v>247.52799999999999</v>
          </cell>
          <cell r="R138">
            <v>251.85</v>
          </cell>
          <cell r="S138">
            <v>1.3918762945303399E-2</v>
          </cell>
          <cell r="V138">
            <v>46.490151260400005</v>
          </cell>
        </row>
        <row r="139">
          <cell r="A139">
            <v>46331</v>
          </cell>
          <cell r="B139">
            <v>247.52799999999999</v>
          </cell>
          <cell r="C139"/>
          <cell r="D139">
            <v>611.26044370790396</v>
          </cell>
          <cell r="E139">
            <v>1996.9760000000001</v>
          </cell>
          <cell r="F139">
            <v>1996.9760000000001</v>
          </cell>
          <cell r="G139">
            <v>1996.9760000000001</v>
          </cell>
          <cell r="H139">
            <v>379.8</v>
          </cell>
          <cell r="I139">
            <v>300</v>
          </cell>
          <cell r="J139" t="str">
            <v>0</v>
          </cell>
          <cell r="L139">
            <v>37.505651764141042</v>
          </cell>
          <cell r="M139">
            <v>53</v>
          </cell>
          <cell r="N139">
            <v>770.30565176414098</v>
          </cell>
          <cell r="O139">
            <v>3.0011367384223346</v>
          </cell>
          <cell r="P139">
            <v>614.26158044632632</v>
          </cell>
          <cell r="Q139">
            <v>247.745</v>
          </cell>
          <cell r="R139">
            <v>251.85</v>
          </cell>
          <cell r="S139">
            <v>1.3918762945303399E-2</v>
          </cell>
          <cell r="V139">
            <v>56.548069845600004</v>
          </cell>
        </row>
        <row r="140">
          <cell r="A140">
            <v>46332</v>
          </cell>
          <cell r="B140">
            <v>247.745</v>
          </cell>
          <cell r="C140"/>
          <cell r="D140">
            <v>614.25872176415999</v>
          </cell>
          <cell r="E140">
            <v>1470.607</v>
          </cell>
          <cell r="F140">
            <v>1470.607</v>
          </cell>
          <cell r="G140">
            <v>1470.607</v>
          </cell>
          <cell r="H140">
            <v>379.8</v>
          </cell>
          <cell r="I140">
            <v>300</v>
          </cell>
          <cell r="J140" t="str">
            <v>0</v>
          </cell>
          <cell r="L140">
            <v>66.03876209417065</v>
          </cell>
          <cell r="M140">
            <v>53</v>
          </cell>
          <cell r="N140">
            <v>798.83876209417065</v>
          </cell>
          <cell r="O140">
            <v>1.6435290389009867</v>
          </cell>
          <cell r="P140">
            <v>615.90225080306095</v>
          </cell>
          <cell r="Q140">
            <v>247.863</v>
          </cell>
          <cell r="R140">
            <v>251.85</v>
          </cell>
          <cell r="S140">
            <v>1.3918762945303399E-2</v>
          </cell>
          <cell r="V140">
            <v>41.642957827949999</v>
          </cell>
        </row>
        <row r="141">
          <cell r="A141">
            <v>46333</v>
          </cell>
          <cell r="B141">
            <v>247.863</v>
          </cell>
          <cell r="C141"/>
          <cell r="D141">
            <v>615.88912181318403</v>
          </cell>
          <cell r="E141">
            <v>1729.51</v>
          </cell>
          <cell r="F141">
            <v>1729.51</v>
          </cell>
          <cell r="G141">
            <v>1729.51</v>
          </cell>
          <cell r="H141">
            <v>379.8</v>
          </cell>
          <cell r="I141">
            <v>300</v>
          </cell>
          <cell r="J141" t="str">
            <v>0</v>
          </cell>
          <cell r="L141">
            <v>63.751918720066705</v>
          </cell>
          <cell r="M141">
            <v>53</v>
          </cell>
          <cell r="N141">
            <v>796.55191872006662</v>
          </cell>
          <cell r="O141">
            <v>2.28254867101333</v>
          </cell>
          <cell r="P141">
            <v>618.17167048419731</v>
          </cell>
          <cell r="Q141">
            <v>248.02799999999999</v>
          </cell>
          <cell r="R141">
            <v>251.85</v>
          </cell>
          <cell r="S141">
            <v>1.3918762945303399E-2</v>
          </cell>
          <cell r="V141">
            <v>48.974275243500003</v>
          </cell>
        </row>
        <row r="142">
          <cell r="A142">
            <v>46334</v>
          </cell>
          <cell r="B142">
            <v>248.02799999999999</v>
          </cell>
          <cell r="C142"/>
          <cell r="D142">
            <v>618.16891849190404</v>
          </cell>
          <cell r="E142">
            <v>1498.7760000000001</v>
          </cell>
          <cell r="F142">
            <v>1498.7760000000001</v>
          </cell>
          <cell r="G142">
            <v>1498.7760000000001</v>
          </cell>
          <cell r="H142">
            <v>379.8</v>
          </cell>
          <cell r="I142">
            <v>300</v>
          </cell>
          <cell r="J142" t="str">
            <v>0</v>
          </cell>
          <cell r="L142">
            <v>41.693815564251913</v>
          </cell>
          <cell r="M142">
            <v>53</v>
          </cell>
          <cell r="N142">
            <v>774.49381556425192</v>
          </cell>
          <cell r="O142">
            <v>1.7720081648838883</v>
          </cell>
          <cell r="P142">
            <v>619.94092665678795</v>
          </cell>
          <cell r="Q142">
            <v>248.15600000000001</v>
          </cell>
          <cell r="R142">
            <v>251.85</v>
          </cell>
          <cell r="S142">
            <v>1.3918762945303399E-2</v>
          </cell>
          <cell r="V142">
            <v>42.440615175600001</v>
          </cell>
        </row>
        <row r="143">
          <cell r="A143">
            <v>46335</v>
          </cell>
          <cell r="B143">
            <v>248.15600000000001</v>
          </cell>
          <cell r="C143"/>
          <cell r="D143">
            <v>619.93748803660799</v>
          </cell>
          <cell r="E143">
            <v>2045.25</v>
          </cell>
          <cell r="F143">
            <v>2045.25</v>
          </cell>
          <cell r="G143">
            <v>2045.25</v>
          </cell>
          <cell r="H143">
            <v>379.8</v>
          </cell>
          <cell r="I143">
            <v>300</v>
          </cell>
          <cell r="J143" t="str">
            <v>0</v>
          </cell>
          <cell r="L143">
            <v>27.268772516569086</v>
          </cell>
          <cell r="M143">
            <v>53</v>
          </cell>
          <cell r="N143">
            <v>760.06877251656908</v>
          </cell>
          <cell r="O143">
            <v>3.1442877891996033</v>
          </cell>
          <cell r="P143">
            <v>623.08177582580754</v>
          </cell>
          <cell r="Q143">
            <v>248.38300000000001</v>
          </cell>
          <cell r="R143">
            <v>251.85</v>
          </cell>
          <cell r="S143">
            <v>1.3918762945303399E-2</v>
          </cell>
          <cell r="V143">
            <v>57.915037462500003</v>
          </cell>
        </row>
        <row r="144">
          <cell r="A144">
            <v>46336</v>
          </cell>
          <cell r="B144">
            <v>248.38300000000001</v>
          </cell>
          <cell r="C144"/>
          <cell r="D144">
            <v>623.07393558854403</v>
          </cell>
          <cell r="E144">
            <v>4336.3940000000002</v>
          </cell>
          <cell r="F144">
            <v>4336.3940000000002</v>
          </cell>
          <cell r="G144">
            <v>4336.3940000000002</v>
          </cell>
          <cell r="H144">
            <v>379.8</v>
          </cell>
          <cell r="I144">
            <v>300</v>
          </cell>
          <cell r="J144" t="str">
            <v>0</v>
          </cell>
          <cell r="L144">
            <v>48.204907519774899</v>
          </cell>
          <cell r="M144">
            <v>53</v>
          </cell>
          <cell r="N144">
            <v>781.00490751977486</v>
          </cell>
          <cell r="O144">
            <v>8.6985136961807648</v>
          </cell>
          <cell r="P144">
            <v>631.77244928472476</v>
          </cell>
          <cell r="Q144">
            <v>249.012</v>
          </cell>
          <cell r="R144">
            <v>251.85</v>
          </cell>
          <cell r="S144">
            <v>1.3918762945303399E-2</v>
          </cell>
          <cell r="V144">
            <v>122.79301843890001</v>
          </cell>
        </row>
        <row r="145">
          <cell r="A145">
            <v>46337</v>
          </cell>
          <cell r="B145">
            <v>249.012</v>
          </cell>
          <cell r="C145"/>
          <cell r="D145">
            <v>631.76479686681603</v>
          </cell>
          <cell r="E145">
            <v>1782.133</v>
          </cell>
          <cell r="F145">
            <v>1782.133</v>
          </cell>
          <cell r="G145">
            <v>1782.133</v>
          </cell>
          <cell r="H145">
            <v>379.8</v>
          </cell>
          <cell r="I145">
            <v>300</v>
          </cell>
          <cell r="J145" t="str">
            <v>0</v>
          </cell>
          <cell r="L145">
            <v>22.342846538476678</v>
          </cell>
          <cell r="M145">
            <v>53</v>
          </cell>
          <cell r="N145">
            <v>755.14284653847665</v>
          </cell>
          <cell r="O145">
            <v>2.5126048607793923</v>
          </cell>
          <cell r="P145">
            <v>634.27740172759547</v>
          </cell>
          <cell r="Q145">
            <v>249.19300000000001</v>
          </cell>
          <cell r="R145">
            <v>251.85</v>
          </cell>
          <cell r="S145">
            <v>1.3918762945303399E-2</v>
          </cell>
          <cell r="V145">
            <v>50.46439284105</v>
          </cell>
        </row>
        <row r="146">
          <cell r="A146">
            <v>46338</v>
          </cell>
          <cell r="B146">
            <v>249.19300000000001</v>
          </cell>
          <cell r="C146"/>
          <cell r="D146">
            <v>634.26566473862397</v>
          </cell>
          <cell r="E146">
            <v>1466.393</v>
          </cell>
          <cell r="F146">
            <v>1466.393</v>
          </cell>
          <cell r="G146">
            <v>1466.393</v>
          </cell>
          <cell r="H146">
            <v>379.8</v>
          </cell>
          <cell r="I146">
            <v>300</v>
          </cell>
          <cell r="J146" t="str">
            <v>0</v>
          </cell>
          <cell r="L146">
            <v>47.668237524677451</v>
          </cell>
          <cell r="M146">
            <v>53</v>
          </cell>
          <cell r="N146">
            <v>780.46823752467742</v>
          </cell>
          <cell r="O146">
            <v>1.6781639887348891</v>
          </cell>
          <cell r="P146">
            <v>635.94382872735889</v>
          </cell>
          <cell r="Q146">
            <v>249.31399999999999</v>
          </cell>
          <cell r="R146">
            <v>251.85</v>
          </cell>
          <cell r="S146">
            <v>1.3918762945303399E-2</v>
          </cell>
          <cell r="V146">
            <v>41.52363062205</v>
          </cell>
        </row>
        <row r="147">
          <cell r="A147">
            <v>46339</v>
          </cell>
          <cell r="B147">
            <v>249.31399999999999</v>
          </cell>
          <cell r="C147"/>
          <cell r="D147">
            <v>635.93751563635203</v>
          </cell>
          <cell r="E147">
            <v>1332.81</v>
          </cell>
          <cell r="F147">
            <v>1332.81</v>
          </cell>
          <cell r="G147">
            <v>1332.81</v>
          </cell>
          <cell r="H147">
            <v>379.8</v>
          </cell>
          <cell r="I147">
            <v>300</v>
          </cell>
          <cell r="J147" t="str">
            <v>0</v>
          </cell>
          <cell r="L147">
            <v>33.959525194931729</v>
          </cell>
          <cell r="M147">
            <v>53</v>
          </cell>
          <cell r="N147">
            <v>766.75952519493171</v>
          </cell>
          <cell r="O147">
            <v>1.3848829705405576</v>
          </cell>
          <cell r="P147">
            <v>637.32239860689253</v>
          </cell>
          <cell r="Q147">
            <v>249.41399999999999</v>
          </cell>
          <cell r="R147">
            <v>251.85</v>
          </cell>
          <cell r="S147">
            <v>1.3918762945303399E-2</v>
          </cell>
          <cell r="V147">
            <v>37.740980848500001</v>
          </cell>
        </row>
        <row r="148">
          <cell r="A148">
            <v>46340</v>
          </cell>
          <cell r="B148">
            <v>249.41399999999999</v>
          </cell>
          <cell r="C148"/>
          <cell r="D148">
            <v>637.31921059315198</v>
          </cell>
          <cell r="E148">
            <v>1687.393</v>
          </cell>
          <cell r="F148">
            <v>1687.393</v>
          </cell>
          <cell r="G148">
            <v>1687.393</v>
          </cell>
          <cell r="H148">
            <v>379.8</v>
          </cell>
          <cell r="I148">
            <v>300</v>
          </cell>
          <cell r="J148" t="str">
            <v>0</v>
          </cell>
          <cell r="L148">
            <v>70.690691070151288</v>
          </cell>
          <cell r="M148">
            <v>53</v>
          </cell>
          <cell r="N148">
            <v>803.49069107015123</v>
          </cell>
          <cell r="O148">
            <v>2.1625302154900097</v>
          </cell>
          <cell r="P148">
            <v>639.48174080864203</v>
          </cell>
          <cell r="Q148">
            <v>249.57</v>
          </cell>
          <cell r="R148">
            <v>251.85</v>
          </cell>
          <cell r="S148">
            <v>1.3918762945303399E-2</v>
          </cell>
          <cell r="V148">
            <v>47.78165447205</v>
          </cell>
        </row>
        <row r="149">
          <cell r="A149">
            <v>46341</v>
          </cell>
          <cell r="B149">
            <v>249.57</v>
          </cell>
          <cell r="C149"/>
          <cell r="D149">
            <v>639.47465472576005</v>
          </cell>
          <cell r="E149">
            <v>1302.001</v>
          </cell>
          <cell r="F149">
            <v>1302.001</v>
          </cell>
          <cell r="G149">
            <v>1302.001</v>
          </cell>
          <cell r="H149">
            <v>379.8</v>
          </cell>
          <cell r="I149">
            <v>300</v>
          </cell>
          <cell r="J149" t="str">
            <v>0</v>
          </cell>
          <cell r="L149">
            <v>36.92444814253173</v>
          </cell>
          <cell r="M149">
            <v>53</v>
          </cell>
          <cell r="N149">
            <v>769.72444814253163</v>
          </cell>
          <cell r="O149">
            <v>1.3022526525382851</v>
          </cell>
          <cell r="P149">
            <v>640.77690737829835</v>
          </cell>
          <cell r="Q149">
            <v>249.66399999999999</v>
          </cell>
          <cell r="R149">
            <v>251.85</v>
          </cell>
          <cell r="S149">
            <v>1.3918762945303399E-2</v>
          </cell>
          <cell r="V149">
            <v>36.868567016850001</v>
          </cell>
        </row>
        <row r="150">
          <cell r="A150">
            <v>46342</v>
          </cell>
          <cell r="B150">
            <v>249.66399999999999</v>
          </cell>
          <cell r="C150"/>
          <cell r="D150">
            <v>640.77344798515196</v>
          </cell>
          <cell r="E150">
            <v>1142.204</v>
          </cell>
          <cell r="F150">
            <v>1142.204</v>
          </cell>
          <cell r="G150">
            <v>1142.204</v>
          </cell>
          <cell r="H150">
            <v>379.8</v>
          </cell>
          <cell r="I150">
            <v>300</v>
          </cell>
          <cell r="J150" t="str">
            <v>0</v>
          </cell>
          <cell r="L150">
            <v>34.951954947717503</v>
          </cell>
          <cell r="M150">
            <v>53</v>
          </cell>
          <cell r="N150">
            <v>767.75195494771742</v>
          </cell>
          <cell r="O150">
            <v>0.91612370903067131</v>
          </cell>
          <cell r="P150">
            <v>641.68957169418263</v>
          </cell>
          <cell r="Q150">
            <v>249.73</v>
          </cell>
          <cell r="R150">
            <v>251.85</v>
          </cell>
          <cell r="S150">
            <v>1.3918762945303399E-2</v>
          </cell>
          <cell r="V150">
            <v>32.3436193374</v>
          </cell>
        </row>
        <row r="151">
          <cell r="A151">
            <v>46343</v>
          </cell>
          <cell r="B151">
            <v>249.73</v>
          </cell>
          <cell r="C151"/>
          <cell r="D151">
            <v>641.68536665663999</v>
          </cell>
          <cell r="E151">
            <v>1132.8040000000001</v>
          </cell>
          <cell r="F151">
            <v>1132.8040000000001</v>
          </cell>
          <cell r="G151">
            <v>1132.8040000000001</v>
          </cell>
          <cell r="H151">
            <v>379.8</v>
          </cell>
          <cell r="I151">
            <v>300</v>
          </cell>
          <cell r="J151" t="str">
            <v>0</v>
          </cell>
          <cell r="L151">
            <v>51.613487822829555</v>
          </cell>
          <cell r="M151">
            <v>53</v>
          </cell>
          <cell r="N151">
            <v>784.41348782282955</v>
          </cell>
          <cell r="O151">
            <v>0.85236230493087861</v>
          </cell>
          <cell r="P151">
            <v>642.53772896157091</v>
          </cell>
          <cell r="Q151">
            <v>249.791</v>
          </cell>
          <cell r="R151">
            <v>251.85</v>
          </cell>
          <cell r="S151">
            <v>1.3918762945303399E-2</v>
          </cell>
          <cell r="V151">
            <v>32.077440947400007</v>
          </cell>
        </row>
        <row r="152">
          <cell r="A152">
            <v>46344</v>
          </cell>
          <cell r="B152">
            <v>249.791</v>
          </cell>
          <cell r="C152"/>
          <cell r="D152">
            <v>642.52820058028794</v>
          </cell>
          <cell r="E152">
            <v>3492.1559999999999</v>
          </cell>
          <cell r="F152">
            <v>3492.1559999999999</v>
          </cell>
          <cell r="G152">
            <v>3492.1559999999999</v>
          </cell>
          <cell r="H152">
            <v>379.8</v>
          </cell>
          <cell r="I152">
            <v>300</v>
          </cell>
          <cell r="J152" t="str">
            <v>0</v>
          </cell>
          <cell r="L152">
            <v>64.169259248120838</v>
          </cell>
          <cell r="M152">
            <v>53</v>
          </cell>
          <cell r="N152">
            <v>796.96925924812081</v>
          </cell>
          <cell r="O152">
            <v>6.5939671210051705</v>
          </cell>
          <cell r="P152">
            <v>649.12216770129317</v>
          </cell>
          <cell r="Q152">
            <v>250.25200000000001</v>
          </cell>
          <cell r="R152">
            <v>251.85</v>
          </cell>
          <cell r="S152">
            <v>1.3918762945303399E-2</v>
          </cell>
          <cell r="V152">
            <v>98.886857628599998</v>
          </cell>
        </row>
        <row r="153">
          <cell r="A153">
            <v>46345</v>
          </cell>
          <cell r="B153">
            <v>250.25200000000001</v>
          </cell>
          <cell r="C153"/>
          <cell r="D153">
            <v>649.10980513785603</v>
          </cell>
          <cell r="E153">
            <v>1546.396</v>
          </cell>
          <cell r="F153">
            <v>1546.396</v>
          </cell>
          <cell r="G153">
            <v>1546.396</v>
          </cell>
          <cell r="H153">
            <v>379.8</v>
          </cell>
          <cell r="I153">
            <v>300</v>
          </cell>
          <cell r="J153" t="str">
            <v>0</v>
          </cell>
          <cell r="L153">
            <v>62.834053968947927</v>
          </cell>
          <cell r="M153">
            <v>53</v>
          </cell>
          <cell r="N153">
            <v>795.63405396894791</v>
          </cell>
          <cell r="O153">
            <v>1.8367927954593488</v>
          </cell>
          <cell r="P153">
            <v>650.94659793331539</v>
          </cell>
          <cell r="Q153">
            <v>250.37700000000001</v>
          </cell>
          <cell r="R153">
            <v>251.85</v>
          </cell>
          <cell r="S153">
            <v>1.3918762945303399E-2</v>
          </cell>
          <cell r="V153">
            <v>43.7890635726</v>
          </cell>
        </row>
        <row r="154">
          <cell r="A154">
            <v>46346</v>
          </cell>
          <cell r="B154">
            <v>250.37700000000001</v>
          </cell>
          <cell r="C154"/>
          <cell r="D154">
            <v>650.94207800385595</v>
          </cell>
          <cell r="E154">
            <v>1283.201</v>
          </cell>
          <cell r="F154">
            <v>1283.201</v>
          </cell>
          <cell r="G154">
            <v>1283.201</v>
          </cell>
          <cell r="H154">
            <v>379.8</v>
          </cell>
          <cell r="I154">
            <v>300</v>
          </cell>
          <cell r="J154" t="str">
            <v>0</v>
          </cell>
          <cell r="L154">
            <v>82.335253135738498</v>
          </cell>
          <cell r="M154">
            <v>53</v>
          </cell>
          <cell r="N154">
            <v>815.13525313573848</v>
          </cell>
          <cell r="O154">
            <v>1.1451563257656316</v>
          </cell>
          <cell r="P154">
            <v>652.08723432962154</v>
          </cell>
          <cell r="Q154">
            <v>250.45500000000001</v>
          </cell>
          <cell r="R154">
            <v>251.85</v>
          </cell>
          <cell r="S154">
            <v>1.3918762945303399E-2</v>
          </cell>
          <cell r="V154">
            <v>36.33621023685</v>
          </cell>
        </row>
        <row r="155">
          <cell r="A155">
            <v>46347</v>
          </cell>
          <cell r="B155">
            <v>250.45500000000001</v>
          </cell>
          <cell r="C155"/>
          <cell r="D155">
            <v>652.08541627223997</v>
          </cell>
          <cell r="E155">
            <v>2668.433</v>
          </cell>
          <cell r="F155">
            <v>2668.433</v>
          </cell>
          <cell r="G155">
            <v>2668.433</v>
          </cell>
          <cell r="H155">
            <v>379.8</v>
          </cell>
          <cell r="I155">
            <v>300</v>
          </cell>
          <cell r="J155" t="str">
            <v>0</v>
          </cell>
          <cell r="L155">
            <v>81.989573078363392</v>
          </cell>
          <cell r="M155">
            <v>53</v>
          </cell>
          <cell r="N155">
            <v>814.78957307836333</v>
          </cell>
          <cell r="O155">
            <v>4.5350712165416764</v>
          </cell>
          <cell r="P155">
            <v>656.62048748878169</v>
          </cell>
          <cell r="Q155">
            <v>250.76400000000001</v>
          </cell>
          <cell r="R155">
            <v>251.85</v>
          </cell>
          <cell r="S155">
            <v>1.3918762945303399E-2</v>
          </cell>
          <cell r="V155">
            <v>75.561616996050006</v>
          </cell>
        </row>
        <row r="156">
          <cell r="A156">
            <v>46348</v>
          </cell>
          <cell r="B156">
            <v>250.76400000000001</v>
          </cell>
          <cell r="C156"/>
          <cell r="D156">
            <v>656.61479479699199</v>
          </cell>
          <cell r="E156">
            <v>2219.5709999999999</v>
          </cell>
          <cell r="F156">
            <v>2219.5709999999999</v>
          </cell>
          <cell r="G156">
            <v>2219.5709999999999</v>
          </cell>
          <cell r="H156">
            <v>379.8</v>
          </cell>
          <cell r="I156">
            <v>300</v>
          </cell>
          <cell r="J156" t="str">
            <v>0</v>
          </cell>
          <cell r="L156">
            <v>94.271784962470463</v>
          </cell>
          <cell r="M156">
            <v>53</v>
          </cell>
          <cell r="N156">
            <v>827.07178496247047</v>
          </cell>
          <cell r="O156">
            <v>3.4068489211331752</v>
          </cell>
          <cell r="P156">
            <v>660.02164371812512</v>
          </cell>
          <cell r="Q156">
            <v>250.99600000000001</v>
          </cell>
          <cell r="R156">
            <v>251.85</v>
          </cell>
          <cell r="S156">
            <v>1.3918762945303399E-2</v>
          </cell>
          <cell r="V156">
            <v>62.85125907135</v>
          </cell>
        </row>
        <row r="157">
          <cell r="A157">
            <v>46349</v>
          </cell>
          <cell r="B157">
            <v>250.99600000000001</v>
          </cell>
          <cell r="C157"/>
          <cell r="D157">
            <v>660.01549323628797</v>
          </cell>
          <cell r="E157">
            <v>1911.3150000000001</v>
          </cell>
          <cell r="F157">
            <v>1911.3150000000001</v>
          </cell>
          <cell r="G157">
            <v>1911.3150000000001</v>
          </cell>
          <cell r="H157">
            <v>379.8</v>
          </cell>
          <cell r="I157">
            <v>300</v>
          </cell>
          <cell r="J157" t="str">
            <v>0</v>
          </cell>
          <cell r="L157">
            <v>47.27423935967915</v>
          </cell>
          <cell r="M157">
            <v>53</v>
          </cell>
          <cell r="N157">
            <v>780.07423935967915</v>
          </cell>
          <cell r="O157">
            <v>2.7676614272457458</v>
          </cell>
          <cell r="P157">
            <v>662.78315466353376</v>
          </cell>
          <cell r="Q157">
            <v>251.184</v>
          </cell>
          <cell r="R157">
            <v>251.85</v>
          </cell>
          <cell r="S157">
            <v>1.3918762945303399E-2</v>
          </cell>
          <cell r="V157">
            <v>54.122420157750007</v>
          </cell>
        </row>
        <row r="158">
          <cell r="A158">
            <v>46350</v>
          </cell>
          <cell r="B158">
            <v>251.184</v>
          </cell>
          <cell r="C158"/>
          <cell r="D158">
            <v>662.77123162675196</v>
          </cell>
          <cell r="E158">
            <v>1716.6279999999999</v>
          </cell>
          <cell r="F158">
            <v>1716.6279999999999</v>
          </cell>
          <cell r="G158">
            <v>1716.6279999999999</v>
          </cell>
          <cell r="H158">
            <v>379.8</v>
          </cell>
          <cell r="I158">
            <v>300</v>
          </cell>
          <cell r="J158" t="str">
            <v>0</v>
          </cell>
          <cell r="L158">
            <v>79.442625364989141</v>
          </cell>
          <cell r="M158">
            <v>53</v>
          </cell>
          <cell r="N158">
            <v>812.24262536498907</v>
          </cell>
          <cell r="O158">
            <v>2.2126435006865477</v>
          </cell>
          <cell r="P158">
            <v>664.98387512743852</v>
          </cell>
          <cell r="Q158">
            <v>251.334</v>
          </cell>
          <cell r="R158">
            <v>251.85</v>
          </cell>
          <cell r="S158">
            <v>1.3918762945303399E-2</v>
          </cell>
          <cell r="V158">
            <v>48.609497581799999</v>
          </cell>
        </row>
        <row r="159">
          <cell r="A159">
            <v>46351</v>
          </cell>
          <cell r="B159">
            <v>251.334</v>
          </cell>
          <cell r="C159"/>
          <cell r="D159">
            <v>664.96995906595203</v>
          </cell>
          <cell r="E159">
            <v>1630.1</v>
          </cell>
          <cell r="F159">
            <v>1630.1</v>
          </cell>
          <cell r="G159">
            <v>1630.1</v>
          </cell>
          <cell r="H159">
            <v>379.8</v>
          </cell>
          <cell r="I159">
            <v>300</v>
          </cell>
          <cell r="J159" t="str">
            <v>0</v>
          </cell>
          <cell r="L159">
            <v>30.056075622089221</v>
          </cell>
          <cell r="M159">
            <v>53</v>
          </cell>
          <cell r="N159">
            <v>762.85607562208918</v>
          </cell>
          <cell r="O159">
            <v>2.1217742862760298</v>
          </cell>
          <cell r="P159">
            <v>667.09173335222806</v>
          </cell>
          <cell r="Q159">
            <v>251.47800000000001</v>
          </cell>
          <cell r="R159">
            <v>251.85</v>
          </cell>
          <cell r="S159">
            <v>1.3918762945303399E-2</v>
          </cell>
          <cell r="V159">
            <v>46.159297185</v>
          </cell>
        </row>
        <row r="160">
          <cell r="A160">
            <v>46352</v>
          </cell>
          <cell r="B160">
            <v>251.47800000000001</v>
          </cell>
          <cell r="C160"/>
          <cell r="D160">
            <v>667.08073740758402</v>
          </cell>
          <cell r="E160">
            <v>1538.164</v>
          </cell>
          <cell r="F160">
            <v>1538.164</v>
          </cell>
          <cell r="G160">
            <v>1538.164</v>
          </cell>
          <cell r="H160">
            <v>379.8</v>
          </cell>
          <cell r="I160">
            <v>300</v>
          </cell>
          <cell r="J160" t="str">
            <v>0</v>
          </cell>
          <cell r="L160">
            <v>37.695837908231532</v>
          </cell>
          <cell r="M160">
            <v>53</v>
          </cell>
          <cell r="N160">
            <v>770.49583790823147</v>
          </cell>
          <cell r="O160">
            <v>1.8781550621844647</v>
          </cell>
          <cell r="P160">
            <v>668.95889246976844</v>
          </cell>
          <cell r="Q160">
            <v>251.60599999999999</v>
          </cell>
          <cell r="R160">
            <v>251.85</v>
          </cell>
          <cell r="S160">
            <v>1.3918762945303399E-2</v>
          </cell>
          <cell r="V160">
            <v>43.555959263399998</v>
          </cell>
        </row>
        <row r="161">
          <cell r="A161">
            <v>46353</v>
          </cell>
          <cell r="B161">
            <v>251.60599999999999</v>
          </cell>
          <cell r="C161"/>
          <cell r="D161">
            <v>668.95698482236799</v>
          </cell>
          <cell r="E161">
            <v>1462.452</v>
          </cell>
          <cell r="F161">
            <v>1462.452</v>
          </cell>
          <cell r="G161">
            <v>1462.452</v>
          </cell>
          <cell r="H161">
            <v>379.8</v>
          </cell>
          <cell r="I161">
            <v>300</v>
          </cell>
          <cell r="J161" t="str">
            <v>0</v>
          </cell>
          <cell r="L161">
            <v>68.590526210164995</v>
          </cell>
          <cell r="M161">
            <v>53</v>
          </cell>
          <cell r="N161">
            <v>801.39052621016492</v>
          </cell>
          <cell r="O161">
            <v>1.6173341747434369</v>
          </cell>
          <cell r="P161">
            <v>670.57431899711139</v>
          </cell>
          <cell r="Q161">
            <v>251.71600000000001</v>
          </cell>
          <cell r="R161">
            <v>251.85</v>
          </cell>
          <cell r="S161">
            <v>1.3918762945303399E-2</v>
          </cell>
          <cell r="V161">
            <v>41.412033916200002</v>
          </cell>
        </row>
        <row r="162">
          <cell r="A162">
            <v>46354</v>
          </cell>
          <cell r="B162">
            <v>251.71600000000001</v>
          </cell>
          <cell r="C162"/>
          <cell r="D162">
            <v>670.56938494444796</v>
          </cell>
          <cell r="E162">
            <v>1221.9079999999999</v>
          </cell>
          <cell r="F162">
            <v>1221.9079999999999</v>
          </cell>
          <cell r="G162">
            <v>1221.9079999999999</v>
          </cell>
          <cell r="H162">
            <v>379.8</v>
          </cell>
          <cell r="I162">
            <v>300</v>
          </cell>
          <cell r="J162" t="str">
            <v>0</v>
          </cell>
          <cell r="L162">
            <v>34.854048897053097</v>
          </cell>
          <cell r="M162">
            <v>53</v>
          </cell>
          <cell r="N162">
            <v>767.65404889705303</v>
          </cell>
          <cell r="O162">
            <v>1.1113647796159423</v>
          </cell>
          <cell r="P162">
            <v>671.68074972406396</v>
          </cell>
          <cell r="Q162">
            <v>251.791</v>
          </cell>
          <cell r="R162">
            <v>251.85</v>
          </cell>
          <cell r="S162">
            <v>1.3918762945303399E-2</v>
          </cell>
          <cell r="V162">
            <v>34.600585549800002</v>
          </cell>
        </row>
        <row r="163">
          <cell r="A163">
            <v>46355</v>
          </cell>
          <cell r="B163">
            <v>251.791</v>
          </cell>
          <cell r="C163"/>
          <cell r="D163">
            <v>671.66874866404805</v>
          </cell>
          <cell r="E163">
            <v>2126.1759999999999</v>
          </cell>
          <cell r="F163">
            <v>2126.1759999999999</v>
          </cell>
          <cell r="G163">
            <v>2126.1759999999999</v>
          </cell>
          <cell r="H163">
            <v>379.8</v>
          </cell>
          <cell r="I163">
            <v>300</v>
          </cell>
          <cell r="J163" t="str">
            <v>0</v>
          </cell>
          <cell r="L163">
            <v>37.509921542317045</v>
          </cell>
          <cell r="M163">
            <v>53</v>
          </cell>
          <cell r="N163">
            <v>770.30992154231694</v>
          </cell>
          <cell r="O163">
            <v>3.3172233324886529</v>
          </cell>
          <cell r="P163">
            <v>674.9859719965367</v>
          </cell>
          <cell r="Q163">
            <v>252.017</v>
          </cell>
          <cell r="R163">
            <v>251.85</v>
          </cell>
          <cell r="S163">
            <v>1.3918762945303399E-2</v>
          </cell>
          <cell r="V163">
            <v>60.206606865600001</v>
          </cell>
        </row>
        <row r="164">
          <cell r="A164">
            <v>46356</v>
          </cell>
          <cell r="B164">
            <v>252.017</v>
          </cell>
          <cell r="C164"/>
          <cell r="D164">
            <v>674.98149800577596</v>
          </cell>
          <cell r="E164">
            <v>3714.6460000000002</v>
          </cell>
          <cell r="F164">
            <v>3714.6460000000002</v>
          </cell>
          <cell r="G164">
            <v>3714.6460000000002</v>
          </cell>
          <cell r="H164">
            <v>379.8</v>
          </cell>
          <cell r="I164">
            <v>300</v>
          </cell>
          <cell r="J164">
            <v>113.95800829916813</v>
          </cell>
          <cell r="L164">
            <v>57.640777252993246</v>
          </cell>
          <cell r="M164">
            <v>53</v>
          </cell>
          <cell r="N164">
            <v>904.39878555216137</v>
          </cell>
          <cell r="O164">
            <v>6.8754707990274131</v>
          </cell>
          <cell r="P164">
            <v>681.85696880480339</v>
          </cell>
          <cell r="Q164">
            <v>252.48599999999999</v>
          </cell>
          <cell r="R164">
            <v>251.85</v>
          </cell>
          <cell r="S164">
            <v>1.8401659015899279E-2</v>
          </cell>
          <cell r="V164">
            <v>105.18707358510001</v>
          </cell>
        </row>
        <row r="165">
          <cell r="A165">
            <v>46357</v>
          </cell>
          <cell r="B165">
            <v>252.48599999999999</v>
          </cell>
          <cell r="C165"/>
          <cell r="D165">
            <v>681.85618579900802</v>
          </cell>
          <cell r="E165">
            <v>1902.11</v>
          </cell>
          <cell r="F165">
            <v>1902.11</v>
          </cell>
          <cell r="G165">
            <v>1902.11</v>
          </cell>
          <cell r="H165">
            <v>379.8</v>
          </cell>
          <cell r="I165">
            <v>300</v>
          </cell>
          <cell r="J165">
            <v>844.04968932855297</v>
          </cell>
          <cell r="L165">
            <v>93.031531842291074</v>
          </cell>
          <cell r="M165">
            <v>53</v>
          </cell>
          <cell r="N165">
            <v>1669.8812211708439</v>
          </cell>
          <cell r="O165">
            <v>0.56816431640779197</v>
          </cell>
          <cell r="P165">
            <v>682.42435011541579</v>
          </cell>
          <cell r="Q165">
            <v>252.524</v>
          </cell>
          <cell r="R165">
            <v>251.85</v>
          </cell>
          <cell r="S165">
            <v>4.7004081337798369E-2</v>
          </cell>
          <cell r="V165">
            <v>53.861763553499998</v>
          </cell>
        </row>
        <row r="166">
          <cell r="A166">
            <v>46358</v>
          </cell>
          <cell r="B166">
            <v>252.524</v>
          </cell>
          <cell r="C166"/>
          <cell r="D166">
            <v>682.41319675027205</v>
          </cell>
          <cell r="E166">
            <v>1538.002</v>
          </cell>
          <cell r="F166">
            <v>1538.002</v>
          </cell>
          <cell r="G166">
            <v>1538.002</v>
          </cell>
          <cell r="H166">
            <v>379.8</v>
          </cell>
          <cell r="I166">
            <v>300</v>
          </cell>
          <cell r="J166">
            <v>920.56159221608357</v>
          </cell>
          <cell r="L166">
            <v>53.292421820698117</v>
          </cell>
          <cell r="M166">
            <v>53</v>
          </cell>
          <cell r="N166">
            <v>1706.6540140367815</v>
          </cell>
          <cell r="O166">
            <v>-0.41261921433303</v>
          </cell>
          <cell r="P166">
            <v>682.00057753593899</v>
          </cell>
          <cell r="Q166">
            <v>252.495</v>
          </cell>
          <cell r="R166">
            <v>251.85</v>
          </cell>
          <cell r="S166">
            <v>4.9989966859076133E-2</v>
          </cell>
          <cell r="V166">
            <v>43.551371933699997</v>
          </cell>
        </row>
        <row r="167">
          <cell r="A167">
            <v>46359</v>
          </cell>
          <cell r="B167">
            <v>252.495</v>
          </cell>
          <cell r="C167"/>
          <cell r="D167">
            <v>681.98810944536001</v>
          </cell>
          <cell r="E167">
            <v>1870.1</v>
          </cell>
          <cell r="F167">
            <v>1870.1</v>
          </cell>
          <cell r="G167">
            <v>1870.1</v>
          </cell>
          <cell r="H167">
            <v>379.8</v>
          </cell>
          <cell r="I167">
            <v>300</v>
          </cell>
          <cell r="J167">
            <v>861.97294147280604</v>
          </cell>
          <cell r="L167">
            <v>36.495017979611809</v>
          </cell>
          <cell r="M167">
            <v>53</v>
          </cell>
          <cell r="N167">
            <v>1631.2679594524177</v>
          </cell>
          <cell r="O167">
            <v>0.58431966846719985</v>
          </cell>
          <cell r="P167">
            <v>682.57242911382718</v>
          </cell>
          <cell r="Q167">
            <v>252.53399999999999</v>
          </cell>
          <cell r="R167">
            <v>251.85</v>
          </cell>
          <cell r="S167">
            <v>4.7703732011359461E-2</v>
          </cell>
          <cell r="V167">
            <v>52.955341185000002</v>
          </cell>
        </row>
        <row r="168">
          <cell r="A168">
            <v>46360</v>
          </cell>
          <cell r="B168">
            <v>252.53399999999999</v>
          </cell>
          <cell r="C168"/>
          <cell r="D168">
            <v>682.55977857955202</v>
          </cell>
          <cell r="E168">
            <v>1377.954</v>
          </cell>
          <cell r="F168">
            <v>1377.954</v>
          </cell>
          <cell r="G168">
            <v>1377.954</v>
          </cell>
          <cell r="H168">
            <v>379.8</v>
          </cell>
          <cell r="I168">
            <v>300</v>
          </cell>
          <cell r="J168">
            <v>941.05668803898743</v>
          </cell>
          <cell r="L168">
            <v>53.125923747189766</v>
          </cell>
          <cell r="M168">
            <v>53</v>
          </cell>
          <cell r="N168">
            <v>1726.9826117861771</v>
          </cell>
          <cell r="O168">
            <v>-0.85392346126119734</v>
          </cell>
          <cell r="P168">
            <v>681.70585511829086</v>
          </cell>
          <cell r="Q168">
            <v>252.47499999999999</v>
          </cell>
          <cell r="R168">
            <v>251.85</v>
          </cell>
          <cell r="S168">
            <v>5.0789424055991725E-2</v>
          </cell>
          <cell r="V168">
            <v>39.019316724900001</v>
          </cell>
        </row>
        <row r="169">
          <cell r="A169">
            <v>46361</v>
          </cell>
          <cell r="B169">
            <v>252.47499999999999</v>
          </cell>
          <cell r="C169"/>
          <cell r="D169">
            <v>681.69494578679996</v>
          </cell>
          <cell r="E169">
            <v>997.322</v>
          </cell>
          <cell r="F169">
            <v>997.322</v>
          </cell>
          <cell r="G169">
            <v>997.322</v>
          </cell>
          <cell r="H169">
            <v>379.8</v>
          </cell>
          <cell r="I169">
            <v>300</v>
          </cell>
          <cell r="J169">
            <v>822.31260051884431</v>
          </cell>
          <cell r="L169">
            <v>45.223964264982243</v>
          </cell>
          <cell r="M169">
            <v>53</v>
          </cell>
          <cell r="N169">
            <v>1600.3365647838266</v>
          </cell>
          <cell r="O169">
            <v>-1.475318260345305</v>
          </cell>
          <cell r="P169">
            <v>680.2196275264547</v>
          </cell>
          <cell r="Q169">
            <v>252.374</v>
          </cell>
          <cell r="R169">
            <v>251.85</v>
          </cell>
          <cell r="S169">
            <v>4.6155394602488083E-2</v>
          </cell>
          <cell r="V169">
            <v>28.241017475700001</v>
          </cell>
        </row>
        <row r="170">
          <cell r="A170">
            <v>46362</v>
          </cell>
          <cell r="B170">
            <v>252.374</v>
          </cell>
          <cell r="C170"/>
          <cell r="D170">
            <v>680.21446931107198</v>
          </cell>
          <cell r="E170">
            <v>866.91300000000001</v>
          </cell>
          <cell r="F170">
            <v>866.91300000000001</v>
          </cell>
          <cell r="G170">
            <v>866.91300000000001</v>
          </cell>
          <cell r="H170">
            <v>379.8</v>
          </cell>
          <cell r="I170">
            <v>300</v>
          </cell>
          <cell r="J170">
            <v>631.73080392384406</v>
          </cell>
          <cell r="L170">
            <v>84.595395763708737</v>
          </cell>
          <cell r="M170">
            <v>53</v>
          </cell>
          <cell r="N170">
            <v>1449.1261996875526</v>
          </cell>
          <cell r="O170">
            <v>-1.4244262329236388</v>
          </cell>
          <cell r="P170">
            <v>678.7900430781483</v>
          </cell>
          <cell r="Q170">
            <v>252.27600000000001</v>
          </cell>
          <cell r="R170">
            <v>251.85</v>
          </cell>
          <cell r="S170">
            <v>3.8706938334599227E-2</v>
          </cell>
          <cell r="V170">
            <v>24.548245384050002</v>
          </cell>
        </row>
        <row r="171">
          <cell r="A171">
            <v>46363</v>
          </cell>
          <cell r="B171">
            <v>252.27600000000001</v>
          </cell>
          <cell r="C171"/>
          <cell r="D171">
            <v>678.77796738412803</v>
          </cell>
          <cell r="E171">
            <v>1175.778</v>
          </cell>
          <cell r="F171">
            <v>1175.778</v>
          </cell>
          <cell r="G171">
            <v>1175.778</v>
          </cell>
          <cell r="H171">
            <v>379.8</v>
          </cell>
          <cell r="I171">
            <v>300</v>
          </cell>
          <cell r="J171">
            <v>463.40370683481405</v>
          </cell>
          <cell r="L171">
            <v>46.169403981973872</v>
          </cell>
          <cell r="M171">
            <v>53</v>
          </cell>
          <cell r="N171">
            <v>1242.3731108167879</v>
          </cell>
          <cell r="O171">
            <v>-0.16292970149559705</v>
          </cell>
          <cell r="P171">
            <v>678.61503768263242</v>
          </cell>
          <cell r="Q171">
            <v>252.26400000000001</v>
          </cell>
          <cell r="R171">
            <v>251.85</v>
          </cell>
          <cell r="S171">
            <v>3.2116928827841389E-2</v>
          </cell>
          <cell r="V171">
            <v>33.2943292593</v>
          </cell>
        </row>
        <row r="172">
          <cell r="A172">
            <v>46364</v>
          </cell>
          <cell r="B172">
            <v>252.26400000000001</v>
          </cell>
          <cell r="C172"/>
          <cell r="D172">
            <v>678.602069188992</v>
          </cell>
          <cell r="E172">
            <v>2470.7240000000002</v>
          </cell>
          <cell r="F172">
            <v>2470.7240000000002</v>
          </cell>
          <cell r="G172">
            <v>2470.7240000000002</v>
          </cell>
          <cell r="H172">
            <v>379.8</v>
          </cell>
          <cell r="I172">
            <v>300</v>
          </cell>
          <cell r="J172">
            <v>444.00070157955537</v>
          </cell>
          <cell r="L172">
            <v>64.727165497946245</v>
          </cell>
          <cell r="M172">
            <v>53</v>
          </cell>
          <cell r="N172">
            <v>1241.5278670775017</v>
          </cell>
          <cell r="O172">
            <v>3.0073162513023188</v>
          </cell>
          <cell r="P172">
            <v>681.60938544029432</v>
          </cell>
          <cell r="Q172">
            <v>252.46899999999999</v>
          </cell>
          <cell r="R172">
            <v>251.85</v>
          </cell>
          <cell r="S172">
            <v>3.1356611992950569E-2</v>
          </cell>
          <cell r="V172">
            <v>69.96312089940001</v>
          </cell>
        </row>
        <row r="173">
          <cell r="A173">
            <v>46365</v>
          </cell>
          <cell r="B173">
            <v>252.46899999999999</v>
          </cell>
          <cell r="C173"/>
          <cell r="D173">
            <v>681.60699668923201</v>
          </cell>
          <cell r="E173">
            <v>1027.0650000000001</v>
          </cell>
          <cell r="F173">
            <v>1027.0650000000001</v>
          </cell>
          <cell r="G173">
            <v>1027.0650000000001</v>
          </cell>
          <cell r="H173">
            <v>379.8</v>
          </cell>
          <cell r="I173">
            <v>300</v>
          </cell>
          <cell r="J173">
            <v>810.53497556842876</v>
          </cell>
          <cell r="L173">
            <v>53.967135140506969</v>
          </cell>
          <cell r="M173">
            <v>53</v>
          </cell>
          <cell r="N173">
            <v>1597.3021107089357</v>
          </cell>
          <cell r="O173">
            <v>-1.3951258747075692</v>
          </cell>
          <cell r="P173">
            <v>680.21187081452445</v>
          </cell>
          <cell r="Q173">
            <v>252.37299999999999</v>
          </cell>
          <cell r="R173">
            <v>251.85</v>
          </cell>
          <cell r="S173">
            <v>4.569548468706193E-2</v>
          </cell>
          <cell r="V173">
            <v>29.083245545250001</v>
          </cell>
        </row>
        <row r="174">
          <cell r="A174">
            <v>46366</v>
          </cell>
          <cell r="B174">
            <v>252.37299999999999</v>
          </cell>
          <cell r="C174"/>
          <cell r="D174">
            <v>680.19981112814401</v>
          </cell>
          <cell r="E174">
            <v>848.60900000000004</v>
          </cell>
          <cell r="F174">
            <v>848.60900000000004</v>
          </cell>
          <cell r="G174">
            <v>848.60900000000004</v>
          </cell>
          <cell r="H174">
            <v>379.8</v>
          </cell>
          <cell r="I174">
            <v>300</v>
          </cell>
          <cell r="J174">
            <v>629.92785632203754</v>
          </cell>
          <cell r="L174">
            <v>25.901675082346994</v>
          </cell>
          <cell r="M174">
            <v>53</v>
          </cell>
          <cell r="N174">
            <v>1388.6295314043846</v>
          </cell>
          <cell r="O174">
            <v>-1.3211988523492328</v>
          </cell>
          <cell r="P174">
            <v>678.87861227579481</v>
          </cell>
          <cell r="Q174">
            <v>252.28200000000001</v>
          </cell>
          <cell r="R174">
            <v>251.85</v>
          </cell>
          <cell r="S174">
            <v>3.8636409433036881E-2</v>
          </cell>
          <cell r="V174">
            <v>24.029933761650003</v>
          </cell>
        </row>
        <row r="175">
          <cell r="A175">
            <v>46367</v>
          </cell>
          <cell r="B175">
            <v>252.28200000000001</v>
          </cell>
          <cell r="C175"/>
          <cell r="D175">
            <v>678.86591648169599</v>
          </cell>
          <cell r="E175">
            <v>773.10900000000004</v>
          </cell>
          <cell r="F175">
            <v>773.10900000000004</v>
          </cell>
          <cell r="G175">
            <v>773.10900000000004</v>
          </cell>
          <cell r="H175">
            <v>379.8</v>
          </cell>
          <cell r="I175">
            <v>300</v>
          </cell>
          <cell r="J175">
            <v>473.20760089994451</v>
          </cell>
          <cell r="L175">
            <v>36.754600571421207</v>
          </cell>
          <cell r="M175">
            <v>53</v>
          </cell>
          <cell r="N175">
            <v>1242.7622014713656</v>
          </cell>
          <cell r="O175">
            <v>-1.1490401469966651</v>
          </cell>
          <cell r="P175">
            <v>677.71687633469935</v>
          </cell>
          <cell r="Q175">
            <v>252.203</v>
          </cell>
          <cell r="R175">
            <v>251.85</v>
          </cell>
          <cell r="S175">
            <v>3.2501045172616629E-2</v>
          </cell>
          <cell r="V175">
            <v>21.892011586650003</v>
          </cell>
        </row>
        <row r="176">
          <cell r="A176">
            <v>46368</v>
          </cell>
          <cell r="B176">
            <v>252.203</v>
          </cell>
          <cell r="C176"/>
          <cell r="D176">
            <v>677.707920030384</v>
          </cell>
          <cell r="E176">
            <v>1210.894</v>
          </cell>
          <cell r="F176">
            <v>1210.894</v>
          </cell>
          <cell r="G176">
            <v>1210.894</v>
          </cell>
          <cell r="H176">
            <v>379.8</v>
          </cell>
          <cell r="I176">
            <v>300</v>
          </cell>
          <cell r="J176">
            <v>349.73480263720165</v>
          </cell>
          <cell r="L176">
            <v>52.04833009557909</v>
          </cell>
          <cell r="M176">
            <v>53</v>
          </cell>
          <cell r="N176">
            <v>1134.5831327327808</v>
          </cell>
          <cell r="O176">
            <v>0.18669999452247879</v>
          </cell>
          <cell r="P176">
            <v>677.89462002490643</v>
          </cell>
          <cell r="Q176">
            <v>252.215</v>
          </cell>
          <cell r="R176">
            <v>251.85</v>
          </cell>
          <cell r="S176">
            <v>2.7660715014325408E-2</v>
          </cell>
          <cell r="V176">
            <v>34.288703763900003</v>
          </cell>
        </row>
        <row r="177">
          <cell r="A177">
            <v>46369</v>
          </cell>
          <cell r="B177">
            <v>252.215</v>
          </cell>
          <cell r="C177"/>
          <cell r="D177">
            <v>677.88381822552003</v>
          </cell>
          <cell r="E177">
            <v>937.35199999999998</v>
          </cell>
          <cell r="F177">
            <v>937.35199999999998</v>
          </cell>
          <cell r="G177">
            <v>937.35199999999998</v>
          </cell>
          <cell r="H177">
            <v>379.8</v>
          </cell>
          <cell r="I177">
            <v>300</v>
          </cell>
          <cell r="J177">
            <v>367.68673196874232</v>
          </cell>
          <cell r="L177">
            <v>27.750733331043332</v>
          </cell>
          <cell r="M177">
            <v>53</v>
          </cell>
          <cell r="N177">
            <v>1128.2374652997858</v>
          </cell>
          <cell r="O177">
            <v>-0.46701494298440416</v>
          </cell>
          <cell r="P177">
            <v>677.41680328253562</v>
          </cell>
          <cell r="Q177">
            <v>252.18299999999999</v>
          </cell>
          <cell r="R177">
            <v>251.85</v>
          </cell>
          <cell r="S177">
            <v>2.8364820171141229E-2</v>
          </cell>
          <cell r="V177">
            <v>26.542855981199999</v>
          </cell>
        </row>
        <row r="178">
          <cell r="A178">
            <v>46370</v>
          </cell>
          <cell r="B178">
            <v>252.18299999999999</v>
          </cell>
          <cell r="C178"/>
          <cell r="D178">
            <v>677.41475637182396</v>
          </cell>
          <cell r="E178">
            <v>823.93200000000002</v>
          </cell>
          <cell r="F178">
            <v>823.93200000000002</v>
          </cell>
          <cell r="G178">
            <v>823.93200000000002</v>
          </cell>
          <cell r="H178">
            <v>379.8</v>
          </cell>
          <cell r="I178">
            <v>300</v>
          </cell>
          <cell r="J178">
            <v>320.48428381253791</v>
          </cell>
          <cell r="L178">
            <v>84.226956996311543</v>
          </cell>
          <cell r="M178">
            <v>53</v>
          </cell>
          <cell r="N178">
            <v>1137.5112408088494</v>
          </cell>
          <cell r="O178">
            <v>-0.76719403982615264</v>
          </cell>
          <cell r="P178">
            <v>676.64756233199785</v>
          </cell>
          <cell r="Q178">
            <v>252.13</v>
          </cell>
          <cell r="R178">
            <v>251.85</v>
          </cell>
          <cell r="S178">
            <v>2.6513196009349305E-2</v>
          </cell>
          <cell r="V178">
            <v>23.331158854200002</v>
          </cell>
        </row>
        <row r="179">
          <cell r="A179">
            <v>46371</v>
          </cell>
          <cell r="B179">
            <v>252.13</v>
          </cell>
          <cell r="C179"/>
          <cell r="D179">
            <v>676.63787267663997</v>
          </cell>
          <cell r="E179">
            <v>817.26</v>
          </cell>
          <cell r="F179">
            <v>817.26</v>
          </cell>
          <cell r="G179">
            <v>817.26</v>
          </cell>
          <cell r="H179">
            <v>379.8</v>
          </cell>
          <cell r="I179">
            <v>300</v>
          </cell>
          <cell r="J179">
            <v>247.19870890315693</v>
          </cell>
          <cell r="L179">
            <v>69.225123293900609</v>
          </cell>
          <cell r="M179">
            <v>53</v>
          </cell>
          <cell r="N179">
            <v>1049.2238321970576</v>
          </cell>
          <cell r="O179">
            <v>-0.56751610552338017</v>
          </cell>
          <cell r="P179">
            <v>676.07035657111658</v>
          </cell>
          <cell r="Q179">
            <v>252.09100000000001</v>
          </cell>
          <cell r="R179">
            <v>251.85</v>
          </cell>
          <cell r="S179">
            <v>2.3636709405283018E-2</v>
          </cell>
          <cell r="V179">
            <v>23.142228831000001</v>
          </cell>
        </row>
        <row r="180">
          <cell r="A180">
            <v>46372</v>
          </cell>
          <cell r="B180">
            <v>252.09100000000001</v>
          </cell>
          <cell r="C180"/>
          <cell r="D180">
            <v>676.06620354244797</v>
          </cell>
          <cell r="E180">
            <v>2491.873</v>
          </cell>
          <cell r="F180">
            <v>2491.873</v>
          </cell>
          <cell r="G180">
            <v>2491.873</v>
          </cell>
          <cell r="H180">
            <v>379.8</v>
          </cell>
          <cell r="I180">
            <v>300</v>
          </cell>
          <cell r="J180">
            <v>197.45090324637553</v>
          </cell>
          <cell r="L180">
            <v>47.196332810212986</v>
          </cell>
          <cell r="M180">
            <v>53</v>
          </cell>
          <cell r="N180">
            <v>977.44723605658851</v>
          </cell>
          <cell r="O180">
            <v>3.7051509432181935</v>
          </cell>
          <cell r="P180">
            <v>679.77135448566617</v>
          </cell>
          <cell r="Q180">
            <v>252.34299999999999</v>
          </cell>
          <cell r="R180">
            <v>251.85</v>
          </cell>
          <cell r="S180">
            <v>2.1682911933881961E-2</v>
          </cell>
          <cell r="V180">
            <v>70.561993960050003</v>
          </cell>
        </row>
        <row r="181">
          <cell r="A181">
            <v>46373</v>
          </cell>
          <cell r="B181">
            <v>252.34299999999999</v>
          </cell>
          <cell r="C181"/>
          <cell r="D181">
            <v>679.76006564030399</v>
          </cell>
          <cell r="E181">
            <v>1110.818</v>
          </cell>
          <cell r="F181">
            <v>1110.818</v>
          </cell>
          <cell r="G181">
            <v>1110.818</v>
          </cell>
          <cell r="H181">
            <v>379.8</v>
          </cell>
          <cell r="I181">
            <v>300</v>
          </cell>
          <cell r="J181">
            <v>576.63822369071238</v>
          </cell>
          <cell r="L181">
            <v>36.001565630358762</v>
          </cell>
          <cell r="M181">
            <v>53</v>
          </cell>
          <cell r="N181">
            <v>1345.439789321071</v>
          </cell>
          <cell r="O181">
            <v>-0.57401898772437243</v>
          </cell>
          <cell r="P181">
            <v>679.18604665257965</v>
          </cell>
          <cell r="Q181">
            <v>252.303</v>
          </cell>
          <cell r="R181">
            <v>251.85</v>
          </cell>
          <cell r="S181">
            <v>3.6551238748783098E-2</v>
          </cell>
          <cell r="V181">
            <v>31.454866683300001</v>
          </cell>
        </row>
        <row r="182">
          <cell r="A182">
            <v>46374</v>
          </cell>
          <cell r="B182">
            <v>252.303</v>
          </cell>
          <cell r="C182"/>
          <cell r="D182">
            <v>679.17373832318401</v>
          </cell>
          <cell r="E182">
            <v>924.00900000000001</v>
          </cell>
          <cell r="F182">
            <v>924.00900000000001</v>
          </cell>
          <cell r="G182">
            <v>924.00900000000001</v>
          </cell>
          <cell r="H182">
            <v>379.8</v>
          </cell>
          <cell r="I182">
            <v>300</v>
          </cell>
          <cell r="J182">
            <v>508.05050135425518</v>
          </cell>
          <cell r="L182">
            <v>66.38357800621786</v>
          </cell>
          <cell r="M182">
            <v>53</v>
          </cell>
          <cell r="N182">
            <v>1307.2340793604731</v>
          </cell>
          <cell r="O182">
            <v>-0.93758756491307294</v>
          </cell>
          <cell r="P182">
            <v>678.23615075827092</v>
          </cell>
          <cell r="Q182">
            <v>252.239</v>
          </cell>
          <cell r="R182">
            <v>251.85</v>
          </cell>
          <cell r="S182">
            <v>3.3865894447059668E-2</v>
          </cell>
          <cell r="V182">
            <v>26.165024251650003</v>
          </cell>
        </row>
        <row r="183">
          <cell r="A183">
            <v>46375</v>
          </cell>
          <cell r="B183">
            <v>252.239</v>
          </cell>
          <cell r="C183"/>
          <cell r="D183">
            <v>678.23561461579197</v>
          </cell>
          <cell r="E183">
            <v>1563.0050000000001</v>
          </cell>
          <cell r="F183">
            <v>1563.0050000000001</v>
          </cell>
          <cell r="G183">
            <v>1563.0050000000001</v>
          </cell>
          <cell r="H183">
            <v>379.8</v>
          </cell>
          <cell r="I183">
            <v>300</v>
          </cell>
          <cell r="J183">
            <v>404.47050243476286</v>
          </cell>
          <cell r="L183">
            <v>36.129161955468888</v>
          </cell>
          <cell r="M183">
            <v>53</v>
          </cell>
          <cell r="N183">
            <v>1173.3996643902317</v>
          </cell>
          <cell r="O183">
            <v>0.95319731814290121</v>
          </cell>
          <cell r="P183">
            <v>679.18881193393486</v>
          </cell>
          <cell r="Q183">
            <v>252.304</v>
          </cell>
          <cell r="R183">
            <v>251.85</v>
          </cell>
          <cell r="S183">
            <v>2.9807157885087879E-2</v>
          </cell>
          <cell r="V183">
            <v>44.259378134250007</v>
          </cell>
        </row>
        <row r="184">
          <cell r="A184">
            <v>46376</v>
          </cell>
          <cell r="B184">
            <v>252.304</v>
          </cell>
          <cell r="C184"/>
          <cell r="D184">
            <v>679.18839650611199</v>
          </cell>
          <cell r="E184">
            <v>1303.318</v>
          </cell>
          <cell r="F184">
            <v>1303.318</v>
          </cell>
          <cell r="G184">
            <v>1303.318</v>
          </cell>
          <cell r="H184">
            <v>379.8</v>
          </cell>
          <cell r="I184">
            <v>300</v>
          </cell>
          <cell r="J184">
            <v>509.73000017795044</v>
          </cell>
          <cell r="L184">
            <v>40.770028691870642</v>
          </cell>
          <cell r="M184">
            <v>53</v>
          </cell>
          <cell r="N184">
            <v>1283.3000288698211</v>
          </cell>
          <cell r="O184">
            <v>4.8975398055277952E-2</v>
          </cell>
          <cell r="P184">
            <v>679.23737190416728</v>
          </cell>
          <cell r="Q184">
            <v>252.30699999999999</v>
          </cell>
          <cell r="R184">
            <v>251.85</v>
          </cell>
          <cell r="S184">
            <v>3.3931671353195185E-2</v>
          </cell>
          <cell r="V184">
            <v>36.905860308299999</v>
          </cell>
        </row>
        <row r="185">
          <cell r="A185">
            <v>46377</v>
          </cell>
          <cell r="B185">
            <v>252.30699999999999</v>
          </cell>
          <cell r="C185"/>
          <cell r="D185">
            <v>679.23237105489602</v>
          </cell>
          <cell r="E185">
            <v>1124.979</v>
          </cell>
          <cell r="F185">
            <v>1124.979</v>
          </cell>
          <cell r="G185">
            <v>1124.979</v>
          </cell>
          <cell r="H185">
            <v>379.8</v>
          </cell>
          <cell r="I185">
            <v>300</v>
          </cell>
          <cell r="J185">
            <v>514.77947069265042</v>
          </cell>
          <cell r="L185">
            <v>29.778943825159264</v>
          </cell>
          <cell r="M185">
            <v>53</v>
          </cell>
          <cell r="N185">
            <v>1277.3584145178097</v>
          </cell>
          <cell r="O185">
            <v>-0.37280713579354763</v>
          </cell>
          <cell r="P185">
            <v>678.85956391910247</v>
          </cell>
          <cell r="Q185">
            <v>252.28100000000001</v>
          </cell>
          <cell r="R185">
            <v>251.85</v>
          </cell>
          <cell r="S185">
            <v>3.4129425439958699E-2</v>
          </cell>
          <cell r="V185">
            <v>31.855861596150003</v>
          </cell>
        </row>
        <row r="186">
          <cell r="A186">
            <v>46378</v>
          </cell>
          <cell r="B186">
            <v>252.28100000000001</v>
          </cell>
          <cell r="C186"/>
          <cell r="D186">
            <v>678.85125829876802</v>
          </cell>
          <cell r="E186">
            <v>1012.3440000000001</v>
          </cell>
          <cell r="F186">
            <v>1012.3440000000001</v>
          </cell>
          <cell r="G186">
            <v>1012.3440000000001</v>
          </cell>
          <cell r="H186">
            <v>379.8</v>
          </cell>
          <cell r="I186">
            <v>300</v>
          </cell>
          <cell r="J186">
            <v>471.56891065748835</v>
          </cell>
          <cell r="L186">
            <v>61.390528314801514</v>
          </cell>
          <cell r="M186">
            <v>53</v>
          </cell>
          <cell r="N186">
            <v>1265.7594389722899</v>
          </cell>
          <cell r="O186">
            <v>-0.6199989957179024</v>
          </cell>
          <cell r="P186">
            <v>678.23125930305014</v>
          </cell>
          <cell r="Q186">
            <v>252.238</v>
          </cell>
          <cell r="R186">
            <v>251.85</v>
          </cell>
          <cell r="S186">
            <v>3.2436843863874354E-2</v>
          </cell>
          <cell r="V186">
            <v>28.666393196400001</v>
          </cell>
        </row>
        <row r="187">
          <cell r="A187">
            <v>46379</v>
          </cell>
          <cell r="B187">
            <v>252.238</v>
          </cell>
          <cell r="C187"/>
          <cell r="D187">
            <v>678.220956432864</v>
          </cell>
          <cell r="E187">
            <v>962.28399999999999</v>
          </cell>
          <cell r="F187">
            <v>962.28399999999999</v>
          </cell>
          <cell r="G187">
            <v>962.28399999999999</v>
          </cell>
          <cell r="H187">
            <v>379.8</v>
          </cell>
          <cell r="I187">
            <v>300</v>
          </cell>
          <cell r="J187">
            <v>402.91479492390971</v>
          </cell>
          <cell r="L187">
            <v>70.451876768258828</v>
          </cell>
          <cell r="M187">
            <v>53</v>
          </cell>
          <cell r="N187">
            <v>1206.1666716921686</v>
          </cell>
          <cell r="O187">
            <v>-0.59667639878356993</v>
          </cell>
          <cell r="P187">
            <v>677.62428003408047</v>
          </cell>
          <cell r="Q187">
            <v>252.197</v>
          </cell>
          <cell r="R187">
            <v>251.85</v>
          </cell>
          <cell r="S187">
            <v>2.9746167091641934E-2</v>
          </cell>
          <cell r="V187">
            <v>27.248851685400002</v>
          </cell>
        </row>
        <row r="188">
          <cell r="A188">
            <v>46380</v>
          </cell>
          <cell r="B188">
            <v>252.197</v>
          </cell>
          <cell r="C188"/>
          <cell r="D188">
            <v>677.61997093281605</v>
          </cell>
          <cell r="E188">
            <v>909.09500000000003</v>
          </cell>
          <cell r="F188">
            <v>909.09500000000003</v>
          </cell>
          <cell r="G188">
            <v>909.09500000000003</v>
          </cell>
          <cell r="H188">
            <v>379.8</v>
          </cell>
          <cell r="I188">
            <v>300</v>
          </cell>
          <cell r="J188">
            <v>340.87101871568836</v>
          </cell>
          <cell r="L188">
            <v>68.122559985990151</v>
          </cell>
          <cell r="M188">
            <v>53</v>
          </cell>
          <cell r="N188">
            <v>1141.7935787016784</v>
          </cell>
          <cell r="O188">
            <v>-0.56931371539600484</v>
          </cell>
          <cell r="P188">
            <v>677.05065721742005</v>
          </cell>
          <cell r="Q188">
            <v>252.15799999999999</v>
          </cell>
          <cell r="R188">
            <v>251.85</v>
          </cell>
          <cell r="S188">
            <v>2.731301693116767E-2</v>
          </cell>
          <cell r="V188">
            <v>25.742706750750003</v>
          </cell>
        </row>
        <row r="189">
          <cell r="A189">
            <v>46381</v>
          </cell>
          <cell r="B189">
            <v>252.15799999999999</v>
          </cell>
          <cell r="C189"/>
          <cell r="D189">
            <v>677.04830179862404</v>
          </cell>
          <cell r="E189">
            <v>865.29300000000001</v>
          </cell>
          <cell r="F189">
            <v>865.29300000000001</v>
          </cell>
          <cell r="G189">
            <v>865.29300000000001</v>
          </cell>
          <cell r="H189">
            <v>379.8</v>
          </cell>
          <cell r="I189">
            <v>300</v>
          </cell>
          <cell r="J189">
            <v>285.1320414578542</v>
          </cell>
          <cell r="L189">
            <v>84.063169273928111</v>
          </cell>
          <cell r="M189">
            <v>53</v>
          </cell>
          <cell r="N189">
            <v>1101.9952107317822</v>
          </cell>
          <cell r="O189">
            <v>-0.57910888749741662</v>
          </cell>
          <cell r="P189">
            <v>676.46919291112658</v>
          </cell>
          <cell r="Q189">
            <v>252.11799999999999</v>
          </cell>
          <cell r="R189">
            <v>251.85</v>
          </cell>
          <cell r="S189">
            <v>2.5125864529568987E-2</v>
          </cell>
          <cell r="V189">
            <v>24.502372087050002</v>
          </cell>
        </row>
        <row r="190">
          <cell r="A190">
            <v>46382</v>
          </cell>
          <cell r="B190">
            <v>252.11799999999999</v>
          </cell>
          <cell r="C190"/>
          <cell r="D190">
            <v>676.46197448150394</v>
          </cell>
          <cell r="E190">
            <v>594.74800000000005</v>
          </cell>
          <cell r="F190">
            <v>594.74800000000005</v>
          </cell>
          <cell r="G190">
            <v>594.74800000000005</v>
          </cell>
          <cell r="H190">
            <v>379.8</v>
          </cell>
          <cell r="I190">
            <v>300</v>
          </cell>
          <cell r="J190">
            <v>231.49925718141105</v>
          </cell>
          <cell r="L190">
            <v>24.433953382540185</v>
          </cell>
          <cell r="M190">
            <v>53</v>
          </cell>
          <cell r="N190">
            <v>988.73321056395116</v>
          </cell>
          <cell r="O190">
            <v>-0.96391299546696596</v>
          </cell>
          <cell r="P190">
            <v>675.49806148603693</v>
          </cell>
          <cell r="Q190">
            <v>252.05199999999999</v>
          </cell>
          <cell r="R190">
            <v>251.85</v>
          </cell>
          <cell r="S190">
            <v>2.3020231471788753E-2</v>
          </cell>
          <cell r="V190">
            <v>16.841389903800003</v>
          </cell>
        </row>
        <row r="191">
          <cell r="A191">
            <v>46383</v>
          </cell>
          <cell r="B191">
            <v>252.05199999999999</v>
          </cell>
          <cell r="C191"/>
          <cell r="D191">
            <v>675.49453440825596</v>
          </cell>
          <cell r="E191">
            <v>1016.913</v>
          </cell>
          <cell r="F191">
            <v>1016.913</v>
          </cell>
          <cell r="G191">
            <v>1016.913</v>
          </cell>
          <cell r="H191">
            <v>379.8</v>
          </cell>
          <cell r="I191">
            <v>300</v>
          </cell>
          <cell r="J191">
            <v>151.56021587416086</v>
          </cell>
          <cell r="L191">
            <v>52.72327562982256</v>
          </cell>
          <cell r="M191">
            <v>53</v>
          </cell>
          <cell r="N191">
            <v>937.08349150398328</v>
          </cell>
          <cell r="O191">
            <v>0.19530860194195254</v>
          </cell>
          <cell r="P191">
            <v>675.68984301019793</v>
          </cell>
          <cell r="Q191">
            <v>252.065</v>
          </cell>
          <cell r="R191">
            <v>251.85</v>
          </cell>
          <cell r="S191">
            <v>1.9879751820831144E-2</v>
          </cell>
          <cell r="V191">
            <v>28.795772884050002</v>
          </cell>
        </row>
        <row r="192">
          <cell r="A192">
            <v>46384</v>
          </cell>
          <cell r="B192">
            <v>252.065</v>
          </cell>
          <cell r="C192"/>
          <cell r="D192">
            <v>675.68509078631996</v>
          </cell>
          <cell r="E192">
            <v>1758.5029999999999</v>
          </cell>
          <cell r="F192">
            <v>1758.5029999999999</v>
          </cell>
          <cell r="G192">
            <v>1758.5029999999999</v>
          </cell>
          <cell r="H192">
            <v>379.8</v>
          </cell>
          <cell r="I192">
            <v>300</v>
          </cell>
          <cell r="J192">
            <v>166.40803655093663</v>
          </cell>
          <cell r="L192">
            <v>29.769963024642323</v>
          </cell>
          <cell r="M192">
            <v>53</v>
          </cell>
          <cell r="N192">
            <v>928.97799957557891</v>
          </cell>
          <cell r="O192">
            <v>2.0294922411663761</v>
          </cell>
          <cell r="P192">
            <v>677.71458302748636</v>
          </cell>
          <cell r="Q192">
            <v>252.203</v>
          </cell>
          <cell r="R192">
            <v>251.85</v>
          </cell>
          <cell r="S192">
            <v>2.0463249041127195E-2</v>
          </cell>
          <cell r="V192">
            <v>49.795265675549999</v>
          </cell>
        </row>
        <row r="193">
          <cell r="A193">
            <v>46385</v>
          </cell>
          <cell r="B193">
            <v>252.203</v>
          </cell>
          <cell r="C193"/>
          <cell r="D193">
            <v>677.707920030384</v>
          </cell>
          <cell r="E193">
            <v>912.30600000000004</v>
          </cell>
          <cell r="F193">
            <v>912.30600000000004</v>
          </cell>
          <cell r="G193">
            <v>912.30600000000004</v>
          </cell>
          <cell r="H193">
            <v>379.8</v>
          </cell>
          <cell r="I193">
            <v>300</v>
          </cell>
          <cell r="J193">
            <v>349.73480263720165</v>
          </cell>
          <cell r="L193">
            <v>44.592358316279174</v>
          </cell>
          <cell r="M193">
            <v>53</v>
          </cell>
          <cell r="N193">
            <v>1127.1271609534808</v>
          </cell>
          <cell r="O193">
            <v>-0.52557533428212211</v>
          </cell>
          <cell r="P193">
            <v>677.18234469610184</v>
          </cell>
          <cell r="Q193">
            <v>252.167</v>
          </cell>
          <cell r="R193">
            <v>251.85</v>
          </cell>
          <cell r="S193">
            <v>2.7660715014325408E-2</v>
          </cell>
          <cell r="V193">
            <v>25.833632156100002</v>
          </cell>
        </row>
        <row r="194">
          <cell r="A194">
            <v>46386</v>
          </cell>
          <cell r="B194">
            <v>252.167</v>
          </cell>
          <cell r="C194"/>
          <cell r="D194">
            <v>677.18022544497603</v>
          </cell>
          <cell r="E194">
            <v>742.31899999999996</v>
          </cell>
          <cell r="F194">
            <v>742.31899999999996</v>
          </cell>
          <cell r="G194">
            <v>742.31899999999996</v>
          </cell>
          <cell r="H194">
            <v>379.8</v>
          </cell>
          <cell r="I194">
            <v>300</v>
          </cell>
          <cell r="J194">
            <v>297.70092958526288</v>
          </cell>
          <cell r="L194">
            <v>34.634361119724801</v>
          </cell>
          <cell r="M194">
            <v>53</v>
          </cell>
          <cell r="N194">
            <v>1065.1352907049877</v>
          </cell>
          <cell r="O194">
            <v>-0.78979314303086379</v>
          </cell>
          <cell r="P194">
            <v>676.39043230194511</v>
          </cell>
          <cell r="Q194">
            <v>252.113</v>
          </cell>
          <cell r="R194">
            <v>251.85</v>
          </cell>
          <cell r="S194">
            <v>2.5619161539089122E-2</v>
          </cell>
          <cell r="V194">
            <v>21.020135775149999</v>
          </cell>
        </row>
        <row r="195">
          <cell r="A195">
            <v>46387</v>
          </cell>
          <cell r="B195">
            <v>252.113</v>
          </cell>
          <cell r="C195"/>
          <cell r="D195">
            <v>676.38868356686396</v>
          </cell>
          <cell r="E195">
            <v>897.36199999999997</v>
          </cell>
          <cell r="F195">
            <v>897.36199999999997</v>
          </cell>
          <cell r="G195">
            <v>897.36199999999997</v>
          </cell>
          <cell r="H195">
            <v>379.8</v>
          </cell>
          <cell r="J195">
            <v>225.05930860400531</v>
          </cell>
          <cell r="L195">
            <v>55.810039684201541</v>
          </cell>
          <cell r="M195">
            <v>53</v>
          </cell>
          <cell r="N195">
            <v>713.66934828820683</v>
          </cell>
          <cell r="O195">
            <v>0.44941721011135233</v>
          </cell>
          <cell r="P195">
            <v>676.83810077697535</v>
          </cell>
          <cell r="Q195">
            <v>252.143</v>
          </cell>
          <cell r="R195">
            <v>251.85</v>
          </cell>
          <cell r="S195">
            <v>1.09679695886021E-2</v>
          </cell>
          <cell r="V195">
            <v>25.410465149699998</v>
          </cell>
        </row>
        <row r="196">
          <cell r="A196">
            <v>46388</v>
          </cell>
          <cell r="C196"/>
          <cell r="D196" t="e">
            <v>#N/A</v>
          </cell>
          <cell r="E196">
            <v>667.59900000000005</v>
          </cell>
          <cell r="F196">
            <v>667.59900000000005</v>
          </cell>
          <cell r="G196">
            <v>667.59900000000005</v>
          </cell>
          <cell r="H196">
            <v>379.8</v>
          </cell>
          <cell r="J196" t="str">
            <v>0</v>
          </cell>
          <cell r="L196">
            <v>-0.20258213974109554</v>
          </cell>
          <cell r="M196">
            <v>53</v>
          </cell>
          <cell r="N196">
            <v>432.59741786025893</v>
          </cell>
          <cell r="O196">
            <v>0.57494817801803122</v>
          </cell>
          <cell r="P196" t="e">
            <v>#N/A</v>
          </cell>
          <cell r="Q196" t="e">
            <v>#N/A</v>
          </cell>
          <cell r="R196">
            <v>251.85</v>
          </cell>
          <cell r="S196">
            <v>2.0929388252833997E-3</v>
          </cell>
          <cell r="V196">
            <v>18.904300743150003</v>
          </cell>
        </row>
        <row r="197">
          <cell r="A197">
            <v>46389</v>
          </cell>
          <cell r="B197" t="e">
            <v>#N/A</v>
          </cell>
          <cell r="C197"/>
          <cell r="D197" t="e">
            <v>#N/A</v>
          </cell>
          <cell r="F197">
            <v>0</v>
          </cell>
          <cell r="G197">
            <v>0</v>
          </cell>
          <cell r="H197">
            <v>379.8</v>
          </cell>
          <cell r="J197" t="e">
            <v>#N/A</v>
          </cell>
          <cell r="L197" t="e">
            <v>#N/A</v>
          </cell>
          <cell r="M197">
            <v>53</v>
          </cell>
          <cell r="N197" t="e">
            <v>#N/A</v>
          </cell>
          <cell r="O197" t="e">
            <v>#N/A</v>
          </cell>
          <cell r="P197" t="e">
            <v>#N/A</v>
          </cell>
          <cell r="Q197" t="e">
            <v>#N/A</v>
          </cell>
          <cell r="R197">
            <v>251.85</v>
          </cell>
          <cell r="S197" t="e">
            <v>#N/A</v>
          </cell>
          <cell r="V197">
            <v>0</v>
          </cell>
        </row>
        <row r="198">
          <cell r="A198">
            <v>46390</v>
          </cell>
          <cell r="B198" t="e">
            <v>#N/A</v>
          </cell>
          <cell r="C198"/>
          <cell r="D198" t="e">
            <v>#N/A</v>
          </cell>
          <cell r="F198">
            <v>0</v>
          </cell>
          <cell r="G198">
            <v>0</v>
          </cell>
          <cell r="H198">
            <v>379.8</v>
          </cell>
          <cell r="J198" t="e">
            <v>#N/A</v>
          </cell>
          <cell r="L198" t="e">
            <v>#N/A</v>
          </cell>
          <cell r="M198">
            <v>53</v>
          </cell>
          <cell r="N198" t="e">
            <v>#N/A</v>
          </cell>
          <cell r="O198" t="e">
            <v>#N/A</v>
          </cell>
          <cell r="P198" t="e">
            <v>#N/A</v>
          </cell>
          <cell r="Q198" t="e">
            <v>#N/A</v>
          </cell>
          <cell r="R198">
            <v>251.85</v>
          </cell>
          <cell r="S198" t="e">
            <v>#N/A</v>
          </cell>
          <cell r="V198">
            <v>0</v>
          </cell>
        </row>
        <row r="199">
          <cell r="A199">
            <v>46391</v>
          </cell>
          <cell r="B199" t="e">
            <v>#N/A</v>
          </cell>
          <cell r="C199"/>
          <cell r="D199" t="e">
            <v>#N/A</v>
          </cell>
          <cell r="F199">
            <v>0</v>
          </cell>
          <cell r="G199">
            <v>0</v>
          </cell>
          <cell r="H199">
            <v>379.8</v>
          </cell>
          <cell r="J199" t="e">
            <v>#N/A</v>
          </cell>
          <cell r="L199" t="e">
            <v>#N/A</v>
          </cell>
          <cell r="M199">
            <v>53</v>
          </cell>
          <cell r="N199" t="e">
            <v>#N/A</v>
          </cell>
          <cell r="O199" t="e">
            <v>#N/A</v>
          </cell>
          <cell r="P199" t="e">
            <v>#N/A</v>
          </cell>
          <cell r="Q199" t="e">
            <v>#N/A</v>
          </cell>
          <cell r="R199">
            <v>251.85</v>
          </cell>
          <cell r="S199" t="e">
            <v>#N/A</v>
          </cell>
          <cell r="V199">
            <v>0</v>
          </cell>
        </row>
        <row r="200">
          <cell r="A200">
            <v>46392</v>
          </cell>
          <cell r="B200" t="e">
            <v>#N/A</v>
          </cell>
          <cell r="C200"/>
          <cell r="D200" t="e">
            <v>#N/A</v>
          </cell>
          <cell r="F200">
            <v>0</v>
          </cell>
          <cell r="G200">
            <v>0</v>
          </cell>
          <cell r="H200">
            <v>379.8</v>
          </cell>
          <cell r="J200" t="e">
            <v>#N/A</v>
          </cell>
          <cell r="L200" t="e">
            <v>#N/A</v>
          </cell>
          <cell r="M200">
            <v>53</v>
          </cell>
          <cell r="N200" t="e">
            <v>#N/A</v>
          </cell>
          <cell r="O200" t="e">
            <v>#N/A</v>
          </cell>
          <cell r="P200" t="e">
            <v>#N/A</v>
          </cell>
          <cell r="Q200" t="e">
            <v>#N/A</v>
          </cell>
          <cell r="R200">
            <v>251.85</v>
          </cell>
          <cell r="S200" t="e">
            <v>#N/A</v>
          </cell>
          <cell r="V200">
            <v>0</v>
          </cell>
        </row>
        <row r="201">
          <cell r="A201">
            <v>46393</v>
          </cell>
          <cell r="B201" t="e">
            <v>#N/A</v>
          </cell>
          <cell r="C201"/>
          <cell r="D201" t="e">
            <v>#N/A</v>
          </cell>
          <cell r="F201">
            <v>0</v>
          </cell>
          <cell r="G201">
            <v>0</v>
          </cell>
          <cell r="H201">
            <v>379.8</v>
          </cell>
          <cell r="J201" t="e">
            <v>#N/A</v>
          </cell>
          <cell r="L201" t="e">
            <v>#N/A</v>
          </cell>
          <cell r="M201">
            <v>53</v>
          </cell>
          <cell r="N201" t="e">
            <v>#N/A</v>
          </cell>
          <cell r="O201" t="e">
            <v>#N/A</v>
          </cell>
          <cell r="P201" t="e">
            <v>#N/A</v>
          </cell>
          <cell r="Q201" t="e">
            <v>#N/A</v>
          </cell>
          <cell r="R201">
            <v>251.85</v>
          </cell>
          <cell r="S201" t="e">
            <v>#N/A</v>
          </cell>
          <cell r="V201">
            <v>0</v>
          </cell>
        </row>
        <row r="202">
          <cell r="A202">
            <v>46394</v>
          </cell>
          <cell r="B202" t="e">
            <v>#N/A</v>
          </cell>
          <cell r="C202"/>
          <cell r="D202" t="e">
            <v>#N/A</v>
          </cell>
          <cell r="F202">
            <v>0</v>
          </cell>
          <cell r="G202">
            <v>0</v>
          </cell>
          <cell r="H202">
            <v>379.8</v>
          </cell>
          <cell r="J202" t="e">
            <v>#N/A</v>
          </cell>
          <cell r="L202" t="e">
            <v>#N/A</v>
          </cell>
          <cell r="M202">
            <v>53</v>
          </cell>
          <cell r="N202" t="e">
            <v>#N/A</v>
          </cell>
          <cell r="O202" t="e">
            <v>#N/A</v>
          </cell>
          <cell r="P202" t="e">
            <v>#N/A</v>
          </cell>
          <cell r="Q202" t="e">
            <v>#N/A</v>
          </cell>
          <cell r="R202">
            <v>251.85</v>
          </cell>
          <cell r="S202" t="e">
            <v>#N/A</v>
          </cell>
          <cell r="V202">
            <v>0</v>
          </cell>
        </row>
        <row r="203">
          <cell r="A203">
            <v>46395</v>
          </cell>
          <cell r="B203" t="e">
            <v>#N/A</v>
          </cell>
          <cell r="C203"/>
          <cell r="D203" t="e">
            <v>#N/A</v>
          </cell>
          <cell r="F203">
            <v>0</v>
          </cell>
          <cell r="G203">
            <v>0</v>
          </cell>
          <cell r="H203">
            <v>379.8</v>
          </cell>
          <cell r="J203" t="e">
            <v>#N/A</v>
          </cell>
          <cell r="L203" t="e">
            <v>#N/A</v>
          </cell>
          <cell r="M203">
            <v>53</v>
          </cell>
          <cell r="N203" t="e">
            <v>#N/A</v>
          </cell>
          <cell r="O203" t="e">
            <v>#N/A</v>
          </cell>
          <cell r="P203" t="e">
            <v>#N/A</v>
          </cell>
          <cell r="Q203" t="e">
            <v>#N/A</v>
          </cell>
          <cell r="R203">
            <v>251.85</v>
          </cell>
          <cell r="S203" t="e">
            <v>#N/A</v>
          </cell>
          <cell r="V203">
            <v>0</v>
          </cell>
        </row>
        <row r="204">
          <cell r="A204">
            <v>46396</v>
          </cell>
          <cell r="B204" t="e">
            <v>#N/A</v>
          </cell>
          <cell r="C204"/>
          <cell r="D204" t="e">
            <v>#N/A</v>
          </cell>
          <cell r="F204">
            <v>0</v>
          </cell>
          <cell r="G204">
            <v>0</v>
          </cell>
          <cell r="H204">
            <v>379.8</v>
          </cell>
          <cell r="J204" t="e">
            <v>#N/A</v>
          </cell>
          <cell r="L204" t="e">
            <v>#N/A</v>
          </cell>
          <cell r="M204">
            <v>53</v>
          </cell>
          <cell r="N204" t="e">
            <v>#N/A</v>
          </cell>
          <cell r="O204" t="e">
            <v>#N/A</v>
          </cell>
          <cell r="P204" t="e">
            <v>#N/A</v>
          </cell>
          <cell r="Q204" t="e">
            <v>#N/A</v>
          </cell>
          <cell r="R204">
            <v>251.85</v>
          </cell>
          <cell r="S204" t="e">
            <v>#N/A</v>
          </cell>
          <cell r="V204">
            <v>0</v>
          </cell>
        </row>
        <row r="205">
          <cell r="A205">
            <v>46397</v>
          </cell>
          <cell r="B205" t="e">
            <v>#N/A</v>
          </cell>
          <cell r="C205"/>
          <cell r="D205" t="e">
            <v>#N/A</v>
          </cell>
          <cell r="F205">
            <v>0</v>
          </cell>
          <cell r="G205">
            <v>0</v>
          </cell>
          <cell r="H205">
            <v>379.8</v>
          </cell>
          <cell r="J205" t="e">
            <v>#N/A</v>
          </cell>
          <cell r="L205" t="e">
            <v>#N/A</v>
          </cell>
          <cell r="M205">
            <v>53</v>
          </cell>
          <cell r="N205" t="e">
            <v>#N/A</v>
          </cell>
          <cell r="O205" t="e">
            <v>#N/A</v>
          </cell>
          <cell r="P205" t="e">
            <v>#N/A</v>
          </cell>
          <cell r="Q205" t="e">
            <v>#N/A</v>
          </cell>
          <cell r="R205">
            <v>251.85</v>
          </cell>
          <cell r="S205" t="e">
            <v>#N/A</v>
          </cell>
          <cell r="V205">
            <v>0</v>
          </cell>
        </row>
        <row r="206">
          <cell r="A206">
            <v>46398</v>
          </cell>
          <cell r="B206" t="e">
            <v>#N/A</v>
          </cell>
          <cell r="C206"/>
          <cell r="D206" t="e">
            <v>#N/A</v>
          </cell>
          <cell r="F206">
            <v>0</v>
          </cell>
          <cell r="G206">
            <v>0</v>
          </cell>
          <cell r="H206">
            <v>379.8</v>
          </cell>
          <cell r="J206" t="e">
            <v>#N/A</v>
          </cell>
          <cell r="L206" t="e">
            <v>#N/A</v>
          </cell>
          <cell r="M206">
            <v>53</v>
          </cell>
          <cell r="N206" t="e">
            <v>#N/A</v>
          </cell>
          <cell r="O206" t="e">
            <v>#N/A</v>
          </cell>
          <cell r="P206" t="e">
            <v>#N/A</v>
          </cell>
          <cell r="Q206" t="e">
            <v>#N/A</v>
          </cell>
          <cell r="R206">
            <v>251.85</v>
          </cell>
          <cell r="S206" t="e">
            <v>#N/A</v>
          </cell>
          <cell r="V206">
            <v>0</v>
          </cell>
        </row>
        <row r="207">
          <cell r="A207">
            <v>46399</v>
          </cell>
          <cell r="B207" t="e">
            <v>#N/A</v>
          </cell>
          <cell r="C207"/>
          <cell r="D207" t="e">
            <v>#N/A</v>
          </cell>
          <cell r="F207">
            <v>0</v>
          </cell>
          <cell r="G207">
            <v>0</v>
          </cell>
          <cell r="H207">
            <v>379.8</v>
          </cell>
          <cell r="J207" t="e">
            <v>#N/A</v>
          </cell>
          <cell r="L207" t="e">
            <v>#N/A</v>
          </cell>
          <cell r="M207">
            <v>53</v>
          </cell>
          <cell r="N207" t="e">
            <v>#N/A</v>
          </cell>
          <cell r="O207" t="e">
            <v>#N/A</v>
          </cell>
          <cell r="P207" t="e">
            <v>#N/A</v>
          </cell>
          <cell r="Q207" t="e">
            <v>#N/A</v>
          </cell>
          <cell r="R207">
            <v>251.85</v>
          </cell>
          <cell r="S207" t="e">
            <v>#N/A</v>
          </cell>
          <cell r="V207">
            <v>0</v>
          </cell>
        </row>
        <row r="208">
          <cell r="A208">
            <v>46400</v>
          </cell>
          <cell r="B208" t="e">
            <v>#N/A</v>
          </cell>
          <cell r="C208"/>
          <cell r="D208" t="e">
            <v>#N/A</v>
          </cell>
          <cell r="F208">
            <v>0</v>
          </cell>
          <cell r="G208">
            <v>0</v>
          </cell>
          <cell r="H208">
            <v>379.8</v>
          </cell>
          <cell r="J208" t="e">
            <v>#N/A</v>
          </cell>
          <cell r="L208" t="e">
            <v>#N/A</v>
          </cell>
          <cell r="M208">
            <v>53</v>
          </cell>
          <cell r="N208" t="e">
            <v>#N/A</v>
          </cell>
          <cell r="O208" t="e">
            <v>#N/A</v>
          </cell>
          <cell r="P208" t="e">
            <v>#N/A</v>
          </cell>
          <cell r="Q208" t="e">
            <v>#N/A</v>
          </cell>
          <cell r="R208">
            <v>251.85</v>
          </cell>
          <cell r="S208" t="e">
            <v>#N/A</v>
          </cell>
          <cell r="V208">
            <v>0</v>
          </cell>
        </row>
        <row r="209">
          <cell r="A209">
            <v>46401</v>
          </cell>
          <cell r="B209" t="e">
            <v>#N/A</v>
          </cell>
          <cell r="C209"/>
          <cell r="D209" t="e">
            <v>#N/A</v>
          </cell>
          <cell r="F209">
            <v>0</v>
          </cell>
          <cell r="G209">
            <v>0</v>
          </cell>
          <cell r="H209">
            <v>379.8</v>
          </cell>
          <cell r="J209" t="e">
            <v>#N/A</v>
          </cell>
          <cell r="L209" t="e">
            <v>#N/A</v>
          </cell>
          <cell r="M209">
            <v>53</v>
          </cell>
          <cell r="N209" t="e">
            <v>#N/A</v>
          </cell>
          <cell r="O209" t="e">
            <v>#N/A</v>
          </cell>
          <cell r="P209" t="e">
            <v>#N/A</v>
          </cell>
          <cell r="Q209" t="e">
            <v>#N/A</v>
          </cell>
          <cell r="R209">
            <v>251.85</v>
          </cell>
          <cell r="S209" t="e">
            <v>#N/A</v>
          </cell>
          <cell r="V209">
            <v>0</v>
          </cell>
        </row>
        <row r="210">
          <cell r="A210">
            <v>46402</v>
          </cell>
          <cell r="B210" t="e">
            <v>#N/A</v>
          </cell>
          <cell r="C210"/>
          <cell r="D210" t="e">
            <v>#N/A</v>
          </cell>
          <cell r="F210">
            <v>0</v>
          </cell>
          <cell r="G210">
            <v>0</v>
          </cell>
          <cell r="H210">
            <v>379.8</v>
          </cell>
          <cell r="J210" t="e">
            <v>#N/A</v>
          </cell>
          <cell r="L210" t="e">
            <v>#N/A</v>
          </cell>
          <cell r="M210">
            <v>53</v>
          </cell>
          <cell r="N210" t="e">
            <v>#N/A</v>
          </cell>
          <cell r="O210" t="e">
            <v>#N/A</v>
          </cell>
          <cell r="P210" t="e">
            <v>#N/A</v>
          </cell>
          <cell r="Q210" t="e">
            <v>#N/A</v>
          </cell>
          <cell r="R210">
            <v>251.85</v>
          </cell>
          <cell r="S210" t="e">
            <v>#N/A</v>
          </cell>
          <cell r="V210">
            <v>0</v>
          </cell>
        </row>
        <row r="211">
          <cell r="A211">
            <v>46403</v>
          </cell>
          <cell r="B211" t="e">
            <v>#N/A</v>
          </cell>
          <cell r="C211"/>
          <cell r="D211" t="e">
            <v>#N/A</v>
          </cell>
          <cell r="F211">
            <v>0</v>
          </cell>
          <cell r="G211">
            <v>0</v>
          </cell>
          <cell r="H211">
            <v>379.8</v>
          </cell>
          <cell r="J211" t="e">
            <v>#N/A</v>
          </cell>
          <cell r="L211" t="e">
            <v>#N/A</v>
          </cell>
          <cell r="M211">
            <v>53</v>
          </cell>
          <cell r="N211" t="e">
            <v>#N/A</v>
          </cell>
          <cell r="O211" t="e">
            <v>#N/A</v>
          </cell>
          <cell r="P211" t="e">
            <v>#N/A</v>
          </cell>
          <cell r="Q211" t="e">
            <v>#N/A</v>
          </cell>
          <cell r="R211">
            <v>251.85</v>
          </cell>
          <cell r="S211" t="e">
            <v>#N/A</v>
          </cell>
          <cell r="V211">
            <v>0</v>
          </cell>
        </row>
        <row r="212">
          <cell r="A212">
            <v>46404</v>
          </cell>
          <cell r="B212" t="e">
            <v>#N/A</v>
          </cell>
          <cell r="C212"/>
          <cell r="D212" t="e">
            <v>#N/A</v>
          </cell>
          <cell r="F212">
            <v>0</v>
          </cell>
          <cell r="G212">
            <v>0</v>
          </cell>
          <cell r="H212">
            <v>379.8</v>
          </cell>
          <cell r="J212" t="e">
            <v>#N/A</v>
          </cell>
          <cell r="L212" t="e">
            <v>#N/A</v>
          </cell>
          <cell r="M212">
            <v>53</v>
          </cell>
          <cell r="N212" t="e">
            <v>#N/A</v>
          </cell>
          <cell r="O212" t="e">
            <v>#N/A</v>
          </cell>
          <cell r="P212" t="e">
            <v>#N/A</v>
          </cell>
          <cell r="Q212" t="e">
            <v>#N/A</v>
          </cell>
          <cell r="R212">
            <v>251.85</v>
          </cell>
          <cell r="S212" t="e">
            <v>#N/A</v>
          </cell>
          <cell r="V212">
            <v>0</v>
          </cell>
        </row>
        <row r="213">
          <cell r="A213">
            <v>46405</v>
          </cell>
          <cell r="B213" t="e">
            <v>#N/A</v>
          </cell>
          <cell r="C213"/>
          <cell r="D213" t="e">
            <v>#N/A</v>
          </cell>
          <cell r="F213">
            <v>0</v>
          </cell>
          <cell r="G213">
            <v>0</v>
          </cell>
          <cell r="H213">
            <v>379.8</v>
          </cell>
          <cell r="J213" t="e">
            <v>#N/A</v>
          </cell>
          <cell r="L213" t="e">
            <v>#N/A</v>
          </cell>
          <cell r="M213">
            <v>53</v>
          </cell>
          <cell r="N213" t="e">
            <v>#N/A</v>
          </cell>
          <cell r="O213" t="e">
            <v>#N/A</v>
          </cell>
          <cell r="P213" t="e">
            <v>#N/A</v>
          </cell>
          <cell r="Q213" t="e">
            <v>#N/A</v>
          </cell>
          <cell r="R213">
            <v>251.85</v>
          </cell>
          <cell r="S213" t="e">
            <v>#N/A</v>
          </cell>
          <cell r="V213">
            <v>0</v>
          </cell>
        </row>
        <row r="214">
          <cell r="A214">
            <v>46406</v>
          </cell>
          <cell r="B214" t="e">
            <v>#N/A</v>
          </cell>
          <cell r="C214"/>
          <cell r="D214" t="e">
            <v>#N/A</v>
          </cell>
          <cell r="F214">
            <v>0</v>
          </cell>
          <cell r="G214">
            <v>0</v>
          </cell>
          <cell r="H214">
            <v>379.8</v>
          </cell>
          <cell r="J214" t="e">
            <v>#N/A</v>
          </cell>
          <cell r="L214" t="e">
            <v>#N/A</v>
          </cell>
          <cell r="M214">
            <v>53</v>
          </cell>
          <cell r="N214" t="e">
            <v>#N/A</v>
          </cell>
          <cell r="O214" t="e">
            <v>#N/A</v>
          </cell>
          <cell r="P214" t="e">
            <v>#N/A</v>
          </cell>
          <cell r="Q214" t="e">
            <v>#N/A</v>
          </cell>
          <cell r="R214">
            <v>251.85</v>
          </cell>
          <cell r="S214" t="e">
            <v>#N/A</v>
          </cell>
          <cell r="V214">
            <v>0</v>
          </cell>
        </row>
        <row r="215">
          <cell r="A215">
            <v>46407</v>
          </cell>
          <cell r="B215" t="e">
            <v>#N/A</v>
          </cell>
          <cell r="C215"/>
          <cell r="D215" t="e">
            <v>#N/A</v>
          </cell>
          <cell r="F215">
            <v>0</v>
          </cell>
          <cell r="G215">
            <v>0</v>
          </cell>
          <cell r="H215">
            <v>379.8</v>
          </cell>
          <cell r="J215" t="e">
            <v>#N/A</v>
          </cell>
          <cell r="L215" t="e">
            <v>#N/A</v>
          </cell>
          <cell r="M215">
            <v>53</v>
          </cell>
          <cell r="N215" t="e">
            <v>#N/A</v>
          </cell>
          <cell r="O215" t="e">
            <v>#N/A</v>
          </cell>
          <cell r="P215" t="e">
            <v>#N/A</v>
          </cell>
          <cell r="Q215" t="e">
            <v>#N/A</v>
          </cell>
          <cell r="R215">
            <v>251.85</v>
          </cell>
          <cell r="S215" t="e">
            <v>#N/A</v>
          </cell>
          <cell r="V215">
            <v>0</v>
          </cell>
        </row>
        <row r="216">
          <cell r="A216">
            <v>46408</v>
          </cell>
          <cell r="B216" t="e">
            <v>#N/A</v>
          </cell>
          <cell r="C216"/>
          <cell r="D216" t="e">
            <v>#N/A</v>
          </cell>
          <cell r="F216">
            <v>0</v>
          </cell>
          <cell r="G216">
            <v>0</v>
          </cell>
          <cell r="H216">
            <v>379.8</v>
          </cell>
          <cell r="J216" t="e">
            <v>#N/A</v>
          </cell>
          <cell r="L216" t="e">
            <v>#N/A</v>
          </cell>
          <cell r="M216">
            <v>53</v>
          </cell>
          <cell r="N216" t="e">
            <v>#N/A</v>
          </cell>
          <cell r="O216" t="e">
            <v>#N/A</v>
          </cell>
          <cell r="P216" t="e">
            <v>#N/A</v>
          </cell>
          <cell r="Q216" t="e">
            <v>#N/A</v>
          </cell>
          <cell r="R216">
            <v>251.85</v>
          </cell>
          <cell r="S216" t="e">
            <v>#N/A</v>
          </cell>
          <cell r="V216">
            <v>0</v>
          </cell>
        </row>
        <row r="217">
          <cell r="A217">
            <v>46409</v>
          </cell>
          <cell r="B217" t="e">
            <v>#N/A</v>
          </cell>
          <cell r="C217"/>
          <cell r="D217" t="e">
            <v>#N/A</v>
          </cell>
          <cell r="F217">
            <v>0</v>
          </cell>
          <cell r="G217">
            <v>0</v>
          </cell>
          <cell r="H217">
            <v>379.8</v>
          </cell>
          <cell r="J217" t="e">
            <v>#N/A</v>
          </cell>
          <cell r="L217" t="e">
            <v>#N/A</v>
          </cell>
          <cell r="M217">
            <v>53</v>
          </cell>
          <cell r="N217" t="e">
            <v>#N/A</v>
          </cell>
          <cell r="O217" t="e">
            <v>#N/A</v>
          </cell>
          <cell r="P217" t="e">
            <v>#N/A</v>
          </cell>
          <cell r="Q217" t="e">
            <v>#N/A</v>
          </cell>
          <cell r="R217">
            <v>251.85</v>
          </cell>
          <cell r="S217" t="e">
            <v>#N/A</v>
          </cell>
          <cell r="V217">
            <v>0</v>
          </cell>
        </row>
        <row r="218">
          <cell r="A218">
            <v>46410</v>
          </cell>
          <cell r="B218" t="e">
            <v>#N/A</v>
          </cell>
          <cell r="C218"/>
          <cell r="D218" t="e">
            <v>#N/A</v>
          </cell>
          <cell r="F218">
            <v>0</v>
          </cell>
          <cell r="G218">
            <v>0</v>
          </cell>
          <cell r="H218">
            <v>379.8</v>
          </cell>
          <cell r="J218" t="e">
            <v>#N/A</v>
          </cell>
          <cell r="L218" t="e">
            <v>#N/A</v>
          </cell>
          <cell r="M218">
            <v>53</v>
          </cell>
          <cell r="N218" t="e">
            <v>#N/A</v>
          </cell>
          <cell r="O218" t="e">
            <v>#N/A</v>
          </cell>
          <cell r="P218" t="e">
            <v>#N/A</v>
          </cell>
          <cell r="Q218" t="e">
            <v>#N/A</v>
          </cell>
          <cell r="R218">
            <v>251.85</v>
          </cell>
          <cell r="S218" t="e">
            <v>#N/A</v>
          </cell>
          <cell r="V218">
            <v>0</v>
          </cell>
        </row>
        <row r="219">
          <cell r="A219">
            <v>46411</v>
          </cell>
          <cell r="B219" t="e">
            <v>#N/A</v>
          </cell>
          <cell r="C219"/>
          <cell r="D219" t="e">
            <v>#N/A</v>
          </cell>
          <cell r="F219">
            <v>0</v>
          </cell>
          <cell r="G219">
            <v>0</v>
          </cell>
          <cell r="H219">
            <v>379.8</v>
          </cell>
          <cell r="J219" t="e">
            <v>#N/A</v>
          </cell>
          <cell r="L219" t="e">
            <v>#N/A</v>
          </cell>
          <cell r="M219">
            <v>53</v>
          </cell>
          <cell r="N219" t="e">
            <v>#N/A</v>
          </cell>
          <cell r="O219" t="e">
            <v>#N/A</v>
          </cell>
          <cell r="P219" t="e">
            <v>#N/A</v>
          </cell>
          <cell r="Q219" t="e">
            <v>#N/A</v>
          </cell>
          <cell r="R219">
            <v>251.85</v>
          </cell>
          <cell r="S219" t="e">
            <v>#N/A</v>
          </cell>
          <cell r="V219">
            <v>0</v>
          </cell>
        </row>
        <row r="220">
          <cell r="A220">
            <v>46412</v>
          </cell>
          <cell r="B220" t="e">
            <v>#N/A</v>
          </cell>
          <cell r="C220"/>
          <cell r="D220" t="e">
            <v>#N/A</v>
          </cell>
          <cell r="F220">
            <v>0</v>
          </cell>
          <cell r="G220">
            <v>0</v>
          </cell>
          <cell r="H220">
            <v>379.8</v>
          </cell>
          <cell r="J220" t="e">
            <v>#N/A</v>
          </cell>
          <cell r="L220" t="e">
            <v>#N/A</v>
          </cell>
          <cell r="M220">
            <v>53</v>
          </cell>
          <cell r="N220" t="e">
            <v>#N/A</v>
          </cell>
          <cell r="O220" t="e">
            <v>#N/A</v>
          </cell>
          <cell r="P220" t="e">
            <v>#N/A</v>
          </cell>
          <cell r="Q220" t="e">
            <v>#N/A</v>
          </cell>
          <cell r="R220">
            <v>251.85</v>
          </cell>
          <cell r="S220" t="e">
            <v>#N/A</v>
          </cell>
          <cell r="V220">
            <v>0</v>
          </cell>
        </row>
        <row r="221">
          <cell r="A221">
            <v>46413</v>
          </cell>
          <cell r="B221" t="e">
            <v>#N/A</v>
          </cell>
          <cell r="C221"/>
          <cell r="D221" t="e">
            <v>#N/A</v>
          </cell>
          <cell r="F221">
            <v>0</v>
          </cell>
          <cell r="G221">
            <v>0</v>
          </cell>
          <cell r="H221">
            <v>379.8</v>
          </cell>
          <cell r="J221" t="e">
            <v>#N/A</v>
          </cell>
          <cell r="L221" t="e">
            <v>#N/A</v>
          </cell>
          <cell r="M221">
            <v>53</v>
          </cell>
          <cell r="N221" t="e">
            <v>#N/A</v>
          </cell>
          <cell r="O221" t="e">
            <v>#N/A</v>
          </cell>
          <cell r="P221" t="e">
            <v>#N/A</v>
          </cell>
          <cell r="Q221" t="e">
            <v>#N/A</v>
          </cell>
          <cell r="R221">
            <v>251.85</v>
          </cell>
          <cell r="S221" t="e">
            <v>#N/A</v>
          </cell>
          <cell r="V221">
            <v>0</v>
          </cell>
        </row>
        <row r="222">
          <cell r="A222">
            <v>46414</v>
          </cell>
          <cell r="B222" t="e">
            <v>#N/A</v>
          </cell>
          <cell r="C222"/>
          <cell r="D222" t="e">
            <v>#N/A</v>
          </cell>
          <cell r="F222">
            <v>0</v>
          </cell>
          <cell r="G222">
            <v>0</v>
          </cell>
          <cell r="H222">
            <v>379.8</v>
          </cell>
          <cell r="J222" t="e">
            <v>#N/A</v>
          </cell>
          <cell r="L222" t="e">
            <v>#N/A</v>
          </cell>
          <cell r="M222">
            <v>53</v>
          </cell>
          <cell r="N222" t="e">
            <v>#N/A</v>
          </cell>
          <cell r="O222" t="e">
            <v>#N/A</v>
          </cell>
          <cell r="P222" t="e">
            <v>#N/A</v>
          </cell>
          <cell r="Q222" t="e">
            <v>#N/A</v>
          </cell>
          <cell r="R222">
            <v>251.85</v>
          </cell>
          <cell r="S222" t="e">
            <v>#N/A</v>
          </cell>
          <cell r="V222">
            <v>0</v>
          </cell>
        </row>
        <row r="223">
          <cell r="A223">
            <v>46415</v>
          </cell>
          <cell r="B223" t="e">
            <v>#N/A</v>
          </cell>
          <cell r="C223"/>
          <cell r="D223" t="e">
            <v>#N/A</v>
          </cell>
          <cell r="F223">
            <v>0</v>
          </cell>
          <cell r="G223">
            <v>0</v>
          </cell>
          <cell r="H223">
            <v>379.8</v>
          </cell>
          <cell r="J223" t="e">
            <v>#N/A</v>
          </cell>
          <cell r="L223" t="e">
            <v>#N/A</v>
          </cell>
          <cell r="M223">
            <v>53</v>
          </cell>
          <cell r="N223" t="e">
            <v>#N/A</v>
          </cell>
          <cell r="O223" t="e">
            <v>#N/A</v>
          </cell>
          <cell r="P223" t="e">
            <v>#N/A</v>
          </cell>
          <cell r="Q223" t="e">
            <v>#N/A</v>
          </cell>
          <cell r="R223">
            <v>251.85</v>
          </cell>
          <cell r="S223" t="e">
            <v>#N/A</v>
          </cell>
          <cell r="V223">
            <v>0</v>
          </cell>
        </row>
        <row r="224">
          <cell r="A224">
            <v>46416</v>
          </cell>
          <cell r="B224" t="e">
            <v>#N/A</v>
          </cell>
          <cell r="C224"/>
          <cell r="D224" t="e">
            <v>#N/A</v>
          </cell>
          <cell r="F224">
            <v>0</v>
          </cell>
          <cell r="G224">
            <v>0</v>
          </cell>
          <cell r="H224">
            <v>379.8</v>
          </cell>
          <cell r="J224" t="e">
            <v>#N/A</v>
          </cell>
          <cell r="L224" t="e">
            <v>#N/A</v>
          </cell>
          <cell r="M224">
            <v>53</v>
          </cell>
          <cell r="N224" t="e">
            <v>#N/A</v>
          </cell>
          <cell r="O224" t="e">
            <v>#N/A</v>
          </cell>
          <cell r="P224" t="e">
            <v>#N/A</v>
          </cell>
          <cell r="Q224" t="e">
            <v>#N/A</v>
          </cell>
          <cell r="R224">
            <v>251.85</v>
          </cell>
          <cell r="S224" t="e">
            <v>#N/A</v>
          </cell>
          <cell r="V224">
            <v>0</v>
          </cell>
        </row>
        <row r="225">
          <cell r="A225">
            <v>46417</v>
          </cell>
          <cell r="B225" t="e">
            <v>#N/A</v>
          </cell>
          <cell r="C225"/>
          <cell r="D225" t="e">
            <v>#N/A</v>
          </cell>
          <cell r="F225">
            <v>0</v>
          </cell>
          <cell r="G225">
            <v>0</v>
          </cell>
          <cell r="H225">
            <v>379.8</v>
          </cell>
          <cell r="J225" t="e">
            <v>#N/A</v>
          </cell>
          <cell r="L225" t="e">
            <v>#N/A</v>
          </cell>
          <cell r="M225">
            <v>53</v>
          </cell>
          <cell r="N225" t="e">
            <v>#N/A</v>
          </cell>
          <cell r="O225" t="e">
            <v>#N/A</v>
          </cell>
          <cell r="P225" t="e">
            <v>#N/A</v>
          </cell>
          <cell r="Q225" t="e">
            <v>#N/A</v>
          </cell>
          <cell r="R225">
            <v>251.85</v>
          </cell>
          <cell r="S225" t="e">
            <v>#N/A</v>
          </cell>
          <cell r="V225">
            <v>0</v>
          </cell>
        </row>
        <row r="226">
          <cell r="A226">
            <v>46418</v>
          </cell>
          <cell r="B226" t="e">
            <v>#N/A</v>
          </cell>
          <cell r="C226"/>
          <cell r="D226" t="e">
            <v>#N/A</v>
          </cell>
          <cell r="F226">
            <v>0</v>
          </cell>
          <cell r="G226">
            <v>0</v>
          </cell>
          <cell r="H226">
            <v>379.8</v>
          </cell>
          <cell r="J226" t="e">
            <v>#N/A</v>
          </cell>
          <cell r="L226" t="e">
            <v>#N/A</v>
          </cell>
          <cell r="M226">
            <v>53</v>
          </cell>
          <cell r="N226" t="e">
            <v>#N/A</v>
          </cell>
          <cell r="O226" t="e">
            <v>#N/A</v>
          </cell>
          <cell r="P226" t="e">
            <v>#N/A</v>
          </cell>
          <cell r="Q226" t="e">
            <v>#N/A</v>
          </cell>
          <cell r="R226">
            <v>251.85</v>
          </cell>
          <cell r="S226" t="e">
            <v>#N/A</v>
          </cell>
          <cell r="V226">
            <v>0</v>
          </cell>
        </row>
        <row r="227">
          <cell r="A227">
            <v>46419</v>
          </cell>
          <cell r="B227" t="e">
            <v>#N/A</v>
          </cell>
          <cell r="C227"/>
          <cell r="D227" t="e">
            <v>#N/A</v>
          </cell>
          <cell r="F227">
            <v>0</v>
          </cell>
          <cell r="G227">
            <v>0</v>
          </cell>
          <cell r="H227">
            <v>379.8</v>
          </cell>
          <cell r="J227" t="e">
            <v>#N/A</v>
          </cell>
          <cell r="L227" t="e">
            <v>#N/A</v>
          </cell>
          <cell r="M227">
            <v>53</v>
          </cell>
          <cell r="N227" t="e">
            <v>#N/A</v>
          </cell>
          <cell r="O227" t="e">
            <v>#N/A</v>
          </cell>
          <cell r="P227" t="e">
            <v>#N/A</v>
          </cell>
          <cell r="Q227" t="e">
            <v>#N/A</v>
          </cell>
          <cell r="R227">
            <v>251.85</v>
          </cell>
          <cell r="S227" t="e">
            <v>#N/A</v>
          </cell>
          <cell r="V227">
            <v>0</v>
          </cell>
        </row>
        <row r="228">
          <cell r="A228">
            <v>46420</v>
          </cell>
          <cell r="B228" t="e">
            <v>#N/A</v>
          </cell>
          <cell r="C228"/>
          <cell r="D228" t="e">
            <v>#N/A</v>
          </cell>
          <cell r="F228">
            <v>0</v>
          </cell>
          <cell r="G228">
            <v>0</v>
          </cell>
          <cell r="H228">
            <v>379.8</v>
          </cell>
          <cell r="J228" t="e">
            <v>#N/A</v>
          </cell>
          <cell r="L228" t="e">
            <v>#N/A</v>
          </cell>
          <cell r="M228">
            <v>53</v>
          </cell>
          <cell r="N228" t="e">
            <v>#N/A</v>
          </cell>
          <cell r="O228" t="e">
            <v>#N/A</v>
          </cell>
          <cell r="P228" t="e">
            <v>#N/A</v>
          </cell>
          <cell r="Q228" t="e">
            <v>#N/A</v>
          </cell>
          <cell r="R228">
            <v>251.85</v>
          </cell>
          <cell r="S228" t="e">
            <v>#N/A</v>
          </cell>
          <cell r="V228">
            <v>0</v>
          </cell>
        </row>
        <row r="229">
          <cell r="A229">
            <v>46421</v>
          </cell>
          <cell r="B229" t="e">
            <v>#N/A</v>
          </cell>
          <cell r="C229"/>
          <cell r="D229" t="e">
            <v>#N/A</v>
          </cell>
          <cell r="F229">
            <v>0</v>
          </cell>
          <cell r="G229">
            <v>0</v>
          </cell>
          <cell r="H229">
            <v>379.8</v>
          </cell>
          <cell r="J229" t="e">
            <v>#N/A</v>
          </cell>
          <cell r="L229" t="e">
            <v>#N/A</v>
          </cell>
          <cell r="M229">
            <v>53</v>
          </cell>
          <cell r="N229" t="e">
            <v>#N/A</v>
          </cell>
          <cell r="O229" t="e">
            <v>#N/A</v>
          </cell>
          <cell r="P229" t="e">
            <v>#N/A</v>
          </cell>
          <cell r="Q229" t="e">
            <v>#N/A</v>
          </cell>
          <cell r="R229">
            <v>251.85</v>
          </cell>
          <cell r="S229" t="e">
            <v>#N/A</v>
          </cell>
          <cell r="V229">
            <v>0</v>
          </cell>
        </row>
        <row r="230">
          <cell r="A230">
            <v>46422</v>
          </cell>
          <cell r="B230" t="e">
            <v>#N/A</v>
          </cell>
          <cell r="C230"/>
          <cell r="D230" t="e">
            <v>#N/A</v>
          </cell>
          <cell r="F230">
            <v>0</v>
          </cell>
          <cell r="G230">
            <v>0</v>
          </cell>
          <cell r="H230">
            <v>379.8</v>
          </cell>
          <cell r="J230" t="e">
            <v>#N/A</v>
          </cell>
          <cell r="L230" t="e">
            <v>#N/A</v>
          </cell>
          <cell r="M230">
            <v>53</v>
          </cell>
          <cell r="N230" t="e">
            <v>#N/A</v>
          </cell>
          <cell r="O230" t="e">
            <v>#N/A</v>
          </cell>
          <cell r="P230" t="e">
            <v>#N/A</v>
          </cell>
          <cell r="Q230" t="e">
            <v>#N/A</v>
          </cell>
          <cell r="R230">
            <v>251.85</v>
          </cell>
          <cell r="S230" t="e">
            <v>#N/A</v>
          </cell>
          <cell r="V230">
            <v>0</v>
          </cell>
        </row>
        <row r="231">
          <cell r="A231">
            <v>46423</v>
          </cell>
          <cell r="B231" t="e">
            <v>#N/A</v>
          </cell>
          <cell r="C231"/>
          <cell r="D231" t="e">
            <v>#N/A</v>
          </cell>
          <cell r="F231">
            <v>0</v>
          </cell>
          <cell r="G231">
            <v>0</v>
          </cell>
          <cell r="H231">
            <v>379.8</v>
          </cell>
          <cell r="J231" t="e">
            <v>#N/A</v>
          </cell>
          <cell r="L231" t="e">
            <v>#N/A</v>
          </cell>
          <cell r="M231">
            <v>53</v>
          </cell>
          <cell r="N231" t="e">
            <v>#N/A</v>
          </cell>
          <cell r="O231" t="e">
            <v>#N/A</v>
          </cell>
          <cell r="P231" t="e">
            <v>#N/A</v>
          </cell>
          <cell r="Q231" t="e">
            <v>#N/A</v>
          </cell>
          <cell r="R231">
            <v>251.85</v>
          </cell>
          <cell r="S231" t="e">
            <v>#N/A</v>
          </cell>
          <cell r="V231">
            <v>0</v>
          </cell>
        </row>
        <row r="232">
          <cell r="A232">
            <v>46424</v>
          </cell>
          <cell r="B232" t="e">
            <v>#N/A</v>
          </cell>
          <cell r="C232"/>
          <cell r="D232" t="e">
            <v>#N/A</v>
          </cell>
          <cell r="F232">
            <v>0</v>
          </cell>
          <cell r="G232">
            <v>0</v>
          </cell>
          <cell r="H232">
            <v>379.8</v>
          </cell>
          <cell r="J232" t="e">
            <v>#N/A</v>
          </cell>
          <cell r="L232" t="e">
            <v>#N/A</v>
          </cell>
          <cell r="M232">
            <v>53</v>
          </cell>
          <cell r="N232" t="e">
            <v>#N/A</v>
          </cell>
          <cell r="O232" t="e">
            <v>#N/A</v>
          </cell>
          <cell r="P232" t="e">
            <v>#N/A</v>
          </cell>
          <cell r="Q232" t="e">
            <v>#N/A</v>
          </cell>
          <cell r="R232">
            <v>251.85</v>
          </cell>
          <cell r="S232" t="e">
            <v>#N/A</v>
          </cell>
          <cell r="V232">
            <v>0</v>
          </cell>
        </row>
        <row r="233">
          <cell r="A233">
            <v>46425</v>
          </cell>
          <cell r="B233" t="e">
            <v>#N/A</v>
          </cell>
          <cell r="C233"/>
          <cell r="D233" t="e">
            <v>#N/A</v>
          </cell>
          <cell r="F233">
            <v>0</v>
          </cell>
          <cell r="G233">
            <v>0</v>
          </cell>
          <cell r="H233">
            <v>379.8</v>
          </cell>
          <cell r="J233" t="e">
            <v>#N/A</v>
          </cell>
          <cell r="L233" t="e">
            <v>#N/A</v>
          </cell>
          <cell r="M233">
            <v>53</v>
          </cell>
          <cell r="N233" t="e">
            <v>#N/A</v>
          </cell>
          <cell r="O233" t="e">
            <v>#N/A</v>
          </cell>
          <cell r="P233" t="e">
            <v>#N/A</v>
          </cell>
          <cell r="Q233" t="e">
            <v>#N/A</v>
          </cell>
          <cell r="R233">
            <v>251.85</v>
          </cell>
          <cell r="S233" t="e">
            <v>#N/A</v>
          </cell>
          <cell r="V233">
            <v>0</v>
          </cell>
        </row>
        <row r="234">
          <cell r="A234">
            <v>46426</v>
          </cell>
          <cell r="B234" t="e">
            <v>#N/A</v>
          </cell>
          <cell r="C234"/>
          <cell r="D234" t="e">
            <v>#N/A</v>
          </cell>
          <cell r="F234">
            <v>0</v>
          </cell>
          <cell r="G234">
            <v>0</v>
          </cell>
          <cell r="H234">
            <v>379.8</v>
          </cell>
          <cell r="J234" t="e">
            <v>#N/A</v>
          </cell>
          <cell r="L234" t="e">
            <v>#N/A</v>
          </cell>
          <cell r="M234">
            <v>53</v>
          </cell>
          <cell r="N234" t="e">
            <v>#N/A</v>
          </cell>
          <cell r="O234" t="e">
            <v>#N/A</v>
          </cell>
          <cell r="P234" t="e">
            <v>#N/A</v>
          </cell>
          <cell r="Q234" t="e">
            <v>#N/A</v>
          </cell>
          <cell r="R234">
            <v>251.85</v>
          </cell>
          <cell r="S234" t="e">
            <v>#N/A</v>
          </cell>
          <cell r="V234">
            <v>0</v>
          </cell>
        </row>
        <row r="235">
          <cell r="A235">
            <v>46427</v>
          </cell>
          <cell r="B235" t="e">
            <v>#N/A</v>
          </cell>
          <cell r="C235"/>
          <cell r="D235" t="e">
            <v>#N/A</v>
          </cell>
          <cell r="F235">
            <v>0</v>
          </cell>
          <cell r="G235">
            <v>0</v>
          </cell>
          <cell r="H235">
            <v>379.8</v>
          </cell>
          <cell r="J235" t="e">
            <v>#N/A</v>
          </cell>
          <cell r="L235" t="e">
            <v>#N/A</v>
          </cell>
          <cell r="M235">
            <v>53</v>
          </cell>
          <cell r="N235" t="e">
            <v>#N/A</v>
          </cell>
          <cell r="O235" t="e">
            <v>#N/A</v>
          </cell>
          <cell r="P235" t="e">
            <v>#N/A</v>
          </cell>
          <cell r="Q235" t="e">
            <v>#N/A</v>
          </cell>
          <cell r="R235">
            <v>251.85</v>
          </cell>
          <cell r="S235" t="e">
            <v>#N/A</v>
          </cell>
          <cell r="V235">
            <v>0</v>
          </cell>
        </row>
        <row r="236">
          <cell r="A236">
            <v>46428</v>
          </cell>
          <cell r="B236" t="e">
            <v>#N/A</v>
          </cell>
          <cell r="C236"/>
          <cell r="D236" t="e">
            <v>#N/A</v>
          </cell>
          <cell r="F236">
            <v>0</v>
          </cell>
          <cell r="G236">
            <v>0</v>
          </cell>
          <cell r="H236">
            <v>379.8</v>
          </cell>
          <cell r="J236" t="e">
            <v>#N/A</v>
          </cell>
          <cell r="L236" t="e">
            <v>#N/A</v>
          </cell>
          <cell r="M236">
            <v>53</v>
          </cell>
          <cell r="N236" t="e">
            <v>#N/A</v>
          </cell>
          <cell r="O236" t="e">
            <v>#N/A</v>
          </cell>
          <cell r="P236" t="e">
            <v>#N/A</v>
          </cell>
          <cell r="Q236" t="e">
            <v>#N/A</v>
          </cell>
          <cell r="R236">
            <v>251.85</v>
          </cell>
          <cell r="S236" t="e">
            <v>#N/A</v>
          </cell>
          <cell r="V236">
            <v>0</v>
          </cell>
        </row>
        <row r="237">
          <cell r="A237">
            <v>46429</v>
          </cell>
          <cell r="B237" t="e">
            <v>#N/A</v>
          </cell>
          <cell r="C237"/>
          <cell r="D237" t="e">
            <v>#N/A</v>
          </cell>
          <cell r="F237">
            <v>0</v>
          </cell>
          <cell r="G237">
            <v>0</v>
          </cell>
          <cell r="H237">
            <v>379.8</v>
          </cell>
          <cell r="J237" t="e">
            <v>#N/A</v>
          </cell>
          <cell r="L237" t="e">
            <v>#N/A</v>
          </cell>
          <cell r="M237">
            <v>53</v>
          </cell>
          <cell r="N237" t="e">
            <v>#N/A</v>
          </cell>
          <cell r="O237" t="e">
            <v>#N/A</v>
          </cell>
          <cell r="P237" t="e">
            <v>#N/A</v>
          </cell>
          <cell r="Q237" t="e">
            <v>#N/A</v>
          </cell>
          <cell r="R237">
            <v>251.85</v>
          </cell>
          <cell r="S237" t="e">
            <v>#N/A</v>
          </cell>
          <cell r="V237">
            <v>0</v>
          </cell>
        </row>
        <row r="238">
          <cell r="A238">
            <v>46430</v>
          </cell>
          <cell r="B238" t="e">
            <v>#N/A</v>
          </cell>
          <cell r="C238"/>
          <cell r="D238" t="e">
            <v>#N/A</v>
          </cell>
          <cell r="F238">
            <v>0</v>
          </cell>
          <cell r="G238">
            <v>0</v>
          </cell>
          <cell r="H238">
            <v>379.8</v>
          </cell>
          <cell r="J238" t="e">
            <v>#N/A</v>
          </cell>
          <cell r="L238" t="e">
            <v>#N/A</v>
          </cell>
          <cell r="M238">
            <v>53</v>
          </cell>
          <cell r="N238" t="e">
            <v>#N/A</v>
          </cell>
          <cell r="O238" t="e">
            <v>#N/A</v>
          </cell>
          <cell r="P238" t="e">
            <v>#N/A</v>
          </cell>
          <cell r="Q238" t="e">
            <v>#N/A</v>
          </cell>
          <cell r="R238">
            <v>251.85</v>
          </cell>
          <cell r="S238" t="e">
            <v>#N/A</v>
          </cell>
          <cell r="V238">
            <v>0</v>
          </cell>
        </row>
        <row r="239">
          <cell r="A239">
            <v>46431</v>
          </cell>
          <cell r="B239" t="e">
            <v>#N/A</v>
          </cell>
          <cell r="C239"/>
          <cell r="D239" t="e">
            <v>#N/A</v>
          </cell>
          <cell r="F239">
            <v>0</v>
          </cell>
          <cell r="G239">
            <v>0</v>
          </cell>
          <cell r="H239">
            <v>379.8</v>
          </cell>
          <cell r="J239" t="e">
            <v>#N/A</v>
          </cell>
          <cell r="L239" t="e">
            <v>#N/A</v>
          </cell>
          <cell r="M239">
            <v>53</v>
          </cell>
          <cell r="N239" t="e">
            <v>#N/A</v>
          </cell>
          <cell r="O239" t="e">
            <v>#N/A</v>
          </cell>
          <cell r="P239" t="e">
            <v>#N/A</v>
          </cell>
          <cell r="Q239" t="e">
            <v>#N/A</v>
          </cell>
          <cell r="R239">
            <v>251.85</v>
          </cell>
          <cell r="S239" t="e">
            <v>#N/A</v>
          </cell>
          <cell r="V239">
            <v>0</v>
          </cell>
        </row>
        <row r="240">
          <cell r="A240">
            <v>46432</v>
          </cell>
          <cell r="B240" t="e">
            <v>#N/A</v>
          </cell>
          <cell r="C240"/>
          <cell r="D240" t="e">
            <v>#N/A</v>
          </cell>
          <cell r="F240">
            <v>0</v>
          </cell>
          <cell r="G240">
            <v>0</v>
          </cell>
          <cell r="H240">
            <v>379.8</v>
          </cell>
          <cell r="J240" t="e">
            <v>#N/A</v>
          </cell>
          <cell r="L240" t="e">
            <v>#N/A</v>
          </cell>
          <cell r="M240">
            <v>53</v>
          </cell>
          <cell r="N240" t="e">
            <v>#N/A</v>
          </cell>
          <cell r="O240" t="e">
            <v>#N/A</v>
          </cell>
          <cell r="P240" t="e">
            <v>#N/A</v>
          </cell>
          <cell r="Q240" t="e">
            <v>#N/A</v>
          </cell>
          <cell r="R240">
            <v>251.85</v>
          </cell>
          <cell r="S240" t="e">
            <v>#N/A</v>
          </cell>
          <cell r="V240">
            <v>0</v>
          </cell>
        </row>
        <row r="241">
          <cell r="A241">
            <v>46433</v>
          </cell>
          <cell r="B241" t="e">
            <v>#N/A</v>
          </cell>
          <cell r="C241"/>
          <cell r="D241" t="e">
            <v>#N/A</v>
          </cell>
          <cell r="F241">
            <v>0</v>
          </cell>
          <cell r="G241">
            <v>0</v>
          </cell>
          <cell r="H241">
            <v>379.8</v>
          </cell>
          <cell r="J241" t="e">
            <v>#N/A</v>
          </cell>
          <cell r="L241" t="e">
            <v>#N/A</v>
          </cell>
          <cell r="M241">
            <v>53</v>
          </cell>
          <cell r="N241" t="e">
            <v>#N/A</v>
          </cell>
          <cell r="O241" t="e">
            <v>#N/A</v>
          </cell>
          <cell r="P241" t="e">
            <v>#N/A</v>
          </cell>
          <cell r="Q241" t="e">
            <v>#N/A</v>
          </cell>
          <cell r="R241">
            <v>251.85</v>
          </cell>
          <cell r="S241" t="e">
            <v>#N/A</v>
          </cell>
          <cell r="V241">
            <v>0</v>
          </cell>
        </row>
        <row r="242">
          <cell r="A242">
            <v>46434</v>
          </cell>
          <cell r="B242" t="e">
            <v>#N/A</v>
          </cell>
          <cell r="C242"/>
          <cell r="D242" t="e">
            <v>#N/A</v>
          </cell>
          <cell r="F242">
            <v>0</v>
          </cell>
          <cell r="G242">
            <v>0</v>
          </cell>
          <cell r="H242">
            <v>379.8</v>
          </cell>
          <cell r="J242" t="e">
            <v>#N/A</v>
          </cell>
          <cell r="L242" t="e">
            <v>#N/A</v>
          </cell>
          <cell r="M242">
            <v>53</v>
          </cell>
          <cell r="N242" t="e">
            <v>#N/A</v>
          </cell>
          <cell r="O242" t="e">
            <v>#N/A</v>
          </cell>
          <cell r="P242" t="e">
            <v>#N/A</v>
          </cell>
          <cell r="Q242" t="e">
            <v>#N/A</v>
          </cell>
          <cell r="R242">
            <v>251.85</v>
          </cell>
          <cell r="S242" t="e">
            <v>#N/A</v>
          </cell>
          <cell r="V242">
            <v>0</v>
          </cell>
        </row>
        <row r="243">
          <cell r="A243">
            <v>46435</v>
          </cell>
          <cell r="B243" t="e">
            <v>#N/A</v>
          </cell>
          <cell r="C243"/>
          <cell r="D243" t="e">
            <v>#N/A</v>
          </cell>
          <cell r="F243">
            <v>0</v>
          </cell>
          <cell r="G243">
            <v>0</v>
          </cell>
          <cell r="H243">
            <v>379.8</v>
          </cell>
          <cell r="J243" t="e">
            <v>#N/A</v>
          </cell>
          <cell r="L243" t="e">
            <v>#N/A</v>
          </cell>
          <cell r="M243">
            <v>53</v>
          </cell>
          <cell r="N243" t="e">
            <v>#N/A</v>
          </cell>
          <cell r="O243" t="e">
            <v>#N/A</v>
          </cell>
          <cell r="P243" t="e">
            <v>#N/A</v>
          </cell>
          <cell r="Q243" t="e">
            <v>#N/A</v>
          </cell>
          <cell r="R243">
            <v>251.85</v>
          </cell>
          <cell r="S243" t="e">
            <v>#N/A</v>
          </cell>
          <cell r="V243">
            <v>0</v>
          </cell>
        </row>
        <row r="244">
          <cell r="A244">
            <v>46436</v>
          </cell>
          <cell r="B244" t="e">
            <v>#N/A</v>
          </cell>
          <cell r="C244"/>
          <cell r="D244" t="e">
            <v>#N/A</v>
          </cell>
          <cell r="F244">
            <v>0</v>
          </cell>
          <cell r="G244">
            <v>0</v>
          </cell>
          <cell r="H244">
            <v>379.8</v>
          </cell>
          <cell r="J244" t="e">
            <v>#N/A</v>
          </cell>
          <cell r="L244" t="e">
            <v>#N/A</v>
          </cell>
          <cell r="M244">
            <v>53</v>
          </cell>
          <cell r="N244" t="e">
            <v>#N/A</v>
          </cell>
          <cell r="O244" t="e">
            <v>#N/A</v>
          </cell>
          <cell r="P244" t="e">
            <v>#N/A</v>
          </cell>
          <cell r="Q244" t="e">
            <v>#N/A</v>
          </cell>
          <cell r="R244">
            <v>251.85</v>
          </cell>
          <cell r="S244" t="e">
            <v>#N/A</v>
          </cell>
          <cell r="V244">
            <v>0</v>
          </cell>
        </row>
        <row r="245">
          <cell r="A245">
            <v>46437</v>
          </cell>
          <cell r="B245" t="e">
            <v>#N/A</v>
          </cell>
          <cell r="C245"/>
          <cell r="D245" t="e">
            <v>#N/A</v>
          </cell>
          <cell r="F245">
            <v>0</v>
          </cell>
          <cell r="G245">
            <v>0</v>
          </cell>
          <cell r="H245">
            <v>379.8</v>
          </cell>
          <cell r="J245" t="e">
            <v>#N/A</v>
          </cell>
          <cell r="L245" t="e">
            <v>#N/A</v>
          </cell>
          <cell r="M245">
            <v>53</v>
          </cell>
          <cell r="N245" t="e">
            <v>#N/A</v>
          </cell>
          <cell r="O245" t="e">
            <v>#N/A</v>
          </cell>
          <cell r="P245" t="e">
            <v>#N/A</v>
          </cell>
          <cell r="Q245" t="e">
            <v>#N/A</v>
          </cell>
          <cell r="R245">
            <v>251.85</v>
          </cell>
          <cell r="S245" t="e">
            <v>#N/A</v>
          </cell>
          <cell r="V245">
            <v>0</v>
          </cell>
        </row>
        <row r="246">
          <cell r="A246">
            <v>46438</v>
          </cell>
          <cell r="B246" t="e">
            <v>#N/A</v>
          </cell>
          <cell r="C246"/>
          <cell r="D246" t="e">
            <v>#N/A</v>
          </cell>
          <cell r="F246">
            <v>0</v>
          </cell>
          <cell r="G246">
            <v>0</v>
          </cell>
          <cell r="H246">
            <v>379.8</v>
          </cell>
          <cell r="J246" t="e">
            <v>#N/A</v>
          </cell>
          <cell r="L246" t="e">
            <v>#N/A</v>
          </cell>
          <cell r="M246">
            <v>53</v>
          </cell>
          <cell r="N246" t="e">
            <v>#N/A</v>
          </cell>
          <cell r="O246" t="e">
            <v>#N/A</v>
          </cell>
          <cell r="P246" t="e">
            <v>#N/A</v>
          </cell>
          <cell r="Q246" t="e">
            <v>#N/A</v>
          </cell>
          <cell r="R246">
            <v>251.85</v>
          </cell>
          <cell r="S246" t="e">
            <v>#N/A</v>
          </cell>
          <cell r="V246">
            <v>0</v>
          </cell>
        </row>
        <row r="247">
          <cell r="A247">
            <v>46439</v>
          </cell>
          <cell r="B247" t="e">
            <v>#N/A</v>
          </cell>
          <cell r="C247"/>
          <cell r="D247" t="e">
            <v>#N/A</v>
          </cell>
          <cell r="F247">
            <v>0</v>
          </cell>
          <cell r="G247">
            <v>0</v>
          </cell>
          <cell r="H247">
            <v>379.8</v>
          </cell>
          <cell r="J247" t="e">
            <v>#N/A</v>
          </cell>
          <cell r="L247" t="e">
            <v>#N/A</v>
          </cell>
          <cell r="M247">
            <v>53</v>
          </cell>
          <cell r="N247" t="e">
            <v>#N/A</v>
          </cell>
          <cell r="O247" t="e">
            <v>#N/A</v>
          </cell>
          <cell r="P247" t="e">
            <v>#N/A</v>
          </cell>
          <cell r="Q247" t="e">
            <v>#N/A</v>
          </cell>
          <cell r="R247">
            <v>251.85</v>
          </cell>
          <cell r="S247" t="e">
            <v>#N/A</v>
          </cell>
          <cell r="V247">
            <v>0</v>
          </cell>
        </row>
        <row r="248">
          <cell r="A248">
            <v>46440</v>
          </cell>
          <cell r="B248" t="e">
            <v>#N/A</v>
          </cell>
          <cell r="C248"/>
          <cell r="D248" t="e">
            <v>#N/A</v>
          </cell>
          <cell r="F248">
            <v>0</v>
          </cell>
          <cell r="G248">
            <v>0</v>
          </cell>
          <cell r="H248">
            <v>379.8</v>
          </cell>
          <cell r="J248" t="e">
            <v>#N/A</v>
          </cell>
          <cell r="L248" t="e">
            <v>#N/A</v>
          </cell>
          <cell r="M248">
            <v>53</v>
          </cell>
          <cell r="N248" t="e">
            <v>#N/A</v>
          </cell>
          <cell r="O248" t="e">
            <v>#N/A</v>
          </cell>
          <cell r="P248" t="e">
            <v>#N/A</v>
          </cell>
          <cell r="Q248" t="e">
            <v>#N/A</v>
          </cell>
          <cell r="R248">
            <v>251.85</v>
          </cell>
          <cell r="S248" t="e">
            <v>#N/A</v>
          </cell>
          <cell r="V248">
            <v>0</v>
          </cell>
        </row>
        <row r="249">
          <cell r="A249">
            <v>46441</v>
          </cell>
          <cell r="B249" t="e">
            <v>#N/A</v>
          </cell>
          <cell r="C249"/>
          <cell r="D249" t="e">
            <v>#N/A</v>
          </cell>
          <cell r="F249">
            <v>0</v>
          </cell>
          <cell r="G249">
            <v>0</v>
          </cell>
          <cell r="H249">
            <v>379.8</v>
          </cell>
          <cell r="J249" t="e">
            <v>#N/A</v>
          </cell>
          <cell r="L249" t="e">
            <v>#N/A</v>
          </cell>
          <cell r="M249">
            <v>53</v>
          </cell>
          <cell r="N249" t="e">
            <v>#N/A</v>
          </cell>
          <cell r="O249" t="e">
            <v>#N/A</v>
          </cell>
          <cell r="P249" t="e">
            <v>#N/A</v>
          </cell>
          <cell r="Q249" t="e">
            <v>#N/A</v>
          </cell>
          <cell r="R249">
            <v>251.85</v>
          </cell>
          <cell r="S249" t="e">
            <v>#N/A</v>
          </cell>
          <cell r="V249">
            <v>0</v>
          </cell>
        </row>
        <row r="250">
          <cell r="A250">
            <v>46442</v>
          </cell>
          <cell r="B250" t="e">
            <v>#N/A</v>
          </cell>
          <cell r="C250"/>
          <cell r="D250" t="e">
            <v>#N/A</v>
          </cell>
          <cell r="F250">
            <v>0</v>
          </cell>
          <cell r="G250">
            <v>0</v>
          </cell>
          <cell r="H250">
            <v>379.8</v>
          </cell>
          <cell r="J250" t="e">
            <v>#N/A</v>
          </cell>
          <cell r="L250" t="e">
            <v>#N/A</v>
          </cell>
          <cell r="M250">
            <v>53</v>
          </cell>
          <cell r="N250" t="e">
            <v>#N/A</v>
          </cell>
          <cell r="O250" t="e">
            <v>#N/A</v>
          </cell>
          <cell r="P250" t="e">
            <v>#N/A</v>
          </cell>
          <cell r="Q250" t="e">
            <v>#N/A</v>
          </cell>
          <cell r="R250">
            <v>251.85</v>
          </cell>
          <cell r="S250" t="e">
            <v>#N/A</v>
          </cell>
          <cell r="V250">
            <v>0</v>
          </cell>
        </row>
        <row r="251">
          <cell r="A251">
            <v>46443</v>
          </cell>
          <cell r="B251" t="e">
            <v>#N/A</v>
          </cell>
          <cell r="C251"/>
          <cell r="D251" t="e">
            <v>#N/A</v>
          </cell>
          <cell r="F251">
            <v>0</v>
          </cell>
          <cell r="G251">
            <v>0</v>
          </cell>
          <cell r="H251">
            <v>379.8</v>
          </cell>
          <cell r="J251" t="e">
            <v>#N/A</v>
          </cell>
          <cell r="L251" t="e">
            <v>#N/A</v>
          </cell>
          <cell r="M251">
            <v>53</v>
          </cell>
          <cell r="N251" t="e">
            <v>#N/A</v>
          </cell>
          <cell r="O251" t="e">
            <v>#N/A</v>
          </cell>
          <cell r="P251" t="e">
            <v>#N/A</v>
          </cell>
          <cell r="Q251" t="e">
            <v>#N/A</v>
          </cell>
          <cell r="R251">
            <v>251.85</v>
          </cell>
          <cell r="S251" t="e">
            <v>#N/A</v>
          </cell>
          <cell r="V251">
            <v>0</v>
          </cell>
        </row>
        <row r="252">
          <cell r="A252">
            <v>46444</v>
          </cell>
          <cell r="B252" t="e">
            <v>#N/A</v>
          </cell>
          <cell r="C252"/>
          <cell r="D252" t="e">
            <v>#N/A</v>
          </cell>
          <cell r="F252">
            <v>0</v>
          </cell>
          <cell r="G252">
            <v>0</v>
          </cell>
          <cell r="H252">
            <v>379.8</v>
          </cell>
          <cell r="J252" t="e">
            <v>#N/A</v>
          </cell>
          <cell r="L252" t="e">
            <v>#N/A</v>
          </cell>
          <cell r="M252">
            <v>53</v>
          </cell>
          <cell r="N252" t="e">
            <v>#N/A</v>
          </cell>
          <cell r="O252" t="e">
            <v>#N/A</v>
          </cell>
          <cell r="P252" t="e">
            <v>#N/A</v>
          </cell>
          <cell r="Q252" t="e">
            <v>#N/A</v>
          </cell>
          <cell r="R252">
            <v>251.85</v>
          </cell>
          <cell r="S252" t="e">
            <v>#N/A</v>
          </cell>
          <cell r="V252">
            <v>0</v>
          </cell>
        </row>
        <row r="253">
          <cell r="A253">
            <v>46445</v>
          </cell>
          <cell r="B253" t="e">
            <v>#N/A</v>
          </cell>
          <cell r="C253"/>
          <cell r="D253" t="e">
            <v>#N/A</v>
          </cell>
          <cell r="F253">
            <v>0</v>
          </cell>
          <cell r="G253">
            <v>0</v>
          </cell>
          <cell r="H253">
            <v>379.8</v>
          </cell>
          <cell r="J253" t="e">
            <v>#N/A</v>
          </cell>
          <cell r="L253" t="e">
            <v>#N/A</v>
          </cell>
          <cell r="M253">
            <v>53</v>
          </cell>
          <cell r="N253" t="e">
            <v>#N/A</v>
          </cell>
          <cell r="O253" t="e">
            <v>#N/A</v>
          </cell>
          <cell r="P253" t="e">
            <v>#N/A</v>
          </cell>
          <cell r="Q253" t="e">
            <v>#N/A</v>
          </cell>
          <cell r="R253">
            <v>251.85</v>
          </cell>
          <cell r="S253" t="e">
            <v>#N/A</v>
          </cell>
          <cell r="V253">
            <v>0</v>
          </cell>
        </row>
        <row r="254">
          <cell r="A254">
            <v>46446</v>
          </cell>
          <cell r="B254" t="e">
            <v>#N/A</v>
          </cell>
          <cell r="C254"/>
          <cell r="D254" t="e">
            <v>#N/A</v>
          </cell>
          <cell r="F254">
            <v>0</v>
          </cell>
          <cell r="G254">
            <v>0</v>
          </cell>
          <cell r="H254">
            <v>379.8</v>
          </cell>
          <cell r="J254" t="e">
            <v>#N/A</v>
          </cell>
          <cell r="L254" t="e">
            <v>#N/A</v>
          </cell>
          <cell r="M254">
            <v>53</v>
          </cell>
          <cell r="N254" t="e">
            <v>#N/A</v>
          </cell>
          <cell r="O254" t="e">
            <v>#N/A</v>
          </cell>
          <cell r="P254" t="e">
            <v>#N/A</v>
          </cell>
          <cell r="Q254" t="e">
            <v>#N/A</v>
          </cell>
          <cell r="R254">
            <v>251.85</v>
          </cell>
          <cell r="S254" t="e">
            <v>#N/A</v>
          </cell>
          <cell r="V254">
            <v>0</v>
          </cell>
        </row>
        <row r="255">
          <cell r="A255">
            <v>46447</v>
          </cell>
          <cell r="B255" t="e">
            <v>#N/A</v>
          </cell>
          <cell r="C255"/>
          <cell r="D255" t="e">
            <v>#N/A</v>
          </cell>
          <cell r="F255">
            <v>0</v>
          </cell>
          <cell r="G255">
            <v>0</v>
          </cell>
          <cell r="H255">
            <v>379.8</v>
          </cell>
          <cell r="J255" t="e">
            <v>#N/A</v>
          </cell>
          <cell r="L255" t="e">
            <v>#N/A</v>
          </cell>
          <cell r="M255">
            <v>53</v>
          </cell>
          <cell r="N255" t="e">
            <v>#N/A</v>
          </cell>
          <cell r="O255" t="e">
            <v>#N/A</v>
          </cell>
          <cell r="P255" t="e">
            <v>#N/A</v>
          </cell>
          <cell r="Q255" t="e">
            <v>#N/A</v>
          </cell>
          <cell r="R255">
            <v>251.85</v>
          </cell>
          <cell r="S255" t="e">
            <v>#N/A</v>
          </cell>
          <cell r="V255">
            <v>0</v>
          </cell>
        </row>
        <row r="256">
          <cell r="A256">
            <v>46448</v>
          </cell>
          <cell r="B256" t="e">
            <v>#N/A</v>
          </cell>
          <cell r="C256"/>
          <cell r="D256" t="e">
            <v>#N/A</v>
          </cell>
          <cell r="F256">
            <v>0</v>
          </cell>
          <cell r="G256">
            <v>0</v>
          </cell>
          <cell r="H256">
            <v>379.8</v>
          </cell>
          <cell r="J256" t="e">
            <v>#N/A</v>
          </cell>
          <cell r="L256" t="e">
            <v>#N/A</v>
          </cell>
          <cell r="M256">
            <v>53</v>
          </cell>
          <cell r="N256" t="e">
            <v>#N/A</v>
          </cell>
          <cell r="O256" t="e">
            <v>#N/A</v>
          </cell>
          <cell r="P256" t="e">
            <v>#N/A</v>
          </cell>
          <cell r="Q256" t="e">
            <v>#N/A</v>
          </cell>
          <cell r="R256">
            <v>251.85</v>
          </cell>
          <cell r="S256" t="e">
            <v>#N/A</v>
          </cell>
          <cell r="V256">
            <v>0</v>
          </cell>
        </row>
        <row r="257">
          <cell r="A257">
            <v>46449</v>
          </cell>
          <cell r="B257" t="e">
            <v>#N/A</v>
          </cell>
          <cell r="C257"/>
          <cell r="D257" t="e">
            <v>#N/A</v>
          </cell>
          <cell r="F257">
            <v>0</v>
          </cell>
          <cell r="G257">
            <v>0</v>
          </cell>
          <cell r="H257">
            <v>379.8</v>
          </cell>
          <cell r="J257" t="e">
            <v>#N/A</v>
          </cell>
          <cell r="L257" t="e">
            <v>#N/A</v>
          </cell>
          <cell r="M257">
            <v>53</v>
          </cell>
          <cell r="N257" t="e">
            <v>#N/A</v>
          </cell>
          <cell r="O257" t="e">
            <v>#N/A</v>
          </cell>
          <cell r="P257" t="e">
            <v>#N/A</v>
          </cell>
          <cell r="Q257" t="e">
            <v>#N/A</v>
          </cell>
          <cell r="R257">
            <v>251.85</v>
          </cell>
          <cell r="S257" t="e">
            <v>#N/A</v>
          </cell>
          <cell r="V257">
            <v>0</v>
          </cell>
        </row>
        <row r="258">
          <cell r="A258">
            <v>46450</v>
          </cell>
          <cell r="B258" t="e">
            <v>#N/A</v>
          </cell>
          <cell r="C258"/>
          <cell r="D258" t="e">
            <v>#N/A</v>
          </cell>
          <cell r="F258">
            <v>0</v>
          </cell>
          <cell r="G258">
            <v>0</v>
          </cell>
          <cell r="H258">
            <v>379.8</v>
          </cell>
          <cell r="J258" t="e">
            <v>#N/A</v>
          </cell>
          <cell r="L258" t="e">
            <v>#N/A</v>
          </cell>
          <cell r="M258">
            <v>53</v>
          </cell>
          <cell r="N258" t="e">
            <v>#N/A</v>
          </cell>
          <cell r="O258" t="e">
            <v>#N/A</v>
          </cell>
          <cell r="P258" t="e">
            <v>#N/A</v>
          </cell>
          <cell r="Q258" t="e">
            <v>#N/A</v>
          </cell>
          <cell r="R258">
            <v>251.85</v>
          </cell>
          <cell r="S258" t="e">
            <v>#N/A</v>
          </cell>
          <cell r="V258">
            <v>0</v>
          </cell>
        </row>
        <row r="259">
          <cell r="A259">
            <v>46451</v>
          </cell>
          <cell r="B259" t="e">
            <v>#N/A</v>
          </cell>
          <cell r="C259"/>
          <cell r="D259" t="e">
            <v>#N/A</v>
          </cell>
          <cell r="F259">
            <v>0</v>
          </cell>
          <cell r="G259">
            <v>0</v>
          </cell>
          <cell r="H259">
            <v>379.8</v>
          </cell>
          <cell r="J259" t="e">
            <v>#N/A</v>
          </cell>
          <cell r="L259" t="e">
            <v>#N/A</v>
          </cell>
          <cell r="M259">
            <v>53</v>
          </cell>
          <cell r="N259" t="e">
            <v>#N/A</v>
          </cell>
          <cell r="O259" t="e">
            <v>#N/A</v>
          </cell>
          <cell r="P259" t="e">
            <v>#N/A</v>
          </cell>
          <cell r="Q259" t="e">
            <v>#N/A</v>
          </cell>
          <cell r="R259">
            <v>251.85</v>
          </cell>
          <cell r="S259" t="e">
            <v>#N/A</v>
          </cell>
          <cell r="V259">
            <v>0</v>
          </cell>
        </row>
        <row r="260">
          <cell r="A260">
            <v>46452</v>
          </cell>
          <cell r="B260" t="e">
            <v>#N/A</v>
          </cell>
          <cell r="C260"/>
          <cell r="D260" t="e">
            <v>#N/A</v>
          </cell>
          <cell r="F260">
            <v>0</v>
          </cell>
          <cell r="G260">
            <v>0</v>
          </cell>
          <cell r="H260">
            <v>379.8</v>
          </cell>
          <cell r="J260" t="e">
            <v>#N/A</v>
          </cell>
          <cell r="L260" t="e">
            <v>#N/A</v>
          </cell>
          <cell r="M260">
            <v>53</v>
          </cell>
          <cell r="N260" t="e">
            <v>#N/A</v>
          </cell>
          <cell r="O260" t="e">
            <v>#N/A</v>
          </cell>
          <cell r="P260" t="e">
            <v>#N/A</v>
          </cell>
          <cell r="Q260" t="e">
            <v>#N/A</v>
          </cell>
          <cell r="R260">
            <v>251.85</v>
          </cell>
          <cell r="S260" t="e">
            <v>#N/A</v>
          </cell>
          <cell r="V260">
            <v>0</v>
          </cell>
        </row>
        <row r="261">
          <cell r="A261">
            <v>46453</v>
          </cell>
          <cell r="B261" t="e">
            <v>#N/A</v>
          </cell>
          <cell r="C261"/>
          <cell r="D261" t="e">
            <v>#N/A</v>
          </cell>
          <cell r="F261">
            <v>0</v>
          </cell>
          <cell r="G261">
            <v>0</v>
          </cell>
          <cell r="H261">
            <v>379.8</v>
          </cell>
          <cell r="J261" t="e">
            <v>#N/A</v>
          </cell>
          <cell r="L261" t="e">
            <v>#N/A</v>
          </cell>
          <cell r="M261">
            <v>53</v>
          </cell>
          <cell r="N261" t="e">
            <v>#N/A</v>
          </cell>
          <cell r="O261" t="e">
            <v>#N/A</v>
          </cell>
          <cell r="P261" t="e">
            <v>#N/A</v>
          </cell>
          <cell r="Q261" t="e">
            <v>#N/A</v>
          </cell>
          <cell r="R261">
            <v>251.85</v>
          </cell>
          <cell r="S261" t="e">
            <v>#N/A</v>
          </cell>
          <cell r="V261">
            <v>0</v>
          </cell>
        </row>
        <row r="262">
          <cell r="A262">
            <v>46454</v>
          </cell>
          <cell r="B262" t="e">
            <v>#N/A</v>
          </cell>
          <cell r="C262"/>
          <cell r="D262" t="e">
            <v>#N/A</v>
          </cell>
          <cell r="F262">
            <v>0</v>
          </cell>
          <cell r="G262">
            <v>0</v>
          </cell>
          <cell r="H262">
            <v>379.8</v>
          </cell>
          <cell r="J262" t="e">
            <v>#N/A</v>
          </cell>
          <cell r="L262" t="e">
            <v>#N/A</v>
          </cell>
          <cell r="M262">
            <v>53</v>
          </cell>
          <cell r="N262" t="e">
            <v>#N/A</v>
          </cell>
          <cell r="O262" t="e">
            <v>#N/A</v>
          </cell>
          <cell r="P262" t="e">
            <v>#N/A</v>
          </cell>
          <cell r="Q262" t="e">
            <v>#N/A</v>
          </cell>
          <cell r="R262">
            <v>251.85</v>
          </cell>
          <cell r="S262" t="e">
            <v>#N/A</v>
          </cell>
          <cell r="V262">
            <v>0</v>
          </cell>
        </row>
        <row r="263">
          <cell r="A263">
            <v>46455</v>
          </cell>
          <cell r="B263" t="e">
            <v>#N/A</v>
          </cell>
          <cell r="C263"/>
          <cell r="D263" t="e">
            <v>#N/A</v>
          </cell>
          <cell r="F263">
            <v>0</v>
          </cell>
          <cell r="G263">
            <v>0</v>
          </cell>
          <cell r="H263">
            <v>379.8</v>
          </cell>
          <cell r="J263" t="e">
            <v>#N/A</v>
          </cell>
          <cell r="L263" t="e">
            <v>#N/A</v>
          </cell>
          <cell r="M263">
            <v>53</v>
          </cell>
          <cell r="N263" t="e">
            <v>#N/A</v>
          </cell>
          <cell r="O263" t="e">
            <v>#N/A</v>
          </cell>
          <cell r="P263" t="e">
            <v>#N/A</v>
          </cell>
          <cell r="Q263" t="e">
            <v>#N/A</v>
          </cell>
          <cell r="R263">
            <v>251.85</v>
          </cell>
          <cell r="S263" t="e">
            <v>#N/A</v>
          </cell>
          <cell r="V263">
            <v>0</v>
          </cell>
        </row>
        <row r="264">
          <cell r="A264">
            <v>46456</v>
          </cell>
          <cell r="B264" t="e">
            <v>#N/A</v>
          </cell>
          <cell r="C264"/>
          <cell r="D264" t="e">
            <v>#N/A</v>
          </cell>
          <cell r="F264">
            <v>0</v>
          </cell>
          <cell r="G264">
            <v>0</v>
          </cell>
          <cell r="H264">
            <v>379.8</v>
          </cell>
          <cell r="J264" t="e">
            <v>#N/A</v>
          </cell>
          <cell r="L264" t="e">
            <v>#N/A</v>
          </cell>
          <cell r="M264">
            <v>53</v>
          </cell>
          <cell r="N264" t="e">
            <v>#N/A</v>
          </cell>
          <cell r="O264" t="e">
            <v>#N/A</v>
          </cell>
          <cell r="P264" t="e">
            <v>#N/A</v>
          </cell>
          <cell r="Q264" t="e">
            <v>#N/A</v>
          </cell>
          <cell r="R264">
            <v>251.85</v>
          </cell>
          <cell r="S264" t="e">
            <v>#N/A</v>
          </cell>
          <cell r="V264">
            <v>0</v>
          </cell>
        </row>
        <row r="265">
          <cell r="A265">
            <v>46457</v>
          </cell>
          <cell r="B265" t="e">
            <v>#N/A</v>
          </cell>
          <cell r="C265"/>
          <cell r="D265" t="e">
            <v>#N/A</v>
          </cell>
          <cell r="F265">
            <v>0</v>
          </cell>
          <cell r="G265">
            <v>0</v>
          </cell>
          <cell r="H265">
            <v>379.8</v>
          </cell>
          <cell r="J265" t="e">
            <v>#N/A</v>
          </cell>
          <cell r="L265" t="e">
            <v>#N/A</v>
          </cell>
          <cell r="M265">
            <v>53</v>
          </cell>
          <cell r="N265" t="e">
            <v>#N/A</v>
          </cell>
          <cell r="O265" t="e">
            <v>#N/A</v>
          </cell>
          <cell r="P265" t="e">
            <v>#N/A</v>
          </cell>
          <cell r="Q265" t="e">
            <v>#N/A</v>
          </cell>
          <cell r="R265">
            <v>251.85</v>
          </cell>
          <cell r="S265" t="e">
            <v>#N/A</v>
          </cell>
          <cell r="V265">
            <v>0</v>
          </cell>
        </row>
        <row r="266">
          <cell r="A266">
            <v>46458</v>
          </cell>
          <cell r="B266" t="e">
            <v>#N/A</v>
          </cell>
          <cell r="C266"/>
          <cell r="D266" t="e">
            <v>#N/A</v>
          </cell>
          <cell r="F266">
            <v>0</v>
          </cell>
          <cell r="G266">
            <v>0</v>
          </cell>
          <cell r="H266">
            <v>379.8</v>
          </cell>
          <cell r="J266" t="e">
            <v>#N/A</v>
          </cell>
          <cell r="L266" t="e">
            <v>#N/A</v>
          </cell>
          <cell r="M266">
            <v>53</v>
          </cell>
          <cell r="N266" t="e">
            <v>#N/A</v>
          </cell>
          <cell r="O266" t="e">
            <v>#N/A</v>
          </cell>
          <cell r="P266" t="e">
            <v>#N/A</v>
          </cell>
          <cell r="Q266" t="e">
            <v>#N/A</v>
          </cell>
          <cell r="R266">
            <v>251.85</v>
          </cell>
          <cell r="S266" t="e">
            <v>#N/A</v>
          </cell>
          <cell r="V266">
            <v>0</v>
          </cell>
        </row>
        <row r="267">
          <cell r="A267">
            <v>46459</v>
          </cell>
          <cell r="B267" t="e">
            <v>#N/A</v>
          </cell>
          <cell r="C267"/>
          <cell r="D267" t="e">
            <v>#N/A</v>
          </cell>
          <cell r="F267">
            <v>0</v>
          </cell>
          <cell r="G267">
            <v>0</v>
          </cell>
          <cell r="H267">
            <v>379.8</v>
          </cell>
          <cell r="J267" t="e">
            <v>#N/A</v>
          </cell>
          <cell r="L267" t="e">
            <v>#N/A</v>
          </cell>
          <cell r="M267">
            <v>53</v>
          </cell>
          <cell r="N267" t="e">
            <v>#N/A</v>
          </cell>
          <cell r="O267" t="e">
            <v>#N/A</v>
          </cell>
          <cell r="P267" t="e">
            <v>#N/A</v>
          </cell>
          <cell r="Q267" t="e">
            <v>#N/A</v>
          </cell>
          <cell r="R267">
            <v>251.85</v>
          </cell>
          <cell r="S267" t="e">
            <v>#N/A</v>
          </cell>
          <cell r="V267">
            <v>0</v>
          </cell>
        </row>
        <row r="268">
          <cell r="A268">
            <v>46460</v>
          </cell>
          <cell r="B268" t="e">
            <v>#N/A</v>
          </cell>
          <cell r="C268"/>
          <cell r="D268" t="e">
            <v>#N/A</v>
          </cell>
          <cell r="F268">
            <v>0</v>
          </cell>
          <cell r="G268">
            <v>0</v>
          </cell>
          <cell r="H268">
            <v>379.8</v>
          </cell>
          <cell r="J268" t="e">
            <v>#N/A</v>
          </cell>
          <cell r="L268" t="e">
            <v>#N/A</v>
          </cell>
          <cell r="M268">
            <v>53</v>
          </cell>
          <cell r="N268" t="e">
            <v>#N/A</v>
          </cell>
          <cell r="O268" t="e">
            <v>#N/A</v>
          </cell>
          <cell r="P268" t="e">
            <v>#N/A</v>
          </cell>
          <cell r="Q268" t="e">
            <v>#N/A</v>
          </cell>
          <cell r="R268">
            <v>251.85</v>
          </cell>
          <cell r="S268" t="e">
            <v>#N/A</v>
          </cell>
          <cell r="V268">
            <v>0</v>
          </cell>
        </row>
        <row r="269">
          <cell r="A269">
            <v>46461</v>
          </cell>
          <cell r="B269" t="e">
            <v>#N/A</v>
          </cell>
          <cell r="C269"/>
          <cell r="D269" t="e">
            <v>#N/A</v>
          </cell>
          <cell r="F269">
            <v>0</v>
          </cell>
          <cell r="G269">
            <v>0</v>
          </cell>
          <cell r="H269">
            <v>379.8</v>
          </cell>
          <cell r="J269" t="e">
            <v>#N/A</v>
          </cell>
          <cell r="L269" t="e">
            <v>#N/A</v>
          </cell>
          <cell r="M269">
            <v>53</v>
          </cell>
          <cell r="N269" t="e">
            <v>#N/A</v>
          </cell>
          <cell r="O269" t="e">
            <v>#N/A</v>
          </cell>
          <cell r="P269" t="e">
            <v>#N/A</v>
          </cell>
          <cell r="Q269" t="e">
            <v>#N/A</v>
          </cell>
          <cell r="R269">
            <v>251.85</v>
          </cell>
          <cell r="S269" t="e">
            <v>#N/A</v>
          </cell>
          <cell r="V269">
            <v>0</v>
          </cell>
        </row>
        <row r="270">
          <cell r="A270">
            <v>46462</v>
          </cell>
          <cell r="B270" t="e">
            <v>#N/A</v>
          </cell>
          <cell r="C270"/>
          <cell r="D270" t="e">
            <v>#N/A</v>
          </cell>
          <cell r="F270">
            <v>0</v>
          </cell>
          <cell r="G270">
            <v>0</v>
          </cell>
          <cell r="H270">
            <v>379.8</v>
          </cell>
          <cell r="J270" t="e">
            <v>#N/A</v>
          </cell>
          <cell r="L270" t="e">
            <v>#N/A</v>
          </cell>
          <cell r="M270">
            <v>53</v>
          </cell>
          <cell r="N270" t="e">
            <v>#N/A</v>
          </cell>
          <cell r="O270" t="e">
            <v>#N/A</v>
          </cell>
          <cell r="P270" t="e">
            <v>#N/A</v>
          </cell>
          <cell r="Q270" t="e">
            <v>#N/A</v>
          </cell>
          <cell r="R270">
            <v>251.85</v>
          </cell>
          <cell r="S270" t="e">
            <v>#N/A</v>
          </cell>
          <cell r="V270">
            <v>0</v>
          </cell>
        </row>
        <row r="271">
          <cell r="A271">
            <v>46463</v>
          </cell>
          <cell r="B271" t="e">
            <v>#N/A</v>
          </cell>
          <cell r="C271"/>
          <cell r="D271" t="e">
            <v>#N/A</v>
          </cell>
          <cell r="F271">
            <v>0</v>
          </cell>
          <cell r="G271">
            <v>0</v>
          </cell>
          <cell r="H271">
            <v>379.8</v>
          </cell>
          <cell r="J271" t="e">
            <v>#N/A</v>
          </cell>
          <cell r="L271" t="e">
            <v>#N/A</v>
          </cell>
          <cell r="M271">
            <v>53</v>
          </cell>
          <cell r="N271" t="e">
            <v>#N/A</v>
          </cell>
          <cell r="O271" t="e">
            <v>#N/A</v>
          </cell>
          <cell r="P271" t="e">
            <v>#N/A</v>
          </cell>
          <cell r="Q271" t="e">
            <v>#N/A</v>
          </cell>
          <cell r="R271">
            <v>251.85</v>
          </cell>
          <cell r="S271" t="e">
            <v>#N/A</v>
          </cell>
          <cell r="V271">
            <v>0</v>
          </cell>
        </row>
        <row r="272">
          <cell r="A272">
            <v>46464</v>
          </cell>
          <cell r="B272" t="e">
            <v>#N/A</v>
          </cell>
          <cell r="C272"/>
          <cell r="D272" t="e">
            <v>#N/A</v>
          </cell>
          <cell r="F272">
            <v>0</v>
          </cell>
          <cell r="G272">
            <v>0</v>
          </cell>
          <cell r="H272">
            <v>379.8</v>
          </cell>
          <cell r="J272" t="e">
            <v>#N/A</v>
          </cell>
          <cell r="L272" t="e">
            <v>#N/A</v>
          </cell>
          <cell r="M272">
            <v>53</v>
          </cell>
          <cell r="N272" t="e">
            <v>#N/A</v>
          </cell>
          <cell r="O272" t="e">
            <v>#N/A</v>
          </cell>
          <cell r="P272" t="e">
            <v>#N/A</v>
          </cell>
          <cell r="Q272" t="e">
            <v>#N/A</v>
          </cell>
          <cell r="R272">
            <v>251.85</v>
          </cell>
          <cell r="S272" t="e">
            <v>#N/A</v>
          </cell>
          <cell r="V272">
            <v>0</v>
          </cell>
        </row>
        <row r="273">
          <cell r="A273">
            <v>46465</v>
          </cell>
          <cell r="B273" t="e">
            <v>#N/A</v>
          </cell>
          <cell r="C273"/>
          <cell r="D273" t="e">
            <v>#N/A</v>
          </cell>
          <cell r="F273">
            <v>0</v>
          </cell>
          <cell r="G273">
            <v>0</v>
          </cell>
          <cell r="H273">
            <v>379.8</v>
          </cell>
          <cell r="J273" t="e">
            <v>#N/A</v>
          </cell>
          <cell r="L273" t="e">
            <v>#N/A</v>
          </cell>
          <cell r="M273">
            <v>53</v>
          </cell>
          <cell r="N273" t="e">
            <v>#N/A</v>
          </cell>
          <cell r="O273" t="e">
            <v>#N/A</v>
          </cell>
          <cell r="P273" t="e">
            <v>#N/A</v>
          </cell>
          <cell r="Q273" t="e">
            <v>#N/A</v>
          </cell>
          <cell r="R273">
            <v>251.85</v>
          </cell>
          <cell r="S273" t="e">
            <v>#N/A</v>
          </cell>
          <cell r="V273">
            <v>0</v>
          </cell>
        </row>
        <row r="274">
          <cell r="A274">
            <v>46466</v>
          </cell>
          <cell r="B274" t="e">
            <v>#N/A</v>
          </cell>
          <cell r="C274"/>
          <cell r="D274" t="e">
            <v>#N/A</v>
          </cell>
          <cell r="F274">
            <v>0</v>
          </cell>
          <cell r="G274">
            <v>0</v>
          </cell>
          <cell r="H274">
            <v>379.8</v>
          </cell>
          <cell r="J274" t="e">
            <v>#N/A</v>
          </cell>
          <cell r="L274" t="e">
            <v>#N/A</v>
          </cell>
          <cell r="M274">
            <v>53</v>
          </cell>
          <cell r="N274" t="e">
            <v>#N/A</v>
          </cell>
          <cell r="O274" t="e">
            <v>#N/A</v>
          </cell>
          <cell r="P274" t="e">
            <v>#N/A</v>
          </cell>
          <cell r="Q274" t="e">
            <v>#N/A</v>
          </cell>
          <cell r="R274">
            <v>251.85</v>
          </cell>
          <cell r="S274" t="e">
            <v>#N/A</v>
          </cell>
          <cell r="V274">
            <v>0</v>
          </cell>
        </row>
        <row r="275">
          <cell r="A275">
            <v>46467</v>
          </cell>
          <cell r="B275" t="e">
            <v>#N/A</v>
          </cell>
          <cell r="C275"/>
          <cell r="D275" t="e">
            <v>#N/A</v>
          </cell>
          <cell r="F275">
            <v>0</v>
          </cell>
          <cell r="G275">
            <v>0</v>
          </cell>
          <cell r="H275">
            <v>379.8</v>
          </cell>
          <cell r="J275" t="e">
            <v>#N/A</v>
          </cell>
          <cell r="L275" t="e">
            <v>#N/A</v>
          </cell>
          <cell r="M275">
            <v>53</v>
          </cell>
          <cell r="N275" t="e">
            <v>#N/A</v>
          </cell>
          <cell r="O275" t="e">
            <v>#N/A</v>
          </cell>
          <cell r="P275" t="e">
            <v>#N/A</v>
          </cell>
          <cell r="Q275" t="e">
            <v>#N/A</v>
          </cell>
          <cell r="R275">
            <v>251.85</v>
          </cell>
          <cell r="S275" t="e">
            <v>#N/A</v>
          </cell>
          <cell r="V275">
            <v>0</v>
          </cell>
        </row>
        <row r="276">
          <cell r="A276">
            <v>46468</v>
          </cell>
          <cell r="B276" t="e">
            <v>#N/A</v>
          </cell>
          <cell r="C276"/>
          <cell r="D276" t="e">
            <v>#N/A</v>
          </cell>
          <cell r="F276">
            <v>0</v>
          </cell>
          <cell r="G276">
            <v>0</v>
          </cell>
          <cell r="H276">
            <v>379.8</v>
          </cell>
          <cell r="J276" t="e">
            <v>#N/A</v>
          </cell>
          <cell r="L276" t="e">
            <v>#N/A</v>
          </cell>
          <cell r="M276">
            <v>53</v>
          </cell>
          <cell r="N276" t="e">
            <v>#N/A</v>
          </cell>
          <cell r="O276" t="e">
            <v>#N/A</v>
          </cell>
          <cell r="P276" t="e">
            <v>#N/A</v>
          </cell>
          <cell r="Q276" t="e">
            <v>#N/A</v>
          </cell>
          <cell r="R276">
            <v>251.85</v>
          </cell>
          <cell r="S276" t="e">
            <v>#N/A</v>
          </cell>
          <cell r="V276">
            <v>0</v>
          </cell>
        </row>
        <row r="277">
          <cell r="A277">
            <v>46469</v>
          </cell>
          <cell r="B277" t="e">
            <v>#N/A</v>
          </cell>
          <cell r="C277"/>
          <cell r="D277" t="e">
            <v>#N/A</v>
          </cell>
          <cell r="F277">
            <v>0</v>
          </cell>
          <cell r="G277">
            <v>0</v>
          </cell>
          <cell r="H277">
            <v>379.8</v>
          </cell>
          <cell r="J277" t="e">
            <v>#N/A</v>
          </cell>
          <cell r="L277" t="e">
            <v>#N/A</v>
          </cell>
          <cell r="M277">
            <v>53</v>
          </cell>
          <cell r="N277" t="e">
            <v>#N/A</v>
          </cell>
          <cell r="O277" t="e">
            <v>#N/A</v>
          </cell>
          <cell r="P277" t="e">
            <v>#N/A</v>
          </cell>
          <cell r="Q277" t="e">
            <v>#N/A</v>
          </cell>
          <cell r="R277">
            <v>251.85</v>
          </cell>
          <cell r="S277" t="e">
            <v>#N/A</v>
          </cell>
          <cell r="V277">
            <v>0</v>
          </cell>
        </row>
        <row r="278">
          <cell r="A278">
            <v>46470</v>
          </cell>
          <cell r="B278" t="e">
            <v>#N/A</v>
          </cell>
          <cell r="C278"/>
          <cell r="D278" t="e">
            <v>#N/A</v>
          </cell>
          <cell r="F278">
            <v>0</v>
          </cell>
          <cell r="G278">
            <v>0</v>
          </cell>
          <cell r="H278">
            <v>379.8</v>
          </cell>
          <cell r="J278" t="e">
            <v>#N/A</v>
          </cell>
          <cell r="L278" t="e">
            <v>#N/A</v>
          </cell>
          <cell r="M278">
            <v>53</v>
          </cell>
          <cell r="N278" t="e">
            <v>#N/A</v>
          </cell>
          <cell r="O278" t="e">
            <v>#N/A</v>
          </cell>
          <cell r="P278" t="e">
            <v>#N/A</v>
          </cell>
          <cell r="Q278" t="e">
            <v>#N/A</v>
          </cell>
          <cell r="R278">
            <v>251.85</v>
          </cell>
          <cell r="S278" t="e">
            <v>#N/A</v>
          </cell>
          <cell r="V278">
            <v>0</v>
          </cell>
        </row>
        <row r="279">
          <cell r="A279">
            <v>46471</v>
          </cell>
          <cell r="B279" t="e">
            <v>#N/A</v>
          </cell>
          <cell r="C279"/>
          <cell r="D279" t="e">
            <v>#N/A</v>
          </cell>
          <cell r="F279">
            <v>0</v>
          </cell>
          <cell r="G279">
            <v>0</v>
          </cell>
          <cell r="H279">
            <v>379.8</v>
          </cell>
          <cell r="J279" t="e">
            <v>#N/A</v>
          </cell>
          <cell r="L279" t="e">
            <v>#N/A</v>
          </cell>
          <cell r="M279">
            <v>53</v>
          </cell>
          <cell r="N279" t="e">
            <v>#N/A</v>
          </cell>
          <cell r="O279" t="e">
            <v>#N/A</v>
          </cell>
          <cell r="P279" t="e">
            <v>#N/A</v>
          </cell>
          <cell r="Q279" t="e">
            <v>#N/A</v>
          </cell>
          <cell r="R279">
            <v>251.85</v>
          </cell>
          <cell r="S279" t="e">
            <v>#N/A</v>
          </cell>
          <cell r="V279">
            <v>0</v>
          </cell>
        </row>
        <row r="280">
          <cell r="A280">
            <v>46472</v>
          </cell>
          <cell r="B280" t="e">
            <v>#N/A</v>
          </cell>
          <cell r="C280"/>
          <cell r="D280" t="e">
            <v>#N/A</v>
          </cell>
          <cell r="F280">
            <v>0</v>
          </cell>
          <cell r="G280">
            <v>0</v>
          </cell>
          <cell r="H280">
            <v>379.8</v>
          </cell>
          <cell r="J280" t="e">
            <v>#N/A</v>
          </cell>
          <cell r="L280" t="e">
            <v>#N/A</v>
          </cell>
          <cell r="M280">
            <v>53</v>
          </cell>
          <cell r="N280" t="e">
            <v>#N/A</v>
          </cell>
          <cell r="O280" t="e">
            <v>#N/A</v>
          </cell>
          <cell r="P280" t="e">
            <v>#N/A</v>
          </cell>
          <cell r="Q280" t="e">
            <v>#N/A</v>
          </cell>
          <cell r="R280">
            <v>251.85</v>
          </cell>
          <cell r="S280" t="e">
            <v>#N/A</v>
          </cell>
          <cell r="V280">
            <v>0</v>
          </cell>
        </row>
        <row r="281">
          <cell r="A281">
            <v>46473</v>
          </cell>
          <cell r="B281" t="e">
            <v>#N/A</v>
          </cell>
          <cell r="C281"/>
          <cell r="D281" t="e">
            <v>#N/A</v>
          </cell>
          <cell r="F281">
            <v>0</v>
          </cell>
          <cell r="G281">
            <v>0</v>
          </cell>
          <cell r="H281">
            <v>379.8</v>
          </cell>
          <cell r="J281" t="e">
            <v>#N/A</v>
          </cell>
          <cell r="L281" t="e">
            <v>#N/A</v>
          </cell>
          <cell r="M281">
            <v>53</v>
          </cell>
          <cell r="N281" t="e">
            <v>#N/A</v>
          </cell>
          <cell r="O281" t="e">
            <v>#N/A</v>
          </cell>
          <cell r="P281" t="e">
            <v>#N/A</v>
          </cell>
          <cell r="Q281" t="e">
            <v>#N/A</v>
          </cell>
          <cell r="R281">
            <v>251.85</v>
          </cell>
          <cell r="S281" t="e">
            <v>#N/A</v>
          </cell>
          <cell r="V281">
            <v>0</v>
          </cell>
        </row>
        <row r="282">
          <cell r="A282">
            <v>46474</v>
          </cell>
          <cell r="B282" t="e">
            <v>#N/A</v>
          </cell>
          <cell r="C282"/>
          <cell r="D282" t="e">
            <v>#N/A</v>
          </cell>
          <cell r="F282">
            <v>0</v>
          </cell>
          <cell r="G282">
            <v>0</v>
          </cell>
          <cell r="H282">
            <v>379.8</v>
          </cell>
          <cell r="J282" t="e">
            <v>#N/A</v>
          </cell>
          <cell r="L282" t="e">
            <v>#N/A</v>
          </cell>
          <cell r="M282">
            <v>53</v>
          </cell>
          <cell r="N282" t="e">
            <v>#N/A</v>
          </cell>
          <cell r="O282" t="e">
            <v>#N/A</v>
          </cell>
          <cell r="P282" t="e">
            <v>#N/A</v>
          </cell>
          <cell r="Q282" t="e">
            <v>#N/A</v>
          </cell>
          <cell r="R282">
            <v>251.85</v>
          </cell>
          <cell r="S282" t="e">
            <v>#N/A</v>
          </cell>
          <cell r="V282">
            <v>0</v>
          </cell>
        </row>
        <row r="283">
          <cell r="A283">
            <v>46475</v>
          </cell>
          <cell r="B283" t="e">
            <v>#N/A</v>
          </cell>
          <cell r="C283"/>
          <cell r="D283" t="e">
            <v>#N/A</v>
          </cell>
          <cell r="F283">
            <v>0</v>
          </cell>
          <cell r="G283">
            <v>0</v>
          </cell>
          <cell r="H283">
            <v>379.8</v>
          </cell>
          <cell r="J283" t="e">
            <v>#N/A</v>
          </cell>
          <cell r="L283" t="e">
            <v>#N/A</v>
          </cell>
          <cell r="M283">
            <v>53</v>
          </cell>
          <cell r="N283" t="e">
            <v>#N/A</v>
          </cell>
          <cell r="O283" t="e">
            <v>#N/A</v>
          </cell>
          <cell r="P283" t="e">
            <v>#N/A</v>
          </cell>
          <cell r="Q283" t="e">
            <v>#N/A</v>
          </cell>
          <cell r="R283">
            <v>251.85</v>
          </cell>
          <cell r="S283" t="e">
            <v>#N/A</v>
          </cell>
          <cell r="V283">
            <v>0</v>
          </cell>
        </row>
        <row r="284">
          <cell r="A284">
            <v>46476</v>
          </cell>
          <cell r="B284" t="e">
            <v>#N/A</v>
          </cell>
          <cell r="C284"/>
          <cell r="D284" t="e">
            <v>#N/A</v>
          </cell>
          <cell r="F284">
            <v>0</v>
          </cell>
          <cell r="G284">
            <v>0</v>
          </cell>
          <cell r="H284">
            <v>379.8</v>
          </cell>
          <cell r="J284" t="e">
            <v>#N/A</v>
          </cell>
          <cell r="L284" t="e">
            <v>#N/A</v>
          </cell>
          <cell r="M284">
            <v>53</v>
          </cell>
          <cell r="N284" t="e">
            <v>#N/A</v>
          </cell>
          <cell r="O284" t="e">
            <v>#N/A</v>
          </cell>
          <cell r="P284" t="e">
            <v>#N/A</v>
          </cell>
          <cell r="Q284" t="e">
            <v>#N/A</v>
          </cell>
          <cell r="R284">
            <v>251.85</v>
          </cell>
          <cell r="S284" t="e">
            <v>#N/A</v>
          </cell>
          <cell r="V284">
            <v>0</v>
          </cell>
        </row>
        <row r="285">
          <cell r="A285">
            <v>46477</v>
          </cell>
          <cell r="B285" t="e">
            <v>#N/A</v>
          </cell>
          <cell r="C285"/>
          <cell r="D285" t="e">
            <v>#N/A</v>
          </cell>
          <cell r="F285">
            <v>0</v>
          </cell>
          <cell r="G285">
            <v>0</v>
          </cell>
          <cell r="H285">
            <v>379.8</v>
          </cell>
          <cell r="J285" t="e">
            <v>#N/A</v>
          </cell>
          <cell r="L285" t="e">
            <v>#N/A</v>
          </cell>
          <cell r="M285">
            <v>53</v>
          </cell>
          <cell r="N285" t="e">
            <v>#N/A</v>
          </cell>
          <cell r="O285" t="e">
            <v>#N/A</v>
          </cell>
          <cell r="P285" t="e">
            <v>#N/A</v>
          </cell>
          <cell r="Q285" t="e">
            <v>#N/A</v>
          </cell>
          <cell r="R285">
            <v>251.85</v>
          </cell>
          <cell r="S285" t="e">
            <v>#N/A</v>
          </cell>
          <cell r="V285">
            <v>0</v>
          </cell>
        </row>
        <row r="286">
          <cell r="A286">
            <v>46478</v>
          </cell>
          <cell r="B286" t="e">
            <v>#N/A</v>
          </cell>
          <cell r="C286"/>
          <cell r="D286" t="e">
            <v>#N/A</v>
          </cell>
          <cell r="F286">
            <v>0</v>
          </cell>
          <cell r="G286">
            <v>0</v>
          </cell>
          <cell r="H286">
            <v>379.8</v>
          </cell>
          <cell r="J286" t="e">
            <v>#N/A</v>
          </cell>
          <cell r="L286" t="e">
            <v>#N/A</v>
          </cell>
          <cell r="M286">
            <v>53</v>
          </cell>
          <cell r="N286" t="e">
            <v>#N/A</v>
          </cell>
          <cell r="O286" t="e">
            <v>#N/A</v>
          </cell>
          <cell r="P286" t="e">
            <v>#N/A</v>
          </cell>
          <cell r="Q286" t="e">
            <v>#N/A</v>
          </cell>
          <cell r="R286">
            <v>251.85</v>
          </cell>
          <cell r="S286" t="e">
            <v>#N/A</v>
          </cell>
          <cell r="V286">
            <v>0</v>
          </cell>
        </row>
        <row r="287">
          <cell r="A287">
            <v>46479</v>
          </cell>
          <cell r="B287" t="e">
            <v>#N/A</v>
          </cell>
          <cell r="C287"/>
          <cell r="D287" t="e">
            <v>#N/A</v>
          </cell>
          <cell r="F287">
            <v>0</v>
          </cell>
          <cell r="G287">
            <v>0</v>
          </cell>
          <cell r="H287">
            <v>379.8</v>
          </cell>
          <cell r="J287" t="e">
            <v>#N/A</v>
          </cell>
          <cell r="L287" t="e">
            <v>#N/A</v>
          </cell>
          <cell r="M287">
            <v>53</v>
          </cell>
          <cell r="N287" t="e">
            <v>#N/A</v>
          </cell>
          <cell r="O287" t="e">
            <v>#N/A</v>
          </cell>
          <cell r="P287" t="e">
            <v>#N/A</v>
          </cell>
          <cell r="Q287" t="e">
            <v>#N/A</v>
          </cell>
          <cell r="R287">
            <v>251.85</v>
          </cell>
          <cell r="S287" t="e">
            <v>#N/A</v>
          </cell>
          <cell r="V287">
            <v>0</v>
          </cell>
        </row>
        <row r="288">
          <cell r="A288">
            <v>46480</v>
          </cell>
          <cell r="B288" t="e">
            <v>#N/A</v>
          </cell>
          <cell r="C288"/>
          <cell r="D288" t="e">
            <v>#N/A</v>
          </cell>
          <cell r="F288">
            <v>0</v>
          </cell>
          <cell r="G288">
            <v>0</v>
          </cell>
          <cell r="H288">
            <v>379.8</v>
          </cell>
          <cell r="J288" t="e">
            <v>#N/A</v>
          </cell>
          <cell r="L288" t="e">
            <v>#N/A</v>
          </cell>
          <cell r="M288">
            <v>53</v>
          </cell>
          <cell r="N288" t="e">
            <v>#N/A</v>
          </cell>
          <cell r="O288" t="e">
            <v>#N/A</v>
          </cell>
          <cell r="P288" t="e">
            <v>#N/A</v>
          </cell>
          <cell r="Q288" t="e">
            <v>#N/A</v>
          </cell>
          <cell r="R288">
            <v>251.85</v>
          </cell>
          <cell r="S288" t="e">
            <v>#N/A</v>
          </cell>
          <cell r="V288">
            <v>0</v>
          </cell>
        </row>
        <row r="289">
          <cell r="A289">
            <v>46481</v>
          </cell>
          <cell r="B289" t="e">
            <v>#N/A</v>
          </cell>
          <cell r="C289"/>
          <cell r="D289" t="e">
            <v>#N/A</v>
          </cell>
          <cell r="F289">
            <v>0</v>
          </cell>
          <cell r="G289">
            <v>0</v>
          </cell>
          <cell r="H289">
            <v>379.8</v>
          </cell>
          <cell r="J289" t="e">
            <v>#N/A</v>
          </cell>
          <cell r="L289" t="e">
            <v>#N/A</v>
          </cell>
          <cell r="M289">
            <v>53</v>
          </cell>
          <cell r="N289" t="e">
            <v>#N/A</v>
          </cell>
          <cell r="O289" t="e">
            <v>#N/A</v>
          </cell>
          <cell r="P289" t="e">
            <v>#N/A</v>
          </cell>
          <cell r="Q289" t="e">
            <v>#N/A</v>
          </cell>
          <cell r="R289">
            <v>251.85</v>
          </cell>
          <cell r="S289" t="e">
            <v>#N/A</v>
          </cell>
          <cell r="V289">
            <v>0</v>
          </cell>
        </row>
        <row r="290">
          <cell r="A290">
            <v>46482</v>
          </cell>
          <cell r="B290" t="e">
            <v>#N/A</v>
          </cell>
          <cell r="C290"/>
          <cell r="D290" t="e">
            <v>#N/A</v>
          </cell>
          <cell r="F290">
            <v>0</v>
          </cell>
          <cell r="G290">
            <v>0</v>
          </cell>
          <cell r="H290">
            <v>379.8</v>
          </cell>
          <cell r="J290" t="e">
            <v>#N/A</v>
          </cell>
          <cell r="L290" t="e">
            <v>#N/A</v>
          </cell>
          <cell r="M290">
            <v>53</v>
          </cell>
          <cell r="N290" t="e">
            <v>#N/A</v>
          </cell>
          <cell r="O290" t="e">
            <v>#N/A</v>
          </cell>
          <cell r="P290" t="e">
            <v>#N/A</v>
          </cell>
          <cell r="Q290" t="e">
            <v>#N/A</v>
          </cell>
          <cell r="R290">
            <v>251.85</v>
          </cell>
          <cell r="S290" t="e">
            <v>#N/A</v>
          </cell>
          <cell r="V290">
            <v>0</v>
          </cell>
        </row>
        <row r="291">
          <cell r="A291">
            <v>46483</v>
          </cell>
          <cell r="B291" t="e">
            <v>#N/A</v>
          </cell>
          <cell r="C291"/>
          <cell r="D291" t="e">
            <v>#N/A</v>
          </cell>
          <cell r="F291">
            <v>0</v>
          </cell>
          <cell r="G291">
            <v>0</v>
          </cell>
          <cell r="H291">
            <v>379.8</v>
          </cell>
          <cell r="J291" t="e">
            <v>#N/A</v>
          </cell>
          <cell r="L291" t="e">
            <v>#N/A</v>
          </cell>
          <cell r="M291">
            <v>53</v>
          </cell>
          <cell r="N291" t="e">
            <v>#N/A</v>
          </cell>
          <cell r="O291" t="e">
            <v>#N/A</v>
          </cell>
          <cell r="P291" t="e">
            <v>#N/A</v>
          </cell>
          <cell r="Q291" t="e">
            <v>#N/A</v>
          </cell>
          <cell r="R291">
            <v>251.85</v>
          </cell>
          <cell r="S291" t="e">
            <v>#N/A</v>
          </cell>
          <cell r="V291">
            <v>0</v>
          </cell>
        </row>
        <row r="292">
          <cell r="A292">
            <v>46484</v>
          </cell>
          <cell r="B292" t="e">
            <v>#N/A</v>
          </cell>
          <cell r="C292"/>
          <cell r="D292" t="e">
            <v>#N/A</v>
          </cell>
          <cell r="F292">
            <v>0</v>
          </cell>
          <cell r="G292">
            <v>0</v>
          </cell>
          <cell r="H292">
            <v>379.8</v>
          </cell>
          <cell r="J292" t="e">
            <v>#N/A</v>
          </cell>
          <cell r="L292" t="e">
            <v>#N/A</v>
          </cell>
          <cell r="M292">
            <v>53</v>
          </cell>
          <cell r="N292" t="e">
            <v>#N/A</v>
          </cell>
          <cell r="O292" t="e">
            <v>#N/A</v>
          </cell>
          <cell r="P292" t="e">
            <v>#N/A</v>
          </cell>
          <cell r="Q292" t="e">
            <v>#N/A</v>
          </cell>
          <cell r="R292">
            <v>251.85</v>
          </cell>
          <cell r="S292" t="e">
            <v>#N/A</v>
          </cell>
          <cell r="V292">
            <v>0</v>
          </cell>
        </row>
        <row r="293">
          <cell r="A293">
            <v>46485</v>
          </cell>
          <cell r="B293" t="e">
            <v>#N/A</v>
          </cell>
          <cell r="C293"/>
          <cell r="D293" t="e">
            <v>#N/A</v>
          </cell>
          <cell r="F293">
            <v>0</v>
          </cell>
          <cell r="G293">
            <v>0</v>
          </cell>
          <cell r="H293">
            <v>379.8</v>
          </cell>
          <cell r="J293" t="e">
            <v>#N/A</v>
          </cell>
          <cell r="L293" t="e">
            <v>#N/A</v>
          </cell>
          <cell r="M293">
            <v>53</v>
          </cell>
          <cell r="N293" t="e">
            <v>#N/A</v>
          </cell>
          <cell r="O293" t="e">
            <v>#N/A</v>
          </cell>
          <cell r="P293" t="e">
            <v>#N/A</v>
          </cell>
          <cell r="Q293" t="e">
            <v>#N/A</v>
          </cell>
          <cell r="R293">
            <v>251.85</v>
          </cell>
          <cell r="S293" t="e">
            <v>#N/A</v>
          </cell>
          <cell r="V293">
            <v>0</v>
          </cell>
        </row>
        <row r="294">
          <cell r="A294">
            <v>46486</v>
          </cell>
          <cell r="B294" t="e">
            <v>#N/A</v>
          </cell>
          <cell r="C294"/>
          <cell r="D294" t="e">
            <v>#N/A</v>
          </cell>
          <cell r="F294">
            <v>0</v>
          </cell>
          <cell r="G294">
            <v>0</v>
          </cell>
          <cell r="H294">
            <v>379.8</v>
          </cell>
          <cell r="J294" t="e">
            <v>#N/A</v>
          </cell>
          <cell r="L294" t="e">
            <v>#N/A</v>
          </cell>
          <cell r="M294">
            <v>53</v>
          </cell>
          <cell r="N294" t="e">
            <v>#N/A</v>
          </cell>
          <cell r="O294" t="e">
            <v>#N/A</v>
          </cell>
          <cell r="P294" t="e">
            <v>#N/A</v>
          </cell>
          <cell r="Q294" t="e">
            <v>#N/A</v>
          </cell>
          <cell r="R294">
            <v>251.85</v>
          </cell>
          <cell r="S294" t="e">
            <v>#N/A</v>
          </cell>
          <cell r="V294">
            <v>0</v>
          </cell>
        </row>
        <row r="295">
          <cell r="A295">
            <v>46487</v>
          </cell>
          <cell r="B295" t="e">
            <v>#N/A</v>
          </cell>
          <cell r="C295"/>
          <cell r="D295" t="e">
            <v>#N/A</v>
          </cell>
          <cell r="F295">
            <v>0</v>
          </cell>
          <cell r="G295">
            <v>0</v>
          </cell>
          <cell r="H295">
            <v>379.8</v>
          </cell>
          <cell r="J295" t="e">
            <v>#N/A</v>
          </cell>
          <cell r="L295" t="e">
            <v>#N/A</v>
          </cell>
          <cell r="M295">
            <v>53</v>
          </cell>
          <cell r="N295" t="e">
            <v>#N/A</v>
          </cell>
          <cell r="O295" t="e">
            <v>#N/A</v>
          </cell>
          <cell r="P295" t="e">
            <v>#N/A</v>
          </cell>
          <cell r="Q295" t="e">
            <v>#N/A</v>
          </cell>
          <cell r="R295">
            <v>251.85</v>
          </cell>
          <cell r="S295" t="e">
            <v>#N/A</v>
          </cell>
          <cell r="V295">
            <v>0</v>
          </cell>
        </row>
        <row r="296">
          <cell r="A296">
            <v>46488</v>
          </cell>
          <cell r="B296" t="e">
            <v>#N/A</v>
          </cell>
          <cell r="C296"/>
          <cell r="D296" t="e">
            <v>#N/A</v>
          </cell>
          <cell r="F296">
            <v>0</v>
          </cell>
          <cell r="G296">
            <v>0</v>
          </cell>
          <cell r="H296">
            <v>379.8</v>
          </cell>
          <cell r="J296" t="e">
            <v>#N/A</v>
          </cell>
          <cell r="L296" t="e">
            <v>#N/A</v>
          </cell>
          <cell r="M296">
            <v>53</v>
          </cell>
          <cell r="N296" t="e">
            <v>#N/A</v>
          </cell>
          <cell r="O296" t="e">
            <v>#N/A</v>
          </cell>
          <cell r="P296" t="e">
            <v>#N/A</v>
          </cell>
          <cell r="Q296" t="e">
            <v>#N/A</v>
          </cell>
          <cell r="R296">
            <v>251.85</v>
          </cell>
          <cell r="S296" t="e">
            <v>#N/A</v>
          </cell>
          <cell r="V296">
            <v>0</v>
          </cell>
        </row>
        <row r="297">
          <cell r="A297">
            <v>46489</v>
          </cell>
          <cell r="B297" t="e">
            <v>#N/A</v>
          </cell>
          <cell r="C297"/>
          <cell r="D297" t="e">
            <v>#N/A</v>
          </cell>
          <cell r="F297">
            <v>0</v>
          </cell>
          <cell r="G297">
            <v>0</v>
          </cell>
          <cell r="H297">
            <v>379.8</v>
          </cell>
          <cell r="J297" t="e">
            <v>#N/A</v>
          </cell>
          <cell r="L297" t="e">
            <v>#N/A</v>
          </cell>
          <cell r="M297">
            <v>53</v>
          </cell>
          <cell r="N297" t="e">
            <v>#N/A</v>
          </cell>
          <cell r="O297" t="e">
            <v>#N/A</v>
          </cell>
          <cell r="P297" t="e">
            <v>#N/A</v>
          </cell>
          <cell r="Q297" t="e">
            <v>#N/A</v>
          </cell>
          <cell r="R297">
            <v>251.85</v>
          </cell>
          <cell r="S297" t="e">
            <v>#N/A</v>
          </cell>
          <cell r="V297">
            <v>0</v>
          </cell>
        </row>
        <row r="298">
          <cell r="A298">
            <v>46490</v>
          </cell>
          <cell r="B298" t="e">
            <v>#N/A</v>
          </cell>
          <cell r="C298"/>
          <cell r="D298" t="e">
            <v>#N/A</v>
          </cell>
          <cell r="F298">
            <v>0</v>
          </cell>
          <cell r="G298">
            <v>0</v>
          </cell>
          <cell r="H298">
            <v>379.8</v>
          </cell>
          <cell r="J298" t="e">
            <v>#N/A</v>
          </cell>
          <cell r="L298" t="e">
            <v>#N/A</v>
          </cell>
          <cell r="M298">
            <v>53</v>
          </cell>
          <cell r="N298" t="e">
            <v>#N/A</v>
          </cell>
          <cell r="O298" t="e">
            <v>#N/A</v>
          </cell>
          <cell r="P298" t="e">
            <v>#N/A</v>
          </cell>
          <cell r="Q298" t="e">
            <v>#N/A</v>
          </cell>
          <cell r="R298">
            <v>251.85</v>
          </cell>
          <cell r="S298" t="e">
            <v>#N/A</v>
          </cell>
          <cell r="V298">
            <v>0</v>
          </cell>
        </row>
        <row r="299">
          <cell r="A299">
            <v>46491</v>
          </cell>
          <cell r="B299" t="e">
            <v>#N/A</v>
          </cell>
          <cell r="C299"/>
          <cell r="D299" t="e">
            <v>#N/A</v>
          </cell>
          <cell r="F299">
            <v>0</v>
          </cell>
          <cell r="G299">
            <v>0</v>
          </cell>
          <cell r="H299">
            <v>379.8</v>
          </cell>
          <cell r="J299" t="e">
            <v>#N/A</v>
          </cell>
          <cell r="L299" t="e">
            <v>#N/A</v>
          </cell>
          <cell r="M299">
            <v>53</v>
          </cell>
          <cell r="N299" t="e">
            <v>#N/A</v>
          </cell>
          <cell r="O299" t="e">
            <v>#N/A</v>
          </cell>
          <cell r="P299" t="e">
            <v>#N/A</v>
          </cell>
          <cell r="Q299" t="e">
            <v>#N/A</v>
          </cell>
          <cell r="R299">
            <v>251.85</v>
          </cell>
          <cell r="S299" t="e">
            <v>#N/A</v>
          </cell>
          <cell r="V299">
            <v>0</v>
          </cell>
        </row>
        <row r="300">
          <cell r="A300">
            <v>46492</v>
          </cell>
          <cell r="B300" t="e">
            <v>#N/A</v>
          </cell>
          <cell r="C300"/>
          <cell r="D300" t="e">
            <v>#N/A</v>
          </cell>
          <cell r="F300">
            <v>0</v>
          </cell>
          <cell r="G300">
            <v>0</v>
          </cell>
          <cell r="H300">
            <v>379.8</v>
          </cell>
          <cell r="J300" t="e">
            <v>#N/A</v>
          </cell>
          <cell r="L300" t="e">
            <v>#N/A</v>
          </cell>
          <cell r="M300">
            <v>53</v>
          </cell>
          <cell r="N300" t="e">
            <v>#N/A</v>
          </cell>
          <cell r="O300" t="e">
            <v>#N/A</v>
          </cell>
          <cell r="P300" t="e">
            <v>#N/A</v>
          </cell>
          <cell r="Q300" t="e">
            <v>#N/A</v>
          </cell>
          <cell r="R300">
            <v>251.85</v>
          </cell>
          <cell r="S300" t="e">
            <v>#N/A</v>
          </cell>
          <cell r="V300">
            <v>0</v>
          </cell>
        </row>
        <row r="301">
          <cell r="A301">
            <v>46493</v>
          </cell>
          <cell r="B301" t="e">
            <v>#N/A</v>
          </cell>
          <cell r="C301"/>
          <cell r="D301" t="e">
            <v>#N/A</v>
          </cell>
          <cell r="F301">
            <v>0</v>
          </cell>
          <cell r="G301">
            <v>0</v>
          </cell>
          <cell r="H301">
            <v>379.8</v>
          </cell>
          <cell r="J301" t="e">
            <v>#N/A</v>
          </cell>
          <cell r="L301" t="e">
            <v>#N/A</v>
          </cell>
          <cell r="M301">
            <v>53</v>
          </cell>
          <cell r="N301" t="e">
            <v>#N/A</v>
          </cell>
          <cell r="O301" t="e">
            <v>#N/A</v>
          </cell>
          <cell r="P301" t="e">
            <v>#N/A</v>
          </cell>
          <cell r="Q301" t="e">
            <v>#N/A</v>
          </cell>
          <cell r="R301">
            <v>251.85</v>
          </cell>
          <cell r="S301" t="e">
            <v>#N/A</v>
          </cell>
          <cell r="V301">
            <v>0</v>
          </cell>
        </row>
        <row r="302">
          <cell r="A302">
            <v>46494</v>
          </cell>
          <cell r="B302" t="e">
            <v>#N/A</v>
          </cell>
          <cell r="C302"/>
          <cell r="D302" t="e">
            <v>#N/A</v>
          </cell>
          <cell r="F302">
            <v>0</v>
          </cell>
          <cell r="G302">
            <v>0</v>
          </cell>
          <cell r="H302">
            <v>379.8</v>
          </cell>
          <cell r="J302" t="e">
            <v>#N/A</v>
          </cell>
          <cell r="L302" t="e">
            <v>#N/A</v>
          </cell>
          <cell r="M302">
            <v>53</v>
          </cell>
          <cell r="N302" t="e">
            <v>#N/A</v>
          </cell>
          <cell r="O302" t="e">
            <v>#N/A</v>
          </cell>
          <cell r="P302" t="e">
            <v>#N/A</v>
          </cell>
          <cell r="Q302" t="e">
            <v>#N/A</v>
          </cell>
          <cell r="R302">
            <v>251.85</v>
          </cell>
          <cell r="S302" t="e">
            <v>#N/A</v>
          </cell>
          <cell r="V302">
            <v>0</v>
          </cell>
        </row>
        <row r="303">
          <cell r="A303">
            <v>46495</v>
          </cell>
          <cell r="B303" t="e">
            <v>#N/A</v>
          </cell>
          <cell r="C303"/>
          <cell r="D303" t="e">
            <v>#N/A</v>
          </cell>
          <cell r="F303">
            <v>0</v>
          </cell>
          <cell r="G303">
            <v>0</v>
          </cell>
          <cell r="H303">
            <v>379.8</v>
          </cell>
          <cell r="J303" t="e">
            <v>#N/A</v>
          </cell>
          <cell r="L303" t="e">
            <v>#N/A</v>
          </cell>
          <cell r="M303">
            <v>53</v>
          </cell>
          <cell r="N303" t="e">
            <v>#N/A</v>
          </cell>
          <cell r="O303" t="e">
            <v>#N/A</v>
          </cell>
          <cell r="P303" t="e">
            <v>#N/A</v>
          </cell>
          <cell r="Q303" t="e">
            <v>#N/A</v>
          </cell>
          <cell r="R303">
            <v>251.85</v>
          </cell>
          <cell r="S303" t="e">
            <v>#N/A</v>
          </cell>
          <cell r="V303">
            <v>0</v>
          </cell>
        </row>
        <row r="304">
          <cell r="A304">
            <v>46496</v>
          </cell>
          <cell r="B304" t="e">
            <v>#N/A</v>
          </cell>
          <cell r="C304"/>
          <cell r="D304" t="e">
            <v>#N/A</v>
          </cell>
          <cell r="F304">
            <v>0</v>
          </cell>
          <cell r="G304">
            <v>0</v>
          </cell>
          <cell r="H304">
            <v>379.8</v>
          </cell>
          <cell r="J304" t="e">
            <v>#N/A</v>
          </cell>
          <cell r="L304" t="e">
            <v>#N/A</v>
          </cell>
          <cell r="M304">
            <v>53</v>
          </cell>
          <cell r="N304" t="e">
            <v>#N/A</v>
          </cell>
          <cell r="O304" t="e">
            <v>#N/A</v>
          </cell>
          <cell r="P304" t="e">
            <v>#N/A</v>
          </cell>
          <cell r="Q304" t="e">
            <v>#N/A</v>
          </cell>
          <cell r="R304">
            <v>251.85</v>
          </cell>
          <cell r="S304" t="e">
            <v>#N/A</v>
          </cell>
          <cell r="V304">
            <v>0</v>
          </cell>
        </row>
        <row r="305">
          <cell r="A305">
            <v>46497</v>
          </cell>
          <cell r="B305" t="e">
            <v>#N/A</v>
          </cell>
          <cell r="C305"/>
          <cell r="D305" t="e">
            <v>#N/A</v>
          </cell>
          <cell r="F305">
            <v>0</v>
          </cell>
          <cell r="G305">
            <v>0</v>
          </cell>
          <cell r="H305">
            <v>379.8</v>
          </cell>
          <cell r="J305" t="e">
            <v>#N/A</v>
          </cell>
          <cell r="L305" t="e">
            <v>#N/A</v>
          </cell>
          <cell r="M305">
            <v>53</v>
          </cell>
          <cell r="N305" t="e">
            <v>#N/A</v>
          </cell>
          <cell r="O305" t="e">
            <v>#N/A</v>
          </cell>
          <cell r="P305" t="e">
            <v>#N/A</v>
          </cell>
          <cell r="Q305" t="e">
            <v>#N/A</v>
          </cell>
          <cell r="R305">
            <v>251.85</v>
          </cell>
          <cell r="S305" t="e">
            <v>#N/A</v>
          </cell>
          <cell r="V305">
            <v>0</v>
          </cell>
        </row>
        <row r="306">
          <cell r="A306">
            <v>46498</v>
          </cell>
          <cell r="B306" t="e">
            <v>#N/A</v>
          </cell>
          <cell r="C306"/>
          <cell r="D306" t="e">
            <v>#N/A</v>
          </cell>
          <cell r="F306">
            <v>0</v>
          </cell>
          <cell r="G306">
            <v>0</v>
          </cell>
          <cell r="H306">
            <v>379.8</v>
          </cell>
          <cell r="J306" t="e">
            <v>#N/A</v>
          </cell>
          <cell r="L306" t="e">
            <v>#N/A</v>
          </cell>
          <cell r="M306">
            <v>53</v>
          </cell>
          <cell r="N306" t="e">
            <v>#N/A</v>
          </cell>
          <cell r="O306" t="e">
            <v>#N/A</v>
          </cell>
          <cell r="P306" t="e">
            <v>#N/A</v>
          </cell>
          <cell r="Q306" t="e">
            <v>#N/A</v>
          </cell>
          <cell r="R306">
            <v>251.85</v>
          </cell>
          <cell r="S306" t="e">
            <v>#N/A</v>
          </cell>
          <cell r="V306">
            <v>0</v>
          </cell>
        </row>
        <row r="307">
          <cell r="A307">
            <v>46499</v>
          </cell>
          <cell r="B307" t="e">
            <v>#N/A</v>
          </cell>
          <cell r="C307"/>
          <cell r="D307" t="e">
            <v>#N/A</v>
          </cell>
          <cell r="F307">
            <v>0</v>
          </cell>
          <cell r="G307">
            <v>0</v>
          </cell>
          <cell r="H307">
            <v>379.8</v>
          </cell>
          <cell r="J307" t="e">
            <v>#N/A</v>
          </cell>
          <cell r="L307" t="e">
            <v>#N/A</v>
          </cell>
          <cell r="M307">
            <v>53</v>
          </cell>
          <cell r="N307" t="e">
            <v>#N/A</v>
          </cell>
          <cell r="O307" t="e">
            <v>#N/A</v>
          </cell>
          <cell r="P307" t="e">
            <v>#N/A</v>
          </cell>
          <cell r="Q307" t="e">
            <v>#N/A</v>
          </cell>
          <cell r="R307">
            <v>251.85</v>
          </cell>
          <cell r="S307" t="e">
            <v>#N/A</v>
          </cell>
          <cell r="V307">
            <v>0</v>
          </cell>
        </row>
        <row r="308">
          <cell r="A308">
            <v>46500</v>
          </cell>
          <cell r="B308" t="e">
            <v>#N/A</v>
          </cell>
          <cell r="C308"/>
          <cell r="D308" t="e">
            <v>#N/A</v>
          </cell>
          <cell r="F308">
            <v>0</v>
          </cell>
          <cell r="G308">
            <v>0</v>
          </cell>
          <cell r="H308">
            <v>379.8</v>
          </cell>
          <cell r="J308" t="e">
            <v>#N/A</v>
          </cell>
          <cell r="L308" t="e">
            <v>#N/A</v>
          </cell>
          <cell r="M308">
            <v>53</v>
          </cell>
          <cell r="N308" t="e">
            <v>#N/A</v>
          </cell>
          <cell r="O308" t="e">
            <v>#N/A</v>
          </cell>
          <cell r="P308" t="e">
            <v>#N/A</v>
          </cell>
          <cell r="Q308" t="e">
            <v>#N/A</v>
          </cell>
          <cell r="R308">
            <v>251.85</v>
          </cell>
          <cell r="S308" t="e">
            <v>#N/A</v>
          </cell>
          <cell r="V308">
            <v>0</v>
          </cell>
        </row>
        <row r="309">
          <cell r="A309">
            <v>46501</v>
          </cell>
          <cell r="B309" t="e">
            <v>#N/A</v>
          </cell>
          <cell r="C309"/>
          <cell r="D309" t="e">
            <v>#N/A</v>
          </cell>
          <cell r="F309">
            <v>0</v>
          </cell>
          <cell r="G309">
            <v>0</v>
          </cell>
          <cell r="H309">
            <v>379.8</v>
          </cell>
          <cell r="J309" t="e">
            <v>#N/A</v>
          </cell>
          <cell r="L309" t="e">
            <v>#N/A</v>
          </cell>
          <cell r="M309">
            <v>53</v>
          </cell>
          <cell r="N309" t="e">
            <v>#N/A</v>
          </cell>
          <cell r="O309" t="e">
            <v>#N/A</v>
          </cell>
          <cell r="P309" t="e">
            <v>#N/A</v>
          </cell>
          <cell r="Q309" t="e">
            <v>#N/A</v>
          </cell>
          <cell r="R309">
            <v>251.85</v>
          </cell>
          <cell r="S309" t="e">
            <v>#N/A</v>
          </cell>
          <cell r="V309">
            <v>0</v>
          </cell>
        </row>
        <row r="310">
          <cell r="A310">
            <v>46502</v>
          </cell>
          <cell r="B310" t="e">
            <v>#N/A</v>
          </cell>
          <cell r="C310"/>
          <cell r="D310" t="e">
            <v>#N/A</v>
          </cell>
          <cell r="F310">
            <v>0</v>
          </cell>
          <cell r="G310">
            <v>0</v>
          </cell>
          <cell r="H310">
            <v>379.8</v>
          </cell>
          <cell r="J310" t="e">
            <v>#N/A</v>
          </cell>
          <cell r="L310" t="e">
            <v>#N/A</v>
          </cell>
          <cell r="M310">
            <v>53</v>
          </cell>
          <cell r="N310" t="e">
            <v>#N/A</v>
          </cell>
          <cell r="O310" t="e">
            <v>#N/A</v>
          </cell>
          <cell r="P310" t="e">
            <v>#N/A</v>
          </cell>
          <cell r="Q310" t="e">
            <v>#N/A</v>
          </cell>
          <cell r="R310">
            <v>251.85</v>
          </cell>
          <cell r="S310" t="e">
            <v>#N/A</v>
          </cell>
          <cell r="V310">
            <v>0</v>
          </cell>
        </row>
        <row r="311">
          <cell r="A311">
            <v>46503</v>
          </cell>
          <cell r="B311" t="e">
            <v>#N/A</v>
          </cell>
          <cell r="C311"/>
          <cell r="D311" t="e">
            <v>#N/A</v>
          </cell>
          <cell r="F311">
            <v>0</v>
          </cell>
          <cell r="G311">
            <v>0</v>
          </cell>
          <cell r="H311">
            <v>379.8</v>
          </cell>
          <cell r="J311" t="e">
            <v>#N/A</v>
          </cell>
          <cell r="L311" t="e">
            <v>#N/A</v>
          </cell>
          <cell r="M311">
            <v>53</v>
          </cell>
          <cell r="N311" t="e">
            <v>#N/A</v>
          </cell>
          <cell r="O311" t="e">
            <v>#N/A</v>
          </cell>
          <cell r="P311" t="e">
            <v>#N/A</v>
          </cell>
          <cell r="Q311" t="e">
            <v>#N/A</v>
          </cell>
          <cell r="R311">
            <v>251.85</v>
          </cell>
          <cell r="S311" t="e">
            <v>#N/A</v>
          </cell>
          <cell r="V311">
            <v>0</v>
          </cell>
        </row>
        <row r="312">
          <cell r="A312">
            <v>46504</v>
          </cell>
          <cell r="B312" t="e">
            <v>#N/A</v>
          </cell>
          <cell r="C312"/>
          <cell r="D312" t="e">
            <v>#N/A</v>
          </cell>
          <cell r="F312">
            <v>0</v>
          </cell>
          <cell r="G312">
            <v>0</v>
          </cell>
          <cell r="H312">
            <v>379.8</v>
          </cell>
          <cell r="J312" t="e">
            <v>#N/A</v>
          </cell>
          <cell r="L312" t="e">
            <v>#N/A</v>
          </cell>
          <cell r="M312">
            <v>53</v>
          </cell>
          <cell r="N312" t="e">
            <v>#N/A</v>
          </cell>
          <cell r="O312" t="e">
            <v>#N/A</v>
          </cell>
          <cell r="P312" t="e">
            <v>#N/A</v>
          </cell>
          <cell r="Q312" t="e">
            <v>#N/A</v>
          </cell>
          <cell r="R312">
            <v>251.85</v>
          </cell>
          <cell r="S312" t="e">
            <v>#N/A</v>
          </cell>
          <cell r="V312">
            <v>0</v>
          </cell>
        </row>
        <row r="313">
          <cell r="A313">
            <v>46505</v>
          </cell>
          <cell r="B313" t="e">
            <v>#N/A</v>
          </cell>
          <cell r="C313"/>
          <cell r="D313" t="e">
            <v>#N/A</v>
          </cell>
          <cell r="F313">
            <v>0</v>
          </cell>
          <cell r="G313">
            <v>0</v>
          </cell>
          <cell r="H313">
            <v>379.8</v>
          </cell>
          <cell r="J313" t="e">
            <v>#N/A</v>
          </cell>
          <cell r="L313" t="e">
            <v>#N/A</v>
          </cell>
          <cell r="M313">
            <v>53</v>
          </cell>
          <cell r="N313" t="e">
            <v>#N/A</v>
          </cell>
          <cell r="O313" t="e">
            <v>#N/A</v>
          </cell>
          <cell r="P313" t="e">
            <v>#N/A</v>
          </cell>
          <cell r="Q313" t="e">
            <v>#N/A</v>
          </cell>
          <cell r="R313">
            <v>251.85</v>
          </cell>
          <cell r="S313" t="e">
            <v>#N/A</v>
          </cell>
          <cell r="V313">
            <v>0</v>
          </cell>
        </row>
        <row r="314">
          <cell r="A314">
            <v>46506</v>
          </cell>
          <cell r="B314" t="e">
            <v>#N/A</v>
          </cell>
          <cell r="C314"/>
          <cell r="D314" t="e">
            <v>#N/A</v>
          </cell>
          <cell r="F314">
            <v>0</v>
          </cell>
          <cell r="G314">
            <v>0</v>
          </cell>
          <cell r="H314">
            <v>379.8</v>
          </cell>
          <cell r="J314" t="e">
            <v>#N/A</v>
          </cell>
          <cell r="L314" t="e">
            <v>#N/A</v>
          </cell>
          <cell r="M314">
            <v>53</v>
          </cell>
          <cell r="N314" t="e">
            <v>#N/A</v>
          </cell>
          <cell r="O314" t="e">
            <v>#N/A</v>
          </cell>
          <cell r="P314" t="e">
            <v>#N/A</v>
          </cell>
          <cell r="Q314" t="e">
            <v>#N/A</v>
          </cell>
          <cell r="R314">
            <v>251.85</v>
          </cell>
          <cell r="S314" t="e">
            <v>#N/A</v>
          </cell>
          <cell r="V314">
            <v>0</v>
          </cell>
        </row>
        <row r="315">
          <cell r="A315">
            <v>46507</v>
          </cell>
          <cell r="B315" t="e">
            <v>#N/A</v>
          </cell>
          <cell r="C315"/>
          <cell r="D315" t="e">
            <v>#N/A</v>
          </cell>
          <cell r="F315">
            <v>0</v>
          </cell>
          <cell r="G315">
            <v>0</v>
          </cell>
          <cell r="H315">
            <v>379.8</v>
          </cell>
          <cell r="J315" t="e">
            <v>#N/A</v>
          </cell>
          <cell r="L315" t="e">
            <v>#N/A</v>
          </cell>
          <cell r="M315">
            <v>53</v>
          </cell>
          <cell r="N315" t="e">
            <v>#N/A</v>
          </cell>
          <cell r="O315" t="e">
            <v>#N/A</v>
          </cell>
          <cell r="P315" t="e">
            <v>#N/A</v>
          </cell>
          <cell r="Q315" t="e">
            <v>#N/A</v>
          </cell>
          <cell r="R315">
            <v>251.85</v>
          </cell>
          <cell r="S315" t="e">
            <v>#N/A</v>
          </cell>
          <cell r="V315">
            <v>0</v>
          </cell>
        </row>
        <row r="316">
          <cell r="A316">
            <v>46508</v>
          </cell>
          <cell r="B316" t="e">
            <v>#N/A</v>
          </cell>
          <cell r="C316"/>
          <cell r="D316" t="e">
            <v>#N/A</v>
          </cell>
          <cell r="F316">
            <v>0</v>
          </cell>
          <cell r="G316">
            <v>0</v>
          </cell>
          <cell r="H316">
            <v>379.8</v>
          </cell>
          <cell r="J316" t="e">
            <v>#N/A</v>
          </cell>
          <cell r="L316" t="e">
            <v>#N/A</v>
          </cell>
          <cell r="M316">
            <v>53</v>
          </cell>
          <cell r="N316" t="e">
            <v>#N/A</v>
          </cell>
          <cell r="O316" t="e">
            <v>#N/A</v>
          </cell>
          <cell r="P316" t="e">
            <v>#N/A</v>
          </cell>
          <cell r="Q316" t="e">
            <v>#N/A</v>
          </cell>
          <cell r="R316">
            <v>251.85</v>
          </cell>
          <cell r="S316" t="e">
            <v>#N/A</v>
          </cell>
          <cell r="V316">
            <v>0</v>
          </cell>
        </row>
        <row r="317">
          <cell r="A317">
            <v>46509</v>
          </cell>
          <cell r="B317" t="e">
            <v>#N/A</v>
          </cell>
          <cell r="C317"/>
          <cell r="D317" t="e">
            <v>#N/A</v>
          </cell>
          <cell r="F317">
            <v>0</v>
          </cell>
          <cell r="G317">
            <v>0</v>
          </cell>
          <cell r="H317">
            <v>379.8</v>
          </cell>
          <cell r="J317" t="e">
            <v>#N/A</v>
          </cell>
          <cell r="L317" t="e">
            <v>#N/A</v>
          </cell>
          <cell r="M317">
            <v>53</v>
          </cell>
          <cell r="N317" t="e">
            <v>#N/A</v>
          </cell>
          <cell r="O317" t="e">
            <v>#N/A</v>
          </cell>
          <cell r="P317" t="e">
            <v>#N/A</v>
          </cell>
          <cell r="Q317" t="e">
            <v>#N/A</v>
          </cell>
          <cell r="R317">
            <v>251.85</v>
          </cell>
          <cell r="S317" t="e">
            <v>#N/A</v>
          </cell>
          <cell r="V317">
            <v>0</v>
          </cell>
        </row>
        <row r="318">
          <cell r="A318">
            <v>46510</v>
          </cell>
          <cell r="B318" t="e">
            <v>#N/A</v>
          </cell>
          <cell r="C318"/>
          <cell r="D318" t="e">
            <v>#N/A</v>
          </cell>
          <cell r="F318">
            <v>0</v>
          </cell>
          <cell r="G318">
            <v>0</v>
          </cell>
          <cell r="H318">
            <v>379.8</v>
          </cell>
          <cell r="J318" t="e">
            <v>#N/A</v>
          </cell>
          <cell r="L318" t="e">
            <v>#N/A</v>
          </cell>
          <cell r="M318">
            <v>53</v>
          </cell>
          <cell r="N318" t="e">
            <v>#N/A</v>
          </cell>
          <cell r="O318" t="e">
            <v>#N/A</v>
          </cell>
          <cell r="P318" t="e">
            <v>#N/A</v>
          </cell>
          <cell r="Q318" t="e">
            <v>#N/A</v>
          </cell>
          <cell r="R318">
            <v>251.85</v>
          </cell>
          <cell r="S318" t="e">
            <v>#N/A</v>
          </cell>
          <cell r="V318">
            <v>0</v>
          </cell>
        </row>
        <row r="319">
          <cell r="A319">
            <v>46511</v>
          </cell>
          <cell r="B319" t="e">
            <v>#N/A</v>
          </cell>
          <cell r="C319"/>
          <cell r="D319" t="e">
            <v>#N/A</v>
          </cell>
          <cell r="F319">
            <v>0</v>
          </cell>
          <cell r="G319">
            <v>0</v>
          </cell>
          <cell r="H319">
            <v>379.8</v>
          </cell>
          <cell r="J319" t="e">
            <v>#N/A</v>
          </cell>
          <cell r="L319" t="e">
            <v>#N/A</v>
          </cell>
          <cell r="M319">
            <v>53</v>
          </cell>
          <cell r="N319" t="e">
            <v>#N/A</v>
          </cell>
          <cell r="O319" t="e">
            <v>#N/A</v>
          </cell>
          <cell r="P319" t="e">
            <v>#N/A</v>
          </cell>
          <cell r="Q319" t="e">
            <v>#N/A</v>
          </cell>
          <cell r="R319">
            <v>251.85</v>
          </cell>
          <cell r="S319" t="e">
            <v>#N/A</v>
          </cell>
          <cell r="V319">
            <v>0</v>
          </cell>
        </row>
        <row r="320">
          <cell r="A320">
            <v>46512</v>
          </cell>
          <cell r="B320" t="e">
            <v>#N/A</v>
          </cell>
          <cell r="C320"/>
          <cell r="D320" t="e">
            <v>#N/A</v>
          </cell>
          <cell r="F320">
            <v>0</v>
          </cell>
          <cell r="G320">
            <v>0</v>
          </cell>
          <cell r="H320">
            <v>379.8</v>
          </cell>
          <cell r="J320" t="e">
            <v>#N/A</v>
          </cell>
          <cell r="L320" t="e">
            <v>#N/A</v>
          </cell>
          <cell r="M320">
            <v>53</v>
          </cell>
          <cell r="N320" t="e">
            <v>#N/A</v>
          </cell>
          <cell r="O320" t="e">
            <v>#N/A</v>
          </cell>
          <cell r="P320" t="e">
            <v>#N/A</v>
          </cell>
          <cell r="Q320" t="e">
            <v>#N/A</v>
          </cell>
          <cell r="R320">
            <v>251.85</v>
          </cell>
          <cell r="S320" t="e">
            <v>#N/A</v>
          </cell>
          <cell r="V320">
            <v>0</v>
          </cell>
        </row>
        <row r="321">
          <cell r="A321">
            <v>46513</v>
          </cell>
          <cell r="B321" t="e">
            <v>#N/A</v>
          </cell>
          <cell r="C321"/>
          <cell r="D321" t="e">
            <v>#N/A</v>
          </cell>
          <cell r="F321">
            <v>0</v>
          </cell>
          <cell r="G321">
            <v>0</v>
          </cell>
          <cell r="H321">
            <v>379.8</v>
          </cell>
          <cell r="J321" t="e">
            <v>#N/A</v>
          </cell>
          <cell r="L321" t="e">
            <v>#N/A</v>
          </cell>
          <cell r="M321">
            <v>53</v>
          </cell>
          <cell r="N321" t="e">
            <v>#N/A</v>
          </cell>
          <cell r="O321" t="e">
            <v>#N/A</v>
          </cell>
          <cell r="P321" t="e">
            <v>#N/A</v>
          </cell>
          <cell r="Q321" t="e">
            <v>#N/A</v>
          </cell>
          <cell r="R321">
            <v>251.85</v>
          </cell>
          <cell r="S321" t="e">
            <v>#N/A</v>
          </cell>
          <cell r="V321">
            <v>0</v>
          </cell>
        </row>
        <row r="322">
          <cell r="A322">
            <v>46514</v>
          </cell>
          <cell r="B322" t="e">
            <v>#N/A</v>
          </cell>
          <cell r="C322"/>
          <cell r="D322" t="e">
            <v>#N/A</v>
          </cell>
          <cell r="F322">
            <v>0</v>
          </cell>
          <cell r="G322">
            <v>0</v>
          </cell>
          <cell r="H322">
            <v>379.8</v>
          </cell>
          <cell r="J322" t="e">
            <v>#N/A</v>
          </cell>
          <cell r="L322" t="e">
            <v>#N/A</v>
          </cell>
          <cell r="M322">
            <v>53</v>
          </cell>
          <cell r="N322" t="e">
            <v>#N/A</v>
          </cell>
          <cell r="O322" t="e">
            <v>#N/A</v>
          </cell>
          <cell r="P322" t="e">
            <v>#N/A</v>
          </cell>
          <cell r="Q322" t="e">
            <v>#N/A</v>
          </cell>
          <cell r="R322">
            <v>251.85</v>
          </cell>
          <cell r="S322" t="e">
            <v>#N/A</v>
          </cell>
          <cell r="V322">
            <v>0</v>
          </cell>
        </row>
        <row r="323">
          <cell r="A323">
            <v>46515</v>
          </cell>
          <cell r="B323" t="e">
            <v>#N/A</v>
          </cell>
          <cell r="C323"/>
          <cell r="D323" t="e">
            <v>#N/A</v>
          </cell>
          <cell r="F323">
            <v>0</v>
          </cell>
          <cell r="G323">
            <v>0</v>
          </cell>
          <cell r="H323">
            <v>379.8</v>
          </cell>
          <cell r="J323" t="e">
            <v>#N/A</v>
          </cell>
          <cell r="L323" t="e">
            <v>#N/A</v>
          </cell>
          <cell r="M323">
            <v>53</v>
          </cell>
          <cell r="N323" t="e">
            <v>#N/A</v>
          </cell>
          <cell r="O323" t="e">
            <v>#N/A</v>
          </cell>
          <cell r="P323" t="e">
            <v>#N/A</v>
          </cell>
          <cell r="Q323" t="e">
            <v>#N/A</v>
          </cell>
          <cell r="R323">
            <v>251.85</v>
          </cell>
          <cell r="S323" t="e">
            <v>#N/A</v>
          </cell>
          <cell r="V323">
            <v>0</v>
          </cell>
        </row>
        <row r="324">
          <cell r="A324">
            <v>46516</v>
          </cell>
          <cell r="B324" t="e">
            <v>#N/A</v>
          </cell>
          <cell r="C324"/>
          <cell r="D324" t="e">
            <v>#N/A</v>
          </cell>
          <cell r="F324">
            <v>0</v>
          </cell>
          <cell r="G324">
            <v>0</v>
          </cell>
          <cell r="H324">
            <v>379.8</v>
          </cell>
          <cell r="J324" t="e">
            <v>#N/A</v>
          </cell>
          <cell r="L324" t="e">
            <v>#N/A</v>
          </cell>
          <cell r="M324">
            <v>53</v>
          </cell>
          <cell r="N324" t="e">
            <v>#N/A</v>
          </cell>
          <cell r="O324" t="e">
            <v>#N/A</v>
          </cell>
          <cell r="P324" t="e">
            <v>#N/A</v>
          </cell>
          <cell r="Q324" t="e">
            <v>#N/A</v>
          </cell>
          <cell r="R324">
            <v>251.85</v>
          </cell>
          <cell r="S324" t="e">
            <v>#N/A</v>
          </cell>
          <cell r="V324">
            <v>0</v>
          </cell>
        </row>
        <row r="325">
          <cell r="A325">
            <v>46517</v>
          </cell>
          <cell r="B325" t="e">
            <v>#N/A</v>
          </cell>
          <cell r="C325"/>
          <cell r="D325" t="e">
            <v>#N/A</v>
          </cell>
          <cell r="F325">
            <v>0</v>
          </cell>
          <cell r="G325">
            <v>0</v>
          </cell>
          <cell r="H325">
            <v>379.8</v>
          </cell>
          <cell r="J325" t="e">
            <v>#N/A</v>
          </cell>
          <cell r="L325" t="e">
            <v>#N/A</v>
          </cell>
          <cell r="M325">
            <v>53</v>
          </cell>
          <cell r="N325" t="e">
            <v>#N/A</v>
          </cell>
          <cell r="O325" t="e">
            <v>#N/A</v>
          </cell>
          <cell r="P325" t="e">
            <v>#N/A</v>
          </cell>
          <cell r="Q325" t="e">
            <v>#N/A</v>
          </cell>
          <cell r="R325">
            <v>251.85</v>
          </cell>
          <cell r="S325" t="e">
            <v>#N/A</v>
          </cell>
          <cell r="V325">
            <v>0</v>
          </cell>
        </row>
        <row r="326">
          <cell r="A326">
            <v>46518</v>
          </cell>
          <cell r="B326" t="e">
            <v>#N/A</v>
          </cell>
          <cell r="C326"/>
          <cell r="D326" t="e">
            <v>#N/A</v>
          </cell>
          <cell r="F326">
            <v>0</v>
          </cell>
          <cell r="G326">
            <v>0</v>
          </cell>
          <cell r="H326">
            <v>379.8</v>
          </cell>
          <cell r="J326" t="e">
            <v>#N/A</v>
          </cell>
          <cell r="L326" t="e">
            <v>#N/A</v>
          </cell>
          <cell r="M326">
            <v>53</v>
          </cell>
          <cell r="N326" t="e">
            <v>#N/A</v>
          </cell>
          <cell r="O326" t="e">
            <v>#N/A</v>
          </cell>
          <cell r="P326" t="e">
            <v>#N/A</v>
          </cell>
          <cell r="Q326" t="e">
            <v>#N/A</v>
          </cell>
          <cell r="R326">
            <v>251.85</v>
          </cell>
          <cell r="S326" t="e">
            <v>#N/A</v>
          </cell>
          <cell r="V326">
            <v>0</v>
          </cell>
        </row>
        <row r="327">
          <cell r="A327">
            <v>46519</v>
          </cell>
          <cell r="B327" t="e">
            <v>#N/A</v>
          </cell>
          <cell r="C327"/>
          <cell r="D327" t="e">
            <v>#N/A</v>
          </cell>
          <cell r="F327">
            <v>0</v>
          </cell>
          <cell r="G327">
            <v>0</v>
          </cell>
          <cell r="H327">
            <v>379.8</v>
          </cell>
          <cell r="J327" t="e">
            <v>#N/A</v>
          </cell>
          <cell r="L327" t="e">
            <v>#N/A</v>
          </cell>
          <cell r="M327">
            <v>53</v>
          </cell>
          <cell r="N327" t="e">
            <v>#N/A</v>
          </cell>
          <cell r="O327" t="e">
            <v>#N/A</v>
          </cell>
          <cell r="P327" t="e">
            <v>#N/A</v>
          </cell>
          <cell r="Q327" t="e">
            <v>#N/A</v>
          </cell>
          <cell r="R327">
            <v>251.85</v>
          </cell>
          <cell r="S327" t="e">
            <v>#N/A</v>
          </cell>
          <cell r="V327">
            <v>0</v>
          </cell>
        </row>
        <row r="328">
          <cell r="A328">
            <v>46520</v>
          </cell>
          <cell r="B328" t="e">
            <v>#N/A</v>
          </cell>
          <cell r="C328"/>
          <cell r="D328" t="e">
            <v>#N/A</v>
          </cell>
          <cell r="F328">
            <v>0</v>
          </cell>
          <cell r="G328">
            <v>0</v>
          </cell>
          <cell r="H328">
            <v>379.8</v>
          </cell>
          <cell r="J328" t="e">
            <v>#N/A</v>
          </cell>
          <cell r="L328" t="e">
            <v>#N/A</v>
          </cell>
          <cell r="M328">
            <v>53</v>
          </cell>
          <cell r="N328" t="e">
            <v>#N/A</v>
          </cell>
          <cell r="O328" t="e">
            <v>#N/A</v>
          </cell>
          <cell r="P328" t="e">
            <v>#N/A</v>
          </cell>
          <cell r="Q328" t="e">
            <v>#N/A</v>
          </cell>
          <cell r="R328">
            <v>251.85</v>
          </cell>
          <cell r="S328" t="e">
            <v>#N/A</v>
          </cell>
          <cell r="V328">
            <v>0</v>
          </cell>
        </row>
        <row r="329">
          <cell r="A329">
            <v>46521</v>
          </cell>
          <cell r="B329" t="e">
            <v>#N/A</v>
          </cell>
          <cell r="C329"/>
          <cell r="D329" t="e">
            <v>#N/A</v>
          </cell>
          <cell r="F329">
            <v>0</v>
          </cell>
          <cell r="G329">
            <v>0</v>
          </cell>
          <cell r="H329">
            <v>379.8</v>
          </cell>
          <cell r="J329" t="e">
            <v>#N/A</v>
          </cell>
          <cell r="L329" t="e">
            <v>#N/A</v>
          </cell>
          <cell r="M329">
            <v>53</v>
          </cell>
          <cell r="N329" t="e">
            <v>#N/A</v>
          </cell>
          <cell r="O329" t="e">
            <v>#N/A</v>
          </cell>
          <cell r="P329" t="e">
            <v>#N/A</v>
          </cell>
          <cell r="Q329" t="e">
            <v>#N/A</v>
          </cell>
          <cell r="R329">
            <v>251.85</v>
          </cell>
          <cell r="S329" t="e">
            <v>#N/A</v>
          </cell>
          <cell r="V329">
            <v>0</v>
          </cell>
        </row>
        <row r="330">
          <cell r="A330">
            <v>46522</v>
          </cell>
          <cell r="B330" t="e">
            <v>#N/A</v>
          </cell>
          <cell r="C330"/>
          <cell r="D330" t="e">
            <v>#N/A</v>
          </cell>
          <cell r="F330">
            <v>0</v>
          </cell>
          <cell r="G330">
            <v>0</v>
          </cell>
          <cell r="H330">
            <v>379.8</v>
          </cell>
          <cell r="J330" t="e">
            <v>#N/A</v>
          </cell>
          <cell r="L330" t="e">
            <v>#N/A</v>
          </cell>
          <cell r="M330">
            <v>53</v>
          </cell>
          <cell r="N330" t="e">
            <v>#N/A</v>
          </cell>
          <cell r="O330" t="e">
            <v>#N/A</v>
          </cell>
          <cell r="P330" t="e">
            <v>#N/A</v>
          </cell>
          <cell r="Q330" t="e">
            <v>#N/A</v>
          </cell>
          <cell r="R330">
            <v>251.85</v>
          </cell>
          <cell r="S330" t="e">
            <v>#N/A</v>
          </cell>
          <cell r="V330">
            <v>0</v>
          </cell>
        </row>
        <row r="331">
          <cell r="A331">
            <v>46523</v>
          </cell>
          <cell r="B331" t="e">
            <v>#N/A</v>
          </cell>
          <cell r="C331"/>
          <cell r="D331" t="e">
            <v>#N/A</v>
          </cell>
          <cell r="F331">
            <v>0</v>
          </cell>
          <cell r="G331">
            <v>0</v>
          </cell>
          <cell r="H331">
            <v>379.8</v>
          </cell>
          <cell r="J331" t="e">
            <v>#N/A</v>
          </cell>
          <cell r="L331" t="e">
            <v>#N/A</v>
          </cell>
          <cell r="M331">
            <v>53</v>
          </cell>
          <cell r="N331" t="e">
            <v>#N/A</v>
          </cell>
          <cell r="O331" t="e">
            <v>#N/A</v>
          </cell>
          <cell r="P331" t="e">
            <v>#N/A</v>
          </cell>
          <cell r="Q331" t="e">
            <v>#N/A</v>
          </cell>
          <cell r="R331">
            <v>251.85</v>
          </cell>
          <cell r="S331" t="e">
            <v>#N/A</v>
          </cell>
          <cell r="V331">
            <v>0</v>
          </cell>
        </row>
        <row r="332">
          <cell r="A332">
            <v>46524</v>
          </cell>
          <cell r="B332" t="e">
            <v>#N/A</v>
          </cell>
          <cell r="C332"/>
          <cell r="D332" t="e">
            <v>#N/A</v>
          </cell>
          <cell r="F332">
            <v>0</v>
          </cell>
          <cell r="G332">
            <v>0</v>
          </cell>
          <cell r="H332">
            <v>379.8</v>
          </cell>
          <cell r="J332" t="e">
            <v>#N/A</v>
          </cell>
          <cell r="L332" t="e">
            <v>#N/A</v>
          </cell>
          <cell r="M332">
            <v>53</v>
          </cell>
          <cell r="N332" t="e">
            <v>#N/A</v>
          </cell>
          <cell r="O332" t="e">
            <v>#N/A</v>
          </cell>
          <cell r="P332" t="e">
            <v>#N/A</v>
          </cell>
          <cell r="Q332" t="e">
            <v>#N/A</v>
          </cell>
          <cell r="R332">
            <v>251.85</v>
          </cell>
          <cell r="S332" t="e">
            <v>#N/A</v>
          </cell>
          <cell r="V332">
            <v>0</v>
          </cell>
        </row>
        <row r="333">
          <cell r="A333">
            <v>46525</v>
          </cell>
          <cell r="B333" t="e">
            <v>#N/A</v>
          </cell>
          <cell r="C333"/>
          <cell r="D333" t="e">
            <v>#N/A</v>
          </cell>
          <cell r="F333">
            <v>0</v>
          </cell>
          <cell r="G333">
            <v>0</v>
          </cell>
          <cell r="H333">
            <v>379.8</v>
          </cell>
          <cell r="J333" t="e">
            <v>#N/A</v>
          </cell>
          <cell r="L333" t="e">
            <v>#N/A</v>
          </cell>
          <cell r="M333">
            <v>53</v>
          </cell>
          <cell r="N333" t="e">
            <v>#N/A</v>
          </cell>
          <cell r="O333" t="e">
            <v>#N/A</v>
          </cell>
          <cell r="P333" t="e">
            <v>#N/A</v>
          </cell>
          <cell r="Q333" t="e">
            <v>#N/A</v>
          </cell>
          <cell r="R333">
            <v>251.85</v>
          </cell>
          <cell r="S333" t="e">
            <v>#N/A</v>
          </cell>
          <cell r="V333">
            <v>0</v>
          </cell>
        </row>
        <row r="334">
          <cell r="A334">
            <v>46526</v>
          </cell>
          <cell r="B334" t="e">
            <v>#N/A</v>
          </cell>
          <cell r="C334"/>
          <cell r="D334" t="e">
            <v>#N/A</v>
          </cell>
          <cell r="F334">
            <v>0</v>
          </cell>
          <cell r="G334">
            <v>0</v>
          </cell>
          <cell r="H334">
            <v>379.8</v>
          </cell>
          <cell r="J334" t="e">
            <v>#N/A</v>
          </cell>
          <cell r="L334" t="e">
            <v>#N/A</v>
          </cell>
          <cell r="M334">
            <v>53</v>
          </cell>
          <cell r="N334" t="e">
            <v>#N/A</v>
          </cell>
          <cell r="O334" t="e">
            <v>#N/A</v>
          </cell>
          <cell r="P334" t="e">
            <v>#N/A</v>
          </cell>
          <cell r="Q334" t="e">
            <v>#N/A</v>
          </cell>
          <cell r="R334">
            <v>251.85</v>
          </cell>
          <cell r="S334" t="e">
            <v>#N/A</v>
          </cell>
          <cell r="V334">
            <v>0</v>
          </cell>
        </row>
        <row r="335">
          <cell r="A335">
            <v>46527</v>
          </cell>
          <cell r="B335" t="e">
            <v>#N/A</v>
          </cell>
          <cell r="C335"/>
          <cell r="D335" t="e">
            <v>#N/A</v>
          </cell>
          <cell r="F335">
            <v>0</v>
          </cell>
          <cell r="G335">
            <v>0</v>
          </cell>
          <cell r="H335">
            <v>379.8</v>
          </cell>
          <cell r="J335" t="e">
            <v>#N/A</v>
          </cell>
          <cell r="L335" t="e">
            <v>#N/A</v>
          </cell>
          <cell r="M335">
            <v>53</v>
          </cell>
          <cell r="N335" t="e">
            <v>#N/A</v>
          </cell>
          <cell r="O335" t="e">
            <v>#N/A</v>
          </cell>
          <cell r="P335" t="e">
            <v>#N/A</v>
          </cell>
          <cell r="Q335" t="e">
            <v>#N/A</v>
          </cell>
          <cell r="R335">
            <v>251.85</v>
          </cell>
          <cell r="S335" t="e">
            <v>#N/A</v>
          </cell>
          <cell r="V335">
            <v>0</v>
          </cell>
        </row>
        <row r="336">
          <cell r="A336">
            <v>46528</v>
          </cell>
          <cell r="B336" t="e">
            <v>#N/A</v>
          </cell>
          <cell r="C336"/>
          <cell r="D336" t="e">
            <v>#N/A</v>
          </cell>
          <cell r="F336">
            <v>0</v>
          </cell>
          <cell r="G336">
            <v>0</v>
          </cell>
          <cell r="H336">
            <v>379.8</v>
          </cell>
          <cell r="J336" t="e">
            <v>#N/A</v>
          </cell>
          <cell r="L336" t="e">
            <v>#N/A</v>
          </cell>
          <cell r="M336">
            <v>53</v>
          </cell>
          <cell r="N336" t="e">
            <v>#N/A</v>
          </cell>
          <cell r="O336" t="e">
            <v>#N/A</v>
          </cell>
          <cell r="P336" t="e">
            <v>#N/A</v>
          </cell>
          <cell r="Q336" t="e">
            <v>#N/A</v>
          </cell>
          <cell r="R336">
            <v>251.85</v>
          </cell>
          <cell r="S336" t="e">
            <v>#N/A</v>
          </cell>
          <cell r="V336">
            <v>0</v>
          </cell>
        </row>
        <row r="337">
          <cell r="A337">
            <v>46529</v>
          </cell>
          <cell r="B337" t="e">
            <v>#N/A</v>
          </cell>
          <cell r="C337"/>
          <cell r="D337" t="e">
            <v>#N/A</v>
          </cell>
          <cell r="F337">
            <v>0</v>
          </cell>
          <cell r="G337">
            <v>0</v>
          </cell>
          <cell r="H337">
            <v>379.8</v>
          </cell>
          <cell r="J337" t="e">
            <v>#N/A</v>
          </cell>
          <cell r="L337" t="e">
            <v>#N/A</v>
          </cell>
          <cell r="M337">
            <v>53</v>
          </cell>
          <cell r="N337" t="e">
            <v>#N/A</v>
          </cell>
          <cell r="O337" t="e">
            <v>#N/A</v>
          </cell>
          <cell r="P337" t="e">
            <v>#N/A</v>
          </cell>
          <cell r="Q337" t="e">
            <v>#N/A</v>
          </cell>
          <cell r="R337">
            <v>251.85</v>
          </cell>
          <cell r="S337" t="e">
            <v>#N/A</v>
          </cell>
          <cell r="V337">
            <v>0</v>
          </cell>
        </row>
        <row r="338">
          <cell r="A338">
            <v>46530</v>
          </cell>
          <cell r="B338" t="e">
            <v>#N/A</v>
          </cell>
          <cell r="C338"/>
          <cell r="D338" t="e">
            <v>#N/A</v>
          </cell>
          <cell r="F338">
            <v>0</v>
          </cell>
          <cell r="G338">
            <v>0</v>
          </cell>
          <cell r="H338">
            <v>379.8</v>
          </cell>
          <cell r="J338" t="e">
            <v>#N/A</v>
          </cell>
          <cell r="L338" t="e">
            <v>#N/A</v>
          </cell>
          <cell r="M338">
            <v>53</v>
          </cell>
          <cell r="N338" t="e">
            <v>#N/A</v>
          </cell>
          <cell r="O338" t="e">
            <v>#N/A</v>
          </cell>
          <cell r="P338" t="e">
            <v>#N/A</v>
          </cell>
          <cell r="Q338" t="e">
            <v>#N/A</v>
          </cell>
          <cell r="R338">
            <v>251.85</v>
          </cell>
          <cell r="S338" t="e">
            <v>#N/A</v>
          </cell>
          <cell r="V338">
            <v>0</v>
          </cell>
        </row>
        <row r="339">
          <cell r="A339">
            <v>46531</v>
          </cell>
          <cell r="B339" t="e">
            <v>#N/A</v>
          </cell>
          <cell r="C339"/>
          <cell r="D339" t="e">
            <v>#N/A</v>
          </cell>
          <cell r="F339">
            <v>0</v>
          </cell>
          <cell r="G339">
            <v>0</v>
          </cell>
          <cell r="H339">
            <v>379.8</v>
          </cell>
          <cell r="J339" t="e">
            <v>#N/A</v>
          </cell>
          <cell r="L339" t="e">
            <v>#N/A</v>
          </cell>
          <cell r="M339">
            <v>53</v>
          </cell>
          <cell r="N339" t="e">
            <v>#N/A</v>
          </cell>
          <cell r="O339" t="e">
            <v>#N/A</v>
          </cell>
          <cell r="P339" t="e">
            <v>#N/A</v>
          </cell>
          <cell r="Q339" t="e">
            <v>#N/A</v>
          </cell>
          <cell r="R339">
            <v>251.85</v>
          </cell>
          <cell r="S339" t="e">
            <v>#N/A</v>
          </cell>
          <cell r="V339">
            <v>0</v>
          </cell>
        </row>
        <row r="340">
          <cell r="A340">
            <v>46532</v>
          </cell>
          <cell r="B340" t="e">
            <v>#N/A</v>
          </cell>
          <cell r="C340"/>
          <cell r="D340" t="e">
            <v>#N/A</v>
          </cell>
          <cell r="F340">
            <v>0</v>
          </cell>
          <cell r="G340">
            <v>0</v>
          </cell>
          <cell r="H340">
            <v>379.8</v>
          </cell>
          <cell r="J340" t="e">
            <v>#N/A</v>
          </cell>
          <cell r="L340" t="e">
            <v>#N/A</v>
          </cell>
          <cell r="M340">
            <v>53</v>
          </cell>
          <cell r="N340" t="e">
            <v>#N/A</v>
          </cell>
          <cell r="O340" t="e">
            <v>#N/A</v>
          </cell>
          <cell r="P340" t="e">
            <v>#N/A</v>
          </cell>
          <cell r="Q340" t="e">
            <v>#N/A</v>
          </cell>
          <cell r="R340">
            <v>251.85</v>
          </cell>
          <cell r="S340" t="e">
            <v>#N/A</v>
          </cell>
          <cell r="V340">
            <v>0</v>
          </cell>
        </row>
        <row r="341">
          <cell r="A341">
            <v>46533</v>
          </cell>
          <cell r="B341" t="e">
            <v>#N/A</v>
          </cell>
          <cell r="C341"/>
          <cell r="D341" t="e">
            <v>#N/A</v>
          </cell>
          <cell r="F341">
            <v>0</v>
          </cell>
          <cell r="G341">
            <v>0</v>
          </cell>
          <cell r="H341">
            <v>379.8</v>
          </cell>
          <cell r="J341" t="e">
            <v>#N/A</v>
          </cell>
          <cell r="L341" t="e">
            <v>#N/A</v>
          </cell>
          <cell r="M341">
            <v>53</v>
          </cell>
          <cell r="N341" t="e">
            <v>#N/A</v>
          </cell>
          <cell r="O341" t="e">
            <v>#N/A</v>
          </cell>
          <cell r="P341" t="e">
            <v>#N/A</v>
          </cell>
          <cell r="Q341" t="e">
            <v>#N/A</v>
          </cell>
          <cell r="R341">
            <v>251.85</v>
          </cell>
          <cell r="S341" t="e">
            <v>#N/A</v>
          </cell>
          <cell r="V341">
            <v>0</v>
          </cell>
        </row>
        <row r="342">
          <cell r="A342">
            <v>46534</v>
          </cell>
          <cell r="B342" t="e">
            <v>#N/A</v>
          </cell>
          <cell r="C342"/>
          <cell r="D342" t="e">
            <v>#N/A</v>
          </cell>
          <cell r="F342">
            <v>0</v>
          </cell>
          <cell r="G342">
            <v>0</v>
          </cell>
          <cell r="H342">
            <v>379.8</v>
          </cell>
          <cell r="J342" t="e">
            <v>#N/A</v>
          </cell>
          <cell r="L342" t="e">
            <v>#N/A</v>
          </cell>
          <cell r="M342">
            <v>53</v>
          </cell>
          <cell r="N342" t="e">
            <v>#N/A</v>
          </cell>
          <cell r="O342" t="e">
            <v>#N/A</v>
          </cell>
          <cell r="P342" t="e">
            <v>#N/A</v>
          </cell>
          <cell r="Q342" t="e">
            <v>#N/A</v>
          </cell>
          <cell r="R342">
            <v>251.85</v>
          </cell>
          <cell r="S342" t="e">
            <v>#N/A</v>
          </cell>
          <cell r="V342">
            <v>0</v>
          </cell>
        </row>
        <row r="343">
          <cell r="A343">
            <v>46535</v>
          </cell>
          <cell r="B343" t="e">
            <v>#N/A</v>
          </cell>
          <cell r="C343"/>
          <cell r="D343" t="e">
            <v>#N/A</v>
          </cell>
          <cell r="F343">
            <v>0</v>
          </cell>
          <cell r="G343">
            <v>0</v>
          </cell>
          <cell r="H343">
            <v>379.8</v>
          </cell>
          <cell r="J343" t="e">
            <v>#N/A</v>
          </cell>
          <cell r="L343" t="e">
            <v>#N/A</v>
          </cell>
          <cell r="M343">
            <v>53</v>
          </cell>
          <cell r="N343" t="e">
            <v>#N/A</v>
          </cell>
          <cell r="O343" t="e">
            <v>#N/A</v>
          </cell>
          <cell r="P343" t="e">
            <v>#N/A</v>
          </cell>
          <cell r="Q343" t="e">
            <v>#N/A</v>
          </cell>
          <cell r="R343">
            <v>251.85</v>
          </cell>
          <cell r="S343" t="e">
            <v>#N/A</v>
          </cell>
          <cell r="V343">
            <v>0</v>
          </cell>
        </row>
        <row r="344">
          <cell r="A344">
            <v>46536</v>
          </cell>
          <cell r="B344" t="e">
            <v>#N/A</v>
          </cell>
          <cell r="C344"/>
          <cell r="D344" t="e">
            <v>#N/A</v>
          </cell>
          <cell r="F344">
            <v>0</v>
          </cell>
          <cell r="G344">
            <v>0</v>
          </cell>
          <cell r="H344">
            <v>379.8</v>
          </cell>
          <cell r="J344" t="e">
            <v>#N/A</v>
          </cell>
          <cell r="L344" t="e">
            <v>#N/A</v>
          </cell>
          <cell r="M344">
            <v>53</v>
          </cell>
          <cell r="N344" t="e">
            <v>#N/A</v>
          </cell>
          <cell r="O344" t="e">
            <v>#N/A</v>
          </cell>
          <cell r="P344" t="e">
            <v>#N/A</v>
          </cell>
          <cell r="Q344" t="e">
            <v>#N/A</v>
          </cell>
          <cell r="R344">
            <v>251.85</v>
          </cell>
          <cell r="S344" t="e">
            <v>#N/A</v>
          </cell>
          <cell r="V344">
            <v>0</v>
          </cell>
        </row>
        <row r="345">
          <cell r="A345">
            <v>46537</v>
          </cell>
          <cell r="B345" t="e">
            <v>#N/A</v>
          </cell>
          <cell r="C345"/>
          <cell r="D345" t="e">
            <v>#N/A</v>
          </cell>
          <cell r="F345">
            <v>0</v>
          </cell>
          <cell r="G345">
            <v>0</v>
          </cell>
          <cell r="H345">
            <v>379.8</v>
          </cell>
          <cell r="J345" t="e">
            <v>#N/A</v>
          </cell>
          <cell r="L345" t="e">
            <v>#N/A</v>
          </cell>
          <cell r="M345">
            <v>53</v>
          </cell>
          <cell r="N345" t="e">
            <v>#N/A</v>
          </cell>
          <cell r="O345" t="e">
            <v>#N/A</v>
          </cell>
          <cell r="P345" t="e">
            <v>#N/A</v>
          </cell>
          <cell r="Q345" t="e">
            <v>#N/A</v>
          </cell>
          <cell r="R345">
            <v>251.85</v>
          </cell>
          <cell r="S345" t="e">
            <v>#N/A</v>
          </cell>
          <cell r="V345">
            <v>0</v>
          </cell>
        </row>
        <row r="346">
          <cell r="A346">
            <v>46538</v>
          </cell>
          <cell r="B346" t="e">
            <v>#N/A</v>
          </cell>
          <cell r="C346"/>
          <cell r="D346" t="e">
            <v>#N/A</v>
          </cell>
          <cell r="F346">
            <v>0</v>
          </cell>
          <cell r="G346">
            <v>0</v>
          </cell>
          <cell r="H346">
            <v>379.8</v>
          </cell>
          <cell r="J346" t="e">
            <v>#N/A</v>
          </cell>
          <cell r="L346" t="e">
            <v>#N/A</v>
          </cell>
          <cell r="M346">
            <v>53</v>
          </cell>
          <cell r="N346" t="e">
            <v>#N/A</v>
          </cell>
          <cell r="O346" t="e">
            <v>#N/A</v>
          </cell>
          <cell r="P346" t="e">
            <v>#N/A</v>
          </cell>
          <cell r="Q346" t="e">
            <v>#N/A</v>
          </cell>
          <cell r="R346">
            <v>251.85</v>
          </cell>
          <cell r="S346" t="e">
            <v>#N/A</v>
          </cell>
          <cell r="V346">
            <v>0</v>
          </cell>
        </row>
        <row r="347">
          <cell r="A347">
            <v>46539</v>
          </cell>
          <cell r="B347" t="e">
            <v>#N/A</v>
          </cell>
          <cell r="C347"/>
          <cell r="D347" t="e">
            <v>#N/A</v>
          </cell>
          <cell r="F347">
            <v>0</v>
          </cell>
          <cell r="G347">
            <v>0</v>
          </cell>
          <cell r="H347">
            <v>379.8</v>
          </cell>
          <cell r="J347" t="e">
            <v>#N/A</v>
          </cell>
          <cell r="L347" t="e">
            <v>#N/A</v>
          </cell>
          <cell r="M347">
            <v>53</v>
          </cell>
          <cell r="N347" t="e">
            <v>#N/A</v>
          </cell>
          <cell r="O347" t="e">
            <v>#N/A</v>
          </cell>
          <cell r="P347" t="e">
            <v>#N/A</v>
          </cell>
          <cell r="Q347" t="e">
            <v>#N/A</v>
          </cell>
          <cell r="R347">
            <v>251.85</v>
          </cell>
          <cell r="S347" t="e">
            <v>#N/A</v>
          </cell>
          <cell r="V347">
            <v>0</v>
          </cell>
        </row>
        <row r="348">
          <cell r="A348">
            <v>46540</v>
          </cell>
          <cell r="B348" t="e">
            <v>#N/A</v>
          </cell>
          <cell r="C348"/>
          <cell r="D348" t="e">
            <v>#N/A</v>
          </cell>
          <cell r="F348">
            <v>0</v>
          </cell>
          <cell r="G348">
            <v>0</v>
          </cell>
          <cell r="H348">
            <v>379.8</v>
          </cell>
          <cell r="J348" t="e">
            <v>#N/A</v>
          </cell>
          <cell r="L348" t="e">
            <v>#N/A</v>
          </cell>
          <cell r="M348">
            <v>53</v>
          </cell>
          <cell r="N348" t="e">
            <v>#N/A</v>
          </cell>
          <cell r="O348" t="e">
            <v>#N/A</v>
          </cell>
          <cell r="P348" t="e">
            <v>#N/A</v>
          </cell>
          <cell r="Q348" t="e">
            <v>#N/A</v>
          </cell>
          <cell r="R348">
            <v>251.85</v>
          </cell>
          <cell r="S348" t="e">
            <v>#N/A</v>
          </cell>
          <cell r="V348">
            <v>0</v>
          </cell>
        </row>
        <row r="349">
          <cell r="A349">
            <v>46541</v>
          </cell>
          <cell r="B349" t="e">
            <v>#N/A</v>
          </cell>
          <cell r="C349"/>
          <cell r="D349" t="e">
            <v>#N/A</v>
          </cell>
          <cell r="F349">
            <v>0</v>
          </cell>
          <cell r="G349">
            <v>0</v>
          </cell>
          <cell r="H349">
            <v>379.8</v>
          </cell>
          <cell r="J349" t="e">
            <v>#N/A</v>
          </cell>
          <cell r="L349" t="e">
            <v>#N/A</v>
          </cell>
          <cell r="M349">
            <v>53</v>
          </cell>
          <cell r="N349" t="e">
            <v>#N/A</v>
          </cell>
          <cell r="O349" t="e">
            <v>#N/A</v>
          </cell>
          <cell r="P349" t="e">
            <v>#N/A</v>
          </cell>
          <cell r="Q349" t="e">
            <v>#N/A</v>
          </cell>
          <cell r="R349">
            <v>251.85</v>
          </cell>
          <cell r="S349" t="e">
            <v>#N/A</v>
          </cell>
          <cell r="V349">
            <v>0</v>
          </cell>
        </row>
        <row r="350">
          <cell r="A350">
            <v>46542</v>
          </cell>
          <cell r="B350" t="e">
            <v>#N/A</v>
          </cell>
          <cell r="C350"/>
          <cell r="D350" t="e">
            <v>#N/A</v>
          </cell>
          <cell r="F350">
            <v>0</v>
          </cell>
          <cell r="G350">
            <v>0</v>
          </cell>
          <cell r="H350">
            <v>379.8</v>
          </cell>
          <cell r="J350" t="e">
            <v>#N/A</v>
          </cell>
          <cell r="L350" t="e">
            <v>#N/A</v>
          </cell>
          <cell r="M350">
            <v>53</v>
          </cell>
          <cell r="N350" t="e">
            <v>#N/A</v>
          </cell>
          <cell r="O350" t="e">
            <v>#N/A</v>
          </cell>
          <cell r="P350" t="e">
            <v>#N/A</v>
          </cell>
          <cell r="Q350" t="e">
            <v>#N/A</v>
          </cell>
          <cell r="R350">
            <v>251.85</v>
          </cell>
          <cell r="S350" t="e">
            <v>#N/A</v>
          </cell>
          <cell r="V350">
            <v>0</v>
          </cell>
        </row>
        <row r="351">
          <cell r="A351">
            <v>46543</v>
          </cell>
          <cell r="B351" t="e">
            <v>#N/A</v>
          </cell>
          <cell r="C351"/>
          <cell r="D351" t="e">
            <v>#N/A</v>
          </cell>
          <cell r="F351">
            <v>0</v>
          </cell>
          <cell r="G351">
            <v>0</v>
          </cell>
          <cell r="H351">
            <v>379.8</v>
          </cell>
          <cell r="J351" t="e">
            <v>#N/A</v>
          </cell>
          <cell r="L351" t="e">
            <v>#N/A</v>
          </cell>
          <cell r="M351">
            <v>53</v>
          </cell>
          <cell r="N351" t="e">
            <v>#N/A</v>
          </cell>
          <cell r="O351" t="e">
            <v>#N/A</v>
          </cell>
          <cell r="P351" t="e">
            <v>#N/A</v>
          </cell>
          <cell r="Q351" t="e">
            <v>#N/A</v>
          </cell>
          <cell r="R351">
            <v>251.85</v>
          </cell>
          <cell r="S351" t="e">
            <v>#N/A</v>
          </cell>
          <cell r="V351">
            <v>0</v>
          </cell>
        </row>
        <row r="352">
          <cell r="A352">
            <v>46544</v>
          </cell>
          <cell r="B352" t="e">
            <v>#N/A</v>
          </cell>
          <cell r="C352"/>
          <cell r="D352" t="e">
            <v>#N/A</v>
          </cell>
          <cell r="F352">
            <v>0</v>
          </cell>
          <cell r="G352">
            <v>0</v>
          </cell>
          <cell r="H352">
            <v>379.8</v>
          </cell>
          <cell r="J352" t="e">
            <v>#N/A</v>
          </cell>
          <cell r="L352" t="e">
            <v>#N/A</v>
          </cell>
          <cell r="M352">
            <v>53</v>
          </cell>
          <cell r="N352" t="e">
            <v>#N/A</v>
          </cell>
          <cell r="O352" t="e">
            <v>#N/A</v>
          </cell>
          <cell r="P352" t="e">
            <v>#N/A</v>
          </cell>
          <cell r="Q352" t="e">
            <v>#N/A</v>
          </cell>
          <cell r="R352">
            <v>251.85</v>
          </cell>
          <cell r="S352" t="e">
            <v>#N/A</v>
          </cell>
          <cell r="V352">
            <v>0</v>
          </cell>
        </row>
        <row r="353">
          <cell r="A353">
            <v>46545</v>
          </cell>
          <cell r="B353" t="e">
            <v>#N/A</v>
          </cell>
          <cell r="C353"/>
          <cell r="D353" t="e">
            <v>#N/A</v>
          </cell>
          <cell r="F353">
            <v>0</v>
          </cell>
          <cell r="G353">
            <v>0</v>
          </cell>
          <cell r="H353">
            <v>379.8</v>
          </cell>
          <cell r="J353" t="e">
            <v>#N/A</v>
          </cell>
          <cell r="L353" t="e">
            <v>#N/A</v>
          </cell>
          <cell r="M353">
            <v>53</v>
          </cell>
          <cell r="N353" t="e">
            <v>#N/A</v>
          </cell>
          <cell r="O353" t="e">
            <v>#N/A</v>
          </cell>
          <cell r="P353" t="e">
            <v>#N/A</v>
          </cell>
          <cell r="Q353" t="e">
            <v>#N/A</v>
          </cell>
          <cell r="R353">
            <v>251.85</v>
          </cell>
          <cell r="S353" t="e">
            <v>#N/A</v>
          </cell>
          <cell r="V353">
            <v>0</v>
          </cell>
        </row>
        <row r="354">
          <cell r="A354">
            <v>46546</v>
          </cell>
          <cell r="B354" t="e">
            <v>#N/A</v>
          </cell>
          <cell r="C354"/>
          <cell r="D354" t="e">
            <v>#N/A</v>
          </cell>
          <cell r="F354">
            <v>0</v>
          </cell>
          <cell r="G354">
            <v>0</v>
          </cell>
          <cell r="H354">
            <v>379.8</v>
          </cell>
          <cell r="J354" t="e">
            <v>#N/A</v>
          </cell>
          <cell r="L354" t="e">
            <v>#N/A</v>
          </cell>
          <cell r="M354">
            <v>53</v>
          </cell>
          <cell r="N354" t="e">
            <v>#N/A</v>
          </cell>
          <cell r="O354" t="e">
            <v>#N/A</v>
          </cell>
          <cell r="P354" t="e">
            <v>#N/A</v>
          </cell>
          <cell r="Q354" t="e">
            <v>#N/A</v>
          </cell>
          <cell r="R354">
            <v>251.85</v>
          </cell>
          <cell r="S354" t="e">
            <v>#N/A</v>
          </cell>
          <cell r="V354">
            <v>0</v>
          </cell>
        </row>
        <row r="355">
          <cell r="A355">
            <v>46547</v>
          </cell>
          <cell r="B355" t="e">
            <v>#N/A</v>
          </cell>
          <cell r="C355"/>
          <cell r="D355" t="e">
            <v>#N/A</v>
          </cell>
          <cell r="F355">
            <v>0</v>
          </cell>
          <cell r="G355">
            <v>0</v>
          </cell>
          <cell r="H355">
            <v>379.8</v>
          </cell>
          <cell r="J355" t="e">
            <v>#N/A</v>
          </cell>
          <cell r="L355" t="e">
            <v>#N/A</v>
          </cell>
          <cell r="M355">
            <v>53</v>
          </cell>
          <cell r="N355" t="e">
            <v>#N/A</v>
          </cell>
          <cell r="O355" t="e">
            <v>#N/A</v>
          </cell>
          <cell r="P355" t="e">
            <v>#N/A</v>
          </cell>
          <cell r="Q355" t="e">
            <v>#N/A</v>
          </cell>
          <cell r="R355">
            <v>251.85</v>
          </cell>
          <cell r="S355" t="e">
            <v>#N/A</v>
          </cell>
          <cell r="V355">
            <v>0</v>
          </cell>
        </row>
        <row r="356">
          <cell r="A356">
            <v>46548</v>
          </cell>
          <cell r="B356" t="e">
            <v>#N/A</v>
          </cell>
          <cell r="C356"/>
          <cell r="D356" t="e">
            <v>#N/A</v>
          </cell>
          <cell r="F356">
            <v>0</v>
          </cell>
          <cell r="G356">
            <v>0</v>
          </cell>
          <cell r="H356">
            <v>379.8</v>
          </cell>
          <cell r="J356" t="e">
            <v>#N/A</v>
          </cell>
          <cell r="L356" t="e">
            <v>#N/A</v>
          </cell>
          <cell r="M356">
            <v>53</v>
          </cell>
          <cell r="N356" t="e">
            <v>#N/A</v>
          </cell>
          <cell r="O356" t="e">
            <v>#N/A</v>
          </cell>
          <cell r="P356" t="e">
            <v>#N/A</v>
          </cell>
          <cell r="Q356" t="e">
            <v>#N/A</v>
          </cell>
          <cell r="R356">
            <v>251.85</v>
          </cell>
          <cell r="S356" t="e">
            <v>#N/A</v>
          </cell>
          <cell r="V356">
            <v>0</v>
          </cell>
        </row>
        <row r="357">
          <cell r="A357">
            <v>46549</v>
          </cell>
          <cell r="B357" t="e">
            <v>#N/A</v>
          </cell>
          <cell r="C357"/>
          <cell r="D357" t="e">
            <v>#N/A</v>
          </cell>
          <cell r="F357">
            <v>0</v>
          </cell>
          <cell r="G357">
            <v>0</v>
          </cell>
          <cell r="H357">
            <v>379.8</v>
          </cell>
          <cell r="J357" t="e">
            <v>#N/A</v>
          </cell>
          <cell r="L357" t="e">
            <v>#N/A</v>
          </cell>
          <cell r="M357">
            <v>53</v>
          </cell>
          <cell r="N357" t="e">
            <v>#N/A</v>
          </cell>
          <cell r="O357" t="e">
            <v>#N/A</v>
          </cell>
          <cell r="P357" t="e">
            <v>#N/A</v>
          </cell>
          <cell r="Q357" t="e">
            <v>#N/A</v>
          </cell>
          <cell r="R357">
            <v>251.85</v>
          </cell>
          <cell r="S357" t="e">
            <v>#N/A</v>
          </cell>
          <cell r="V357">
            <v>0</v>
          </cell>
        </row>
        <row r="358">
          <cell r="A358">
            <v>46550</v>
          </cell>
          <cell r="B358" t="e">
            <v>#N/A</v>
          </cell>
          <cell r="C358"/>
          <cell r="D358" t="e">
            <v>#N/A</v>
          </cell>
          <cell r="F358">
            <v>0</v>
          </cell>
          <cell r="G358">
            <v>0</v>
          </cell>
          <cell r="H358">
            <v>379.8</v>
          </cell>
          <cell r="J358" t="e">
            <v>#N/A</v>
          </cell>
          <cell r="L358" t="e">
            <v>#N/A</v>
          </cell>
          <cell r="M358">
            <v>53</v>
          </cell>
          <cell r="N358" t="e">
            <v>#N/A</v>
          </cell>
          <cell r="O358" t="e">
            <v>#N/A</v>
          </cell>
          <cell r="P358" t="e">
            <v>#N/A</v>
          </cell>
          <cell r="Q358" t="e">
            <v>#N/A</v>
          </cell>
          <cell r="R358">
            <v>251.85</v>
          </cell>
          <cell r="S358" t="e">
            <v>#N/A</v>
          </cell>
          <cell r="V358">
            <v>0</v>
          </cell>
        </row>
        <row r="359">
          <cell r="A359">
            <v>46551</v>
          </cell>
          <cell r="B359" t="e">
            <v>#N/A</v>
          </cell>
          <cell r="C359"/>
          <cell r="D359" t="e">
            <v>#N/A</v>
          </cell>
          <cell r="F359">
            <v>0</v>
          </cell>
          <cell r="G359">
            <v>0</v>
          </cell>
          <cell r="H359">
            <v>379.8</v>
          </cell>
          <cell r="J359" t="e">
            <v>#N/A</v>
          </cell>
          <cell r="L359" t="e">
            <v>#N/A</v>
          </cell>
          <cell r="M359">
            <v>53</v>
          </cell>
          <cell r="N359" t="e">
            <v>#N/A</v>
          </cell>
          <cell r="O359" t="e">
            <v>#N/A</v>
          </cell>
          <cell r="P359" t="e">
            <v>#N/A</v>
          </cell>
          <cell r="Q359" t="e">
            <v>#N/A</v>
          </cell>
          <cell r="R359">
            <v>251.85</v>
          </cell>
          <cell r="S359" t="e">
            <v>#N/A</v>
          </cell>
          <cell r="V359">
            <v>0</v>
          </cell>
        </row>
        <row r="360">
          <cell r="A360">
            <v>46552</v>
          </cell>
          <cell r="B360" t="e">
            <v>#N/A</v>
          </cell>
          <cell r="C360"/>
          <cell r="D360" t="e">
            <v>#N/A</v>
          </cell>
          <cell r="F360">
            <v>0</v>
          </cell>
          <cell r="G360">
            <v>0</v>
          </cell>
          <cell r="H360">
            <v>379.8</v>
          </cell>
          <cell r="J360" t="e">
            <v>#N/A</v>
          </cell>
          <cell r="L360" t="e">
            <v>#N/A</v>
          </cell>
          <cell r="M360">
            <v>53</v>
          </cell>
          <cell r="N360" t="e">
            <v>#N/A</v>
          </cell>
          <cell r="O360" t="e">
            <v>#N/A</v>
          </cell>
          <cell r="P360" t="e">
            <v>#N/A</v>
          </cell>
          <cell r="Q360" t="e">
            <v>#N/A</v>
          </cell>
          <cell r="R360">
            <v>251.85</v>
          </cell>
          <cell r="S360" t="e">
            <v>#N/A</v>
          </cell>
          <cell r="V360">
            <v>0</v>
          </cell>
        </row>
        <row r="361">
          <cell r="A361">
            <v>46553</v>
          </cell>
          <cell r="B361" t="e">
            <v>#N/A</v>
          </cell>
          <cell r="D361" t="e">
            <v>#N/A</v>
          </cell>
          <cell r="F361">
            <v>0</v>
          </cell>
          <cell r="G361">
            <v>0</v>
          </cell>
          <cell r="H361">
            <v>379.8</v>
          </cell>
          <cell r="J361" t="e">
            <v>#N/A</v>
          </cell>
          <cell r="L361" t="e">
            <v>#N/A</v>
          </cell>
          <cell r="M361">
            <v>53</v>
          </cell>
          <cell r="N361" t="e">
            <v>#N/A</v>
          </cell>
          <cell r="O361" t="e">
            <v>#N/A</v>
          </cell>
          <cell r="P361" t="e">
            <v>#N/A</v>
          </cell>
          <cell r="Q361" t="e">
            <v>#N/A</v>
          </cell>
          <cell r="R361">
            <v>251.85</v>
          </cell>
          <cell r="S361" t="e">
            <v>#N/A</v>
          </cell>
          <cell r="V361">
            <v>0</v>
          </cell>
        </row>
        <row r="362">
          <cell r="A362">
            <v>46554</v>
          </cell>
          <cell r="B362" t="e">
            <v>#N/A</v>
          </cell>
          <cell r="D362" t="e">
            <v>#N/A</v>
          </cell>
          <cell r="F362">
            <v>0</v>
          </cell>
          <cell r="G362">
            <v>0</v>
          </cell>
          <cell r="H362">
            <v>379.8</v>
          </cell>
          <cell r="J362" t="e">
            <v>#N/A</v>
          </cell>
          <cell r="L362" t="e">
            <v>#N/A</v>
          </cell>
          <cell r="M362">
            <v>53</v>
          </cell>
          <cell r="N362" t="e">
            <v>#N/A</v>
          </cell>
          <cell r="O362" t="e">
            <v>#N/A</v>
          </cell>
          <cell r="P362" t="e">
            <v>#N/A</v>
          </cell>
          <cell r="Q362" t="e">
            <v>#N/A</v>
          </cell>
          <cell r="R362">
            <v>251.85</v>
          </cell>
          <cell r="S362" t="e">
            <v>#N/A</v>
          </cell>
          <cell r="V362">
            <v>0</v>
          </cell>
        </row>
        <row r="363">
          <cell r="A363">
            <v>46555</v>
          </cell>
          <cell r="B363" t="e">
            <v>#N/A</v>
          </cell>
          <cell r="D363" t="e">
            <v>#N/A</v>
          </cell>
          <cell r="F363">
            <v>0</v>
          </cell>
          <cell r="G363">
            <v>0</v>
          </cell>
          <cell r="H363">
            <v>379.8</v>
          </cell>
          <cell r="J363" t="e">
            <v>#N/A</v>
          </cell>
          <cell r="L363" t="e">
            <v>#N/A</v>
          </cell>
          <cell r="M363">
            <v>53</v>
          </cell>
          <cell r="N363" t="e">
            <v>#N/A</v>
          </cell>
          <cell r="O363" t="e">
            <v>#N/A</v>
          </cell>
          <cell r="P363" t="e">
            <v>#N/A</v>
          </cell>
          <cell r="Q363" t="e">
            <v>#N/A</v>
          </cell>
          <cell r="R363">
            <v>251.85</v>
          </cell>
          <cell r="S363" t="e">
            <v>#N/A</v>
          </cell>
          <cell r="V363">
            <v>0</v>
          </cell>
        </row>
        <row r="364">
          <cell r="A364">
            <v>46556</v>
          </cell>
          <cell r="B364" t="e">
            <v>#N/A</v>
          </cell>
          <cell r="D364" t="e">
            <v>#N/A</v>
          </cell>
          <cell r="F364">
            <v>0</v>
          </cell>
          <cell r="G364">
            <v>0</v>
          </cell>
          <cell r="H364">
            <v>379.8</v>
          </cell>
          <cell r="J364" t="e">
            <v>#N/A</v>
          </cell>
          <cell r="L364" t="e">
            <v>#N/A</v>
          </cell>
          <cell r="M364">
            <v>53</v>
          </cell>
          <cell r="N364" t="e">
            <v>#N/A</v>
          </cell>
          <cell r="O364" t="e">
            <v>#N/A</v>
          </cell>
          <cell r="P364" t="e">
            <v>#N/A</v>
          </cell>
          <cell r="Q364" t="e">
            <v>#N/A</v>
          </cell>
          <cell r="R364">
            <v>251.85</v>
          </cell>
          <cell r="S364" t="e">
            <v>#N/A</v>
          </cell>
          <cell r="V364">
            <v>0</v>
          </cell>
        </row>
        <row r="365">
          <cell r="A365">
            <v>46557</v>
          </cell>
          <cell r="B365" t="e">
            <v>#N/A</v>
          </cell>
          <cell r="D365" t="e">
            <v>#N/A</v>
          </cell>
          <cell r="F365">
            <v>0</v>
          </cell>
          <cell r="G365">
            <v>0</v>
          </cell>
          <cell r="H365">
            <v>379.8</v>
          </cell>
          <cell r="J365" t="e">
            <v>#N/A</v>
          </cell>
          <cell r="L365" t="e">
            <v>#N/A</v>
          </cell>
          <cell r="M365">
            <v>53</v>
          </cell>
          <cell r="N365" t="e">
            <v>#N/A</v>
          </cell>
          <cell r="O365" t="e">
            <v>#N/A</v>
          </cell>
          <cell r="P365" t="e">
            <v>#N/A</v>
          </cell>
          <cell r="Q365" t="e">
            <v>#N/A</v>
          </cell>
          <cell r="R365">
            <v>251.85</v>
          </cell>
          <cell r="S365" t="e">
            <v>#N/A</v>
          </cell>
          <cell r="V365">
            <v>0</v>
          </cell>
        </row>
        <row r="366">
          <cell r="A366">
            <v>46558</v>
          </cell>
          <cell r="B366" t="e">
            <v>#N/A</v>
          </cell>
          <cell r="D366" t="e">
            <v>#N/A</v>
          </cell>
          <cell r="F366">
            <v>0</v>
          </cell>
          <cell r="G366">
            <v>0</v>
          </cell>
          <cell r="H366">
            <v>379.8</v>
          </cell>
          <cell r="J366" t="e">
            <v>#N/A</v>
          </cell>
          <cell r="L366" t="e">
            <v>#N/A</v>
          </cell>
          <cell r="M366">
            <v>53</v>
          </cell>
          <cell r="N366" t="e">
            <v>#N/A</v>
          </cell>
          <cell r="O366" t="e">
            <v>#N/A</v>
          </cell>
          <cell r="P366" t="e">
            <v>#N/A</v>
          </cell>
          <cell r="Q366" t="e">
            <v>#N/A</v>
          </cell>
          <cell r="R366">
            <v>251.85</v>
          </cell>
          <cell r="S366" t="e">
            <v>#N/A</v>
          </cell>
          <cell r="V366">
            <v>0</v>
          </cell>
        </row>
        <row r="367">
          <cell r="A367">
            <v>46559</v>
          </cell>
          <cell r="B367" t="e">
            <v>#N/A</v>
          </cell>
          <cell r="D367" t="e">
            <v>#N/A</v>
          </cell>
          <cell r="F367">
            <v>0</v>
          </cell>
          <cell r="G367">
            <v>0</v>
          </cell>
          <cell r="H367">
            <v>379.8</v>
          </cell>
          <cell r="J367" t="e">
            <v>#N/A</v>
          </cell>
          <cell r="L367" t="e">
            <v>#N/A</v>
          </cell>
          <cell r="M367">
            <v>53</v>
          </cell>
          <cell r="N367" t="e">
            <v>#N/A</v>
          </cell>
          <cell r="O367" t="e">
            <v>#N/A</v>
          </cell>
          <cell r="P367" t="e">
            <v>#N/A</v>
          </cell>
          <cell r="Q367" t="e">
            <v>#N/A</v>
          </cell>
          <cell r="R367">
            <v>251.85</v>
          </cell>
          <cell r="S367" t="e">
            <v>#N/A</v>
          </cell>
          <cell r="V367">
            <v>0</v>
          </cell>
        </row>
        <row r="368">
          <cell r="A368">
            <v>46560</v>
          </cell>
          <cell r="B368" t="e">
            <v>#N/A</v>
          </cell>
          <cell r="D368" t="e">
            <v>#N/A</v>
          </cell>
          <cell r="F368">
            <v>0</v>
          </cell>
          <cell r="G368">
            <v>0</v>
          </cell>
          <cell r="H368">
            <v>379.8</v>
          </cell>
          <cell r="J368" t="e">
            <v>#N/A</v>
          </cell>
          <cell r="L368" t="e">
            <v>#N/A</v>
          </cell>
          <cell r="M368">
            <v>53</v>
          </cell>
          <cell r="N368" t="e">
            <v>#N/A</v>
          </cell>
          <cell r="O368" t="e">
            <v>#N/A</v>
          </cell>
          <cell r="P368" t="e">
            <v>#N/A</v>
          </cell>
          <cell r="Q368" t="e">
            <v>#N/A</v>
          </cell>
          <cell r="R368">
            <v>251.85</v>
          </cell>
          <cell r="S368" t="e">
            <v>#N/A</v>
          </cell>
          <cell r="V368">
            <v>0</v>
          </cell>
        </row>
        <row r="369">
          <cell r="A369">
            <v>46561</v>
          </cell>
          <cell r="B369" t="e">
            <v>#N/A</v>
          </cell>
          <cell r="D369" t="e">
            <v>#N/A</v>
          </cell>
          <cell r="F369">
            <v>0</v>
          </cell>
          <cell r="G369">
            <v>0</v>
          </cell>
          <cell r="H369">
            <v>379.8</v>
          </cell>
          <cell r="J369" t="e">
            <v>#N/A</v>
          </cell>
          <cell r="L369" t="e">
            <v>#N/A</v>
          </cell>
          <cell r="M369">
            <v>53</v>
          </cell>
          <cell r="N369" t="e">
            <v>#N/A</v>
          </cell>
          <cell r="O369" t="e">
            <v>#N/A</v>
          </cell>
          <cell r="P369" t="e">
            <v>#N/A</v>
          </cell>
          <cell r="Q369" t="e">
            <v>#N/A</v>
          </cell>
          <cell r="R369">
            <v>251.85</v>
          </cell>
          <cell r="S369" t="e">
            <v>#N/A</v>
          </cell>
          <cell r="V369">
            <v>0</v>
          </cell>
        </row>
        <row r="370">
          <cell r="A370">
            <v>46562</v>
          </cell>
          <cell r="B370" t="e">
            <v>#N/A</v>
          </cell>
          <cell r="D370" t="e">
            <v>#N/A</v>
          </cell>
          <cell r="F370">
            <v>0</v>
          </cell>
          <cell r="G370">
            <v>0</v>
          </cell>
          <cell r="H370">
            <v>379.8</v>
          </cell>
          <cell r="J370" t="e">
            <v>#N/A</v>
          </cell>
          <cell r="L370" t="e">
            <v>#N/A</v>
          </cell>
          <cell r="M370">
            <v>53</v>
          </cell>
          <cell r="N370" t="e">
            <v>#N/A</v>
          </cell>
          <cell r="O370" t="e">
            <v>#N/A</v>
          </cell>
          <cell r="P370" t="e">
            <v>#N/A</v>
          </cell>
          <cell r="Q370" t="e">
            <v>#N/A</v>
          </cell>
          <cell r="R370">
            <v>251.85</v>
          </cell>
          <cell r="S370" t="e">
            <v>#N/A</v>
          </cell>
          <cell r="V370">
            <v>0</v>
          </cell>
        </row>
        <row r="371">
          <cell r="A371">
            <v>46563</v>
          </cell>
          <cell r="B371" t="e">
            <v>#N/A</v>
          </cell>
          <cell r="D371" t="e">
            <v>#N/A</v>
          </cell>
          <cell r="F371">
            <v>0</v>
          </cell>
          <cell r="G371">
            <v>0</v>
          </cell>
          <cell r="H371">
            <v>379.8</v>
          </cell>
          <cell r="J371" t="e">
            <v>#N/A</v>
          </cell>
          <cell r="L371" t="e">
            <v>#N/A</v>
          </cell>
          <cell r="M371">
            <v>53</v>
          </cell>
          <cell r="N371" t="e">
            <v>#N/A</v>
          </cell>
          <cell r="O371" t="e">
            <v>#N/A</v>
          </cell>
          <cell r="P371" t="e">
            <v>#N/A</v>
          </cell>
          <cell r="Q371" t="e">
            <v>#N/A</v>
          </cell>
          <cell r="R371">
            <v>251.85</v>
          </cell>
          <cell r="S371" t="e">
            <v>#N/A</v>
          </cell>
          <cell r="V371">
            <v>0</v>
          </cell>
        </row>
        <row r="372">
          <cell r="A372">
            <v>46564</v>
          </cell>
          <cell r="B372" t="e">
            <v>#N/A</v>
          </cell>
          <cell r="D372" t="e">
            <v>#N/A</v>
          </cell>
          <cell r="F372">
            <v>0</v>
          </cell>
          <cell r="G372">
            <v>0</v>
          </cell>
          <cell r="H372">
            <v>379.8</v>
          </cell>
          <cell r="J372" t="e">
            <v>#N/A</v>
          </cell>
          <cell r="L372" t="e">
            <v>#N/A</v>
          </cell>
          <cell r="M372">
            <v>53</v>
          </cell>
          <cell r="N372" t="e">
            <v>#N/A</v>
          </cell>
          <cell r="O372" t="e">
            <v>#N/A</v>
          </cell>
          <cell r="P372" t="e">
            <v>#N/A</v>
          </cell>
          <cell r="Q372" t="e">
            <v>#N/A</v>
          </cell>
          <cell r="R372">
            <v>251.85</v>
          </cell>
          <cell r="S372" t="e">
            <v>#N/A</v>
          </cell>
          <cell r="V372">
            <v>0</v>
          </cell>
        </row>
        <row r="373">
          <cell r="A373">
            <v>46565</v>
          </cell>
          <cell r="B373" t="e">
            <v>#N/A</v>
          </cell>
          <cell r="D373" t="e">
            <v>#N/A</v>
          </cell>
          <cell r="F373">
            <v>0</v>
          </cell>
          <cell r="G373">
            <v>0</v>
          </cell>
          <cell r="H373">
            <v>379.8</v>
          </cell>
          <cell r="J373" t="e">
            <v>#N/A</v>
          </cell>
          <cell r="L373" t="e">
            <v>#N/A</v>
          </cell>
          <cell r="M373">
            <v>53</v>
          </cell>
          <cell r="N373" t="e">
            <v>#N/A</v>
          </cell>
          <cell r="O373" t="e">
            <v>#N/A</v>
          </cell>
          <cell r="P373" t="e">
            <v>#N/A</v>
          </cell>
          <cell r="Q373" t="e">
            <v>#N/A</v>
          </cell>
          <cell r="R373">
            <v>251.85</v>
          </cell>
          <cell r="S373" t="e">
            <v>#N/A</v>
          </cell>
          <cell r="V373">
            <v>0</v>
          </cell>
        </row>
        <row r="374">
          <cell r="A374">
            <v>46566</v>
          </cell>
          <cell r="B374" t="e">
            <v>#N/A</v>
          </cell>
          <cell r="D374" t="e">
            <v>#N/A</v>
          </cell>
          <cell r="F374">
            <v>0</v>
          </cell>
          <cell r="G374">
            <v>0</v>
          </cell>
          <cell r="H374">
            <v>379.8</v>
          </cell>
          <cell r="J374" t="e">
            <v>#N/A</v>
          </cell>
          <cell r="L374" t="e">
            <v>#N/A</v>
          </cell>
          <cell r="M374">
            <v>53</v>
          </cell>
          <cell r="N374" t="e">
            <v>#N/A</v>
          </cell>
          <cell r="O374" t="e">
            <v>#N/A</v>
          </cell>
          <cell r="P374" t="e">
            <v>#N/A</v>
          </cell>
          <cell r="Q374" t="e">
            <v>#N/A</v>
          </cell>
          <cell r="R374">
            <v>251.85</v>
          </cell>
          <cell r="S374" t="e">
            <v>#N/A</v>
          </cell>
          <cell r="V374">
            <v>0</v>
          </cell>
        </row>
        <row r="375">
          <cell r="A375">
            <v>46567</v>
          </cell>
          <cell r="B375" t="e">
            <v>#N/A</v>
          </cell>
          <cell r="D375" t="e">
            <v>#N/A</v>
          </cell>
          <cell r="F375">
            <v>0</v>
          </cell>
          <cell r="G375">
            <v>0</v>
          </cell>
          <cell r="H375">
            <v>379.8</v>
          </cell>
          <cell r="J375" t="e">
            <v>#N/A</v>
          </cell>
          <cell r="L375" t="e">
            <v>#N/A</v>
          </cell>
          <cell r="M375">
            <v>53</v>
          </cell>
          <cell r="N375" t="e">
            <v>#N/A</v>
          </cell>
          <cell r="O375" t="e">
            <v>#N/A</v>
          </cell>
          <cell r="P375" t="e">
            <v>#N/A</v>
          </cell>
          <cell r="Q375" t="e">
            <v>#N/A</v>
          </cell>
          <cell r="R375">
            <v>251.85</v>
          </cell>
          <cell r="S375" t="e">
            <v>#N/A</v>
          </cell>
          <cell r="V375">
            <v>0</v>
          </cell>
        </row>
        <row r="376">
          <cell r="A376">
            <v>46568</v>
          </cell>
          <cell r="B376" t="e">
            <v>#N/A</v>
          </cell>
          <cell r="D376" t="e">
            <v>#N/A</v>
          </cell>
          <cell r="F376">
            <v>0</v>
          </cell>
          <cell r="G376">
            <v>0</v>
          </cell>
          <cell r="H376">
            <v>379.8</v>
          </cell>
          <cell r="J376" t="e">
            <v>#N/A</v>
          </cell>
          <cell r="L376" t="e">
            <v>#N/A</v>
          </cell>
          <cell r="M376">
            <v>53</v>
          </cell>
          <cell r="N376" t="e">
            <v>#N/A</v>
          </cell>
          <cell r="O376" t="e">
            <v>#N/A</v>
          </cell>
          <cell r="P376" t="e">
            <v>#N/A</v>
          </cell>
          <cell r="Q376" t="e">
            <v>#N/A</v>
          </cell>
          <cell r="R376">
            <v>251.85</v>
          </cell>
          <cell r="S376" t="e">
            <v>#N/A</v>
          </cell>
          <cell r="V376">
            <v>0</v>
          </cell>
        </row>
        <row r="377">
          <cell r="A377">
            <v>46569</v>
          </cell>
          <cell r="B377" t="e">
            <v>#N/A</v>
          </cell>
          <cell r="D377" t="e">
            <v>#N/A</v>
          </cell>
          <cell r="F377">
            <v>0</v>
          </cell>
          <cell r="G377">
            <v>0</v>
          </cell>
          <cell r="H377">
            <v>379.8</v>
          </cell>
          <cell r="J377" t="e">
            <v>#N/A</v>
          </cell>
          <cell r="L377" t="e">
            <v>#N/A</v>
          </cell>
          <cell r="M377">
            <v>53</v>
          </cell>
          <cell r="N377" t="e">
            <v>#N/A</v>
          </cell>
          <cell r="O377" t="e">
            <v>#N/A</v>
          </cell>
          <cell r="P377" t="e">
            <v>#N/A</v>
          </cell>
          <cell r="Q377" t="e">
            <v>#N/A</v>
          </cell>
          <cell r="R377">
            <v>251.85</v>
          </cell>
          <cell r="S377" t="e">
            <v>#N/A</v>
          </cell>
          <cell r="V377">
            <v>0</v>
          </cell>
        </row>
        <row r="378">
          <cell r="A378">
            <v>46570</v>
          </cell>
          <cell r="B378" t="e">
            <v>#N/A</v>
          </cell>
          <cell r="D378" t="e">
            <v>#N/A</v>
          </cell>
          <cell r="F378">
            <v>0</v>
          </cell>
          <cell r="G378">
            <v>0</v>
          </cell>
          <cell r="H378">
            <v>379.8</v>
          </cell>
          <cell r="J378" t="e">
            <v>#N/A</v>
          </cell>
          <cell r="L378" t="e">
            <v>#N/A</v>
          </cell>
          <cell r="M378">
            <v>53</v>
          </cell>
          <cell r="N378" t="e">
            <v>#N/A</v>
          </cell>
          <cell r="O378" t="e">
            <v>#N/A</v>
          </cell>
          <cell r="P378" t="e">
            <v>#N/A</v>
          </cell>
          <cell r="Q378" t="e">
            <v>#N/A</v>
          </cell>
          <cell r="R378">
            <v>251.85</v>
          </cell>
          <cell r="S378" t="e">
            <v>#N/A</v>
          </cell>
          <cell r="V378">
            <v>0</v>
          </cell>
        </row>
        <row r="379">
          <cell r="A379">
            <v>46571</v>
          </cell>
          <cell r="B379" t="e">
            <v>#N/A</v>
          </cell>
          <cell r="D379" t="e">
            <v>#N/A</v>
          </cell>
          <cell r="F379">
            <v>0</v>
          </cell>
          <cell r="G379">
            <v>0</v>
          </cell>
          <cell r="H379">
            <v>379.8</v>
          </cell>
          <cell r="J379" t="e">
            <v>#N/A</v>
          </cell>
          <cell r="L379" t="e">
            <v>#N/A</v>
          </cell>
          <cell r="M379">
            <v>53</v>
          </cell>
          <cell r="N379" t="e">
            <v>#N/A</v>
          </cell>
          <cell r="O379" t="e">
            <v>#N/A</v>
          </cell>
          <cell r="P379" t="e">
            <v>#N/A</v>
          </cell>
          <cell r="Q379" t="e">
            <v>#N/A</v>
          </cell>
          <cell r="R379">
            <v>251.85</v>
          </cell>
          <cell r="S379" t="e">
            <v>#N/A</v>
          </cell>
          <cell r="V379">
            <v>0</v>
          </cell>
        </row>
        <row r="380">
          <cell r="A380">
            <v>46572</v>
          </cell>
          <cell r="B380" t="e">
            <v>#N/A</v>
          </cell>
          <cell r="D380" t="e">
            <v>#N/A</v>
          </cell>
          <cell r="F380">
            <v>0</v>
          </cell>
          <cell r="G380">
            <v>0</v>
          </cell>
          <cell r="H380">
            <v>379.8</v>
          </cell>
          <cell r="J380" t="e">
            <v>#N/A</v>
          </cell>
          <cell r="L380" t="e">
            <v>#N/A</v>
          </cell>
          <cell r="M380">
            <v>53</v>
          </cell>
          <cell r="N380" t="e">
            <v>#N/A</v>
          </cell>
          <cell r="O380" t="e">
            <v>#N/A</v>
          </cell>
          <cell r="P380" t="e">
            <v>#N/A</v>
          </cell>
          <cell r="Q380" t="e">
            <v>#N/A</v>
          </cell>
          <cell r="R380">
            <v>251.85</v>
          </cell>
          <cell r="S380" t="e">
            <v>#N/A</v>
          </cell>
          <cell r="V380">
            <v>0</v>
          </cell>
        </row>
        <row r="381">
          <cell r="A381">
            <v>46573</v>
          </cell>
          <cell r="B381" t="e">
            <v>#N/A</v>
          </cell>
          <cell r="D381" t="e">
            <v>#N/A</v>
          </cell>
          <cell r="F381">
            <v>0</v>
          </cell>
          <cell r="G381">
            <v>0</v>
          </cell>
          <cell r="H381">
            <v>379.8</v>
          </cell>
          <cell r="J381" t="e">
            <v>#N/A</v>
          </cell>
          <cell r="L381" t="e">
            <v>#N/A</v>
          </cell>
          <cell r="M381">
            <v>53</v>
          </cell>
          <cell r="N381" t="e">
            <v>#N/A</v>
          </cell>
          <cell r="O381" t="e">
            <v>#N/A</v>
          </cell>
          <cell r="P381" t="e">
            <v>#N/A</v>
          </cell>
          <cell r="Q381" t="e">
            <v>#N/A</v>
          </cell>
          <cell r="R381">
            <v>251.85</v>
          </cell>
          <cell r="S381" t="e">
            <v>#N/A</v>
          </cell>
          <cell r="V381">
            <v>0</v>
          </cell>
        </row>
        <row r="382">
          <cell r="A382">
            <v>46574</v>
          </cell>
          <cell r="B382" t="e">
            <v>#N/A</v>
          </cell>
          <cell r="D382" t="e">
            <v>#N/A</v>
          </cell>
          <cell r="F382">
            <v>0</v>
          </cell>
          <cell r="G382">
            <v>0</v>
          </cell>
          <cell r="H382">
            <v>379.8</v>
          </cell>
          <cell r="J382" t="e">
            <v>#N/A</v>
          </cell>
          <cell r="L382" t="e">
            <v>#N/A</v>
          </cell>
          <cell r="M382">
            <v>53</v>
          </cell>
          <cell r="N382" t="e">
            <v>#N/A</v>
          </cell>
          <cell r="O382" t="e">
            <v>#N/A</v>
          </cell>
          <cell r="P382" t="e">
            <v>#N/A</v>
          </cell>
          <cell r="Q382" t="e">
            <v>#N/A</v>
          </cell>
          <cell r="R382">
            <v>251.85</v>
          </cell>
          <cell r="S382" t="e">
            <v>#N/A</v>
          </cell>
          <cell r="V382">
            <v>0</v>
          </cell>
        </row>
        <row r="383">
          <cell r="A383">
            <v>46575</v>
          </cell>
          <cell r="B383" t="e">
            <v>#N/A</v>
          </cell>
          <cell r="D383" t="e">
            <v>#N/A</v>
          </cell>
          <cell r="F383">
            <v>0</v>
          </cell>
          <cell r="G383">
            <v>0</v>
          </cell>
          <cell r="H383">
            <v>379.8</v>
          </cell>
          <cell r="J383" t="e">
            <v>#N/A</v>
          </cell>
          <cell r="L383" t="e">
            <v>#N/A</v>
          </cell>
          <cell r="M383">
            <v>53</v>
          </cell>
          <cell r="N383" t="e">
            <v>#N/A</v>
          </cell>
          <cell r="O383" t="e">
            <v>#N/A</v>
          </cell>
          <cell r="P383" t="e">
            <v>#N/A</v>
          </cell>
          <cell r="Q383" t="e">
            <v>#N/A</v>
          </cell>
          <cell r="R383">
            <v>251.85</v>
          </cell>
          <cell r="S383" t="e">
            <v>#N/A</v>
          </cell>
          <cell r="V383">
            <v>0</v>
          </cell>
        </row>
        <row r="384">
          <cell r="A384">
            <v>46576</v>
          </cell>
          <cell r="B384" t="e">
            <v>#N/A</v>
          </cell>
          <cell r="D384" t="e">
            <v>#N/A</v>
          </cell>
          <cell r="F384">
            <v>0</v>
          </cell>
          <cell r="G384">
            <v>0</v>
          </cell>
          <cell r="H384">
            <v>379.8</v>
          </cell>
          <cell r="J384" t="e">
            <v>#N/A</v>
          </cell>
          <cell r="L384" t="e">
            <v>#N/A</v>
          </cell>
          <cell r="M384">
            <v>53</v>
          </cell>
          <cell r="N384" t="e">
            <v>#N/A</v>
          </cell>
          <cell r="O384" t="e">
            <v>#N/A</v>
          </cell>
          <cell r="P384" t="e">
            <v>#N/A</v>
          </cell>
          <cell r="Q384" t="e">
            <v>#N/A</v>
          </cell>
          <cell r="R384">
            <v>251.85</v>
          </cell>
          <cell r="S384" t="e">
            <v>#N/A</v>
          </cell>
          <cell r="V384">
            <v>0</v>
          </cell>
        </row>
        <row r="385">
          <cell r="A385">
            <v>46577</v>
          </cell>
          <cell r="B385" t="e">
            <v>#N/A</v>
          </cell>
          <cell r="D385" t="e">
            <v>#N/A</v>
          </cell>
          <cell r="F385">
            <v>0</v>
          </cell>
          <cell r="G385">
            <v>0</v>
          </cell>
          <cell r="H385">
            <v>379.8</v>
          </cell>
          <cell r="J385" t="e">
            <v>#N/A</v>
          </cell>
          <cell r="L385" t="e">
            <v>#N/A</v>
          </cell>
          <cell r="M385">
            <v>53</v>
          </cell>
          <cell r="N385" t="e">
            <v>#N/A</v>
          </cell>
          <cell r="O385" t="e">
            <v>#N/A</v>
          </cell>
          <cell r="P385" t="e">
            <v>#N/A</v>
          </cell>
          <cell r="Q385" t="e">
            <v>#N/A</v>
          </cell>
          <cell r="R385">
            <v>251.85</v>
          </cell>
          <cell r="S385" t="e">
            <v>#N/A</v>
          </cell>
          <cell r="V385">
            <v>0</v>
          </cell>
        </row>
        <row r="386">
          <cell r="A386">
            <v>46578</v>
          </cell>
          <cell r="B386" t="e">
            <v>#N/A</v>
          </cell>
          <cell r="D386" t="e">
            <v>#N/A</v>
          </cell>
          <cell r="F386">
            <v>0</v>
          </cell>
          <cell r="G386">
            <v>0</v>
          </cell>
          <cell r="H386">
            <v>379.8</v>
          </cell>
          <cell r="J386" t="e">
            <v>#N/A</v>
          </cell>
          <cell r="L386" t="e">
            <v>#N/A</v>
          </cell>
          <cell r="M386">
            <v>53</v>
          </cell>
          <cell r="N386" t="e">
            <v>#N/A</v>
          </cell>
          <cell r="O386" t="e">
            <v>#N/A</v>
          </cell>
          <cell r="P386" t="e">
            <v>#N/A</v>
          </cell>
          <cell r="Q386" t="e">
            <v>#N/A</v>
          </cell>
          <cell r="R386">
            <v>251.85</v>
          </cell>
          <cell r="S386" t="e">
            <v>#N/A</v>
          </cell>
          <cell r="V386">
            <v>0</v>
          </cell>
        </row>
        <row r="387">
          <cell r="A387">
            <v>46579</v>
          </cell>
          <cell r="B387" t="e">
            <v>#N/A</v>
          </cell>
          <cell r="D387" t="e">
            <v>#N/A</v>
          </cell>
          <cell r="F387">
            <v>0</v>
          </cell>
          <cell r="G387">
            <v>0</v>
          </cell>
          <cell r="H387">
            <v>379.8</v>
          </cell>
          <cell r="J387" t="e">
            <v>#N/A</v>
          </cell>
          <cell r="L387" t="e">
            <v>#N/A</v>
          </cell>
          <cell r="M387">
            <v>53</v>
          </cell>
          <cell r="N387" t="e">
            <v>#N/A</v>
          </cell>
          <cell r="O387" t="e">
            <v>#N/A</v>
          </cell>
          <cell r="P387" t="e">
            <v>#N/A</v>
          </cell>
          <cell r="Q387" t="e">
            <v>#N/A</v>
          </cell>
          <cell r="R387">
            <v>251.85</v>
          </cell>
          <cell r="S387" t="e">
            <v>#N/A</v>
          </cell>
          <cell r="V387">
            <v>0</v>
          </cell>
        </row>
        <row r="388">
          <cell r="A388">
            <v>46580</v>
          </cell>
          <cell r="B388" t="e">
            <v>#N/A</v>
          </cell>
          <cell r="D388" t="e">
            <v>#N/A</v>
          </cell>
          <cell r="F388">
            <v>0</v>
          </cell>
          <cell r="G388">
            <v>0</v>
          </cell>
          <cell r="H388">
            <v>379.8</v>
          </cell>
          <cell r="J388" t="e">
            <v>#N/A</v>
          </cell>
          <cell r="L388" t="e">
            <v>#N/A</v>
          </cell>
          <cell r="M388">
            <v>53</v>
          </cell>
          <cell r="N388" t="e">
            <v>#N/A</v>
          </cell>
          <cell r="O388" t="e">
            <v>#N/A</v>
          </cell>
          <cell r="P388" t="e">
            <v>#N/A</v>
          </cell>
          <cell r="Q388" t="e">
            <v>#N/A</v>
          </cell>
          <cell r="R388">
            <v>251.85</v>
          </cell>
          <cell r="S388" t="e">
            <v>#N/A</v>
          </cell>
          <cell r="V388">
            <v>0</v>
          </cell>
        </row>
        <row r="389">
          <cell r="A389">
            <v>46581</v>
          </cell>
          <cell r="B389" t="e">
            <v>#N/A</v>
          </cell>
          <cell r="D389" t="e">
            <v>#N/A</v>
          </cell>
          <cell r="F389">
            <v>0</v>
          </cell>
          <cell r="G389">
            <v>0</v>
          </cell>
          <cell r="H389">
            <v>379.8</v>
          </cell>
          <cell r="J389" t="e">
            <v>#N/A</v>
          </cell>
          <cell r="L389" t="e">
            <v>#N/A</v>
          </cell>
          <cell r="M389">
            <v>53</v>
          </cell>
          <cell r="N389" t="e">
            <v>#N/A</v>
          </cell>
          <cell r="O389" t="e">
            <v>#N/A</v>
          </cell>
          <cell r="P389" t="e">
            <v>#N/A</v>
          </cell>
          <cell r="Q389" t="e">
            <v>#N/A</v>
          </cell>
          <cell r="R389">
            <v>251.85</v>
          </cell>
          <cell r="S389" t="e">
            <v>#N/A</v>
          </cell>
          <cell r="V389">
            <v>0</v>
          </cell>
        </row>
        <row r="390">
          <cell r="A390">
            <v>46582</v>
          </cell>
          <cell r="B390" t="e">
            <v>#N/A</v>
          </cell>
          <cell r="D390" t="e">
            <v>#N/A</v>
          </cell>
          <cell r="F390">
            <v>0</v>
          </cell>
          <cell r="G390">
            <v>0</v>
          </cell>
          <cell r="H390">
            <v>379.8</v>
          </cell>
          <cell r="J390" t="e">
            <v>#N/A</v>
          </cell>
          <cell r="L390" t="e">
            <v>#N/A</v>
          </cell>
          <cell r="M390">
            <v>53</v>
          </cell>
          <cell r="N390" t="e">
            <v>#N/A</v>
          </cell>
          <cell r="O390" t="e">
            <v>#N/A</v>
          </cell>
          <cell r="P390" t="e">
            <v>#N/A</v>
          </cell>
          <cell r="Q390" t="e">
            <v>#N/A</v>
          </cell>
          <cell r="R390">
            <v>251.85</v>
          </cell>
          <cell r="S390" t="e">
            <v>#N/A</v>
          </cell>
          <cell r="V390">
            <v>0</v>
          </cell>
        </row>
        <row r="391">
          <cell r="A391">
            <v>46583</v>
          </cell>
          <cell r="B391" t="e">
            <v>#N/A</v>
          </cell>
          <cell r="D391" t="e">
            <v>#N/A</v>
          </cell>
          <cell r="F391">
            <v>0</v>
          </cell>
          <cell r="G391">
            <v>0</v>
          </cell>
          <cell r="H391">
            <v>379.8</v>
          </cell>
          <cell r="J391" t="e">
            <v>#N/A</v>
          </cell>
          <cell r="L391" t="e">
            <v>#N/A</v>
          </cell>
          <cell r="M391">
            <v>53</v>
          </cell>
          <cell r="N391" t="e">
            <v>#N/A</v>
          </cell>
          <cell r="O391" t="e">
            <v>#N/A</v>
          </cell>
          <cell r="P391" t="e">
            <v>#N/A</v>
          </cell>
          <cell r="Q391" t="e">
            <v>#N/A</v>
          </cell>
          <cell r="R391">
            <v>251.85</v>
          </cell>
          <cell r="S391" t="e">
            <v>#N/A</v>
          </cell>
          <cell r="V391">
            <v>0</v>
          </cell>
        </row>
        <row r="392">
          <cell r="A392">
            <v>46584</v>
          </cell>
          <cell r="B392" t="e">
            <v>#N/A</v>
          </cell>
          <cell r="D392" t="e">
            <v>#N/A</v>
          </cell>
          <cell r="F392">
            <v>0</v>
          </cell>
          <cell r="G392">
            <v>0</v>
          </cell>
          <cell r="H392">
            <v>379.8</v>
          </cell>
          <cell r="J392" t="e">
            <v>#N/A</v>
          </cell>
          <cell r="L392" t="e">
            <v>#N/A</v>
          </cell>
          <cell r="M392">
            <v>53</v>
          </cell>
          <cell r="N392" t="e">
            <v>#N/A</v>
          </cell>
          <cell r="O392" t="e">
            <v>#N/A</v>
          </cell>
          <cell r="P392" t="e">
            <v>#N/A</v>
          </cell>
          <cell r="Q392" t="e">
            <v>#N/A</v>
          </cell>
          <cell r="R392">
            <v>251.85</v>
          </cell>
          <cell r="S392" t="e">
            <v>#N/A</v>
          </cell>
          <cell r="V392">
            <v>0</v>
          </cell>
        </row>
        <row r="393">
          <cell r="A393">
            <v>46585</v>
          </cell>
          <cell r="B393" t="e">
            <v>#N/A</v>
          </cell>
          <cell r="D393" t="e">
            <v>#N/A</v>
          </cell>
          <cell r="F393">
            <v>0</v>
          </cell>
          <cell r="G393">
            <v>0</v>
          </cell>
          <cell r="H393">
            <v>379.8</v>
          </cell>
          <cell r="J393" t="e">
            <v>#N/A</v>
          </cell>
          <cell r="L393" t="e">
            <v>#N/A</v>
          </cell>
          <cell r="M393">
            <v>53</v>
          </cell>
          <cell r="N393" t="e">
            <v>#N/A</v>
          </cell>
          <cell r="O393" t="e">
            <v>#N/A</v>
          </cell>
          <cell r="P393" t="e">
            <v>#N/A</v>
          </cell>
          <cell r="Q393" t="e">
            <v>#N/A</v>
          </cell>
          <cell r="R393">
            <v>251.85</v>
          </cell>
          <cell r="S393" t="e">
            <v>#N/A</v>
          </cell>
          <cell r="V393">
            <v>0</v>
          </cell>
        </row>
        <row r="394">
          <cell r="A394">
            <v>46586</v>
          </cell>
          <cell r="B394" t="e">
            <v>#N/A</v>
          </cell>
          <cell r="D394" t="e">
            <v>#N/A</v>
          </cell>
          <cell r="F394">
            <v>0</v>
          </cell>
          <cell r="G394">
            <v>0</v>
          </cell>
          <cell r="H394">
            <v>379.8</v>
          </cell>
          <cell r="J394" t="e">
            <v>#N/A</v>
          </cell>
          <cell r="L394" t="e">
            <v>#N/A</v>
          </cell>
          <cell r="M394">
            <v>53</v>
          </cell>
          <cell r="N394" t="e">
            <v>#N/A</v>
          </cell>
          <cell r="O394" t="e">
            <v>#N/A</v>
          </cell>
          <cell r="P394" t="e">
            <v>#N/A</v>
          </cell>
          <cell r="Q394" t="e">
            <v>#N/A</v>
          </cell>
          <cell r="R394">
            <v>251.85</v>
          </cell>
          <cell r="S394" t="e">
            <v>#N/A</v>
          </cell>
          <cell r="V394">
            <v>0</v>
          </cell>
        </row>
        <row r="395">
          <cell r="A395">
            <v>46587</v>
          </cell>
          <cell r="B395" t="e">
            <v>#N/A</v>
          </cell>
          <cell r="D395" t="e">
            <v>#N/A</v>
          </cell>
          <cell r="F395">
            <v>0</v>
          </cell>
          <cell r="G395">
            <v>0</v>
          </cell>
          <cell r="H395">
            <v>379.8</v>
          </cell>
          <cell r="J395" t="e">
            <v>#N/A</v>
          </cell>
          <cell r="L395" t="e">
            <v>#N/A</v>
          </cell>
          <cell r="M395">
            <v>53</v>
          </cell>
          <cell r="N395" t="e">
            <v>#N/A</v>
          </cell>
          <cell r="O395" t="e">
            <v>#N/A</v>
          </cell>
          <cell r="P395" t="e">
            <v>#N/A</v>
          </cell>
          <cell r="Q395" t="e">
            <v>#N/A</v>
          </cell>
          <cell r="R395">
            <v>251.85</v>
          </cell>
          <cell r="S395" t="e">
            <v>#N/A</v>
          </cell>
          <cell r="V395">
            <v>0</v>
          </cell>
        </row>
        <row r="396">
          <cell r="A396">
            <v>46588</v>
          </cell>
          <cell r="B396" t="e">
            <v>#N/A</v>
          </cell>
          <cell r="D396" t="e">
            <v>#N/A</v>
          </cell>
          <cell r="F396">
            <v>0</v>
          </cell>
          <cell r="G396">
            <v>0</v>
          </cell>
          <cell r="H396">
            <v>379.8</v>
          </cell>
          <cell r="J396" t="e">
            <v>#N/A</v>
          </cell>
          <cell r="L396" t="e">
            <v>#N/A</v>
          </cell>
          <cell r="M396">
            <v>53</v>
          </cell>
          <cell r="N396" t="e">
            <v>#N/A</v>
          </cell>
          <cell r="O396" t="e">
            <v>#N/A</v>
          </cell>
          <cell r="P396" t="e">
            <v>#N/A</v>
          </cell>
          <cell r="Q396" t="e">
            <v>#N/A</v>
          </cell>
          <cell r="R396">
            <v>251.85</v>
          </cell>
          <cell r="S396" t="e">
            <v>#N/A</v>
          </cell>
          <cell r="V396">
            <v>0</v>
          </cell>
        </row>
        <row r="397">
          <cell r="A397">
            <v>46589</v>
          </cell>
          <cell r="B397" t="e">
            <v>#N/A</v>
          </cell>
          <cell r="D397" t="e">
            <v>#N/A</v>
          </cell>
          <cell r="F397">
            <v>0</v>
          </cell>
          <cell r="G397">
            <v>0</v>
          </cell>
          <cell r="H397">
            <v>379.8</v>
          </cell>
          <cell r="J397" t="e">
            <v>#N/A</v>
          </cell>
          <cell r="L397" t="e">
            <v>#N/A</v>
          </cell>
          <cell r="M397">
            <v>53</v>
          </cell>
          <cell r="N397" t="e">
            <v>#N/A</v>
          </cell>
          <cell r="O397" t="e">
            <v>#N/A</v>
          </cell>
          <cell r="P397" t="e">
            <v>#N/A</v>
          </cell>
          <cell r="Q397" t="e">
            <v>#N/A</v>
          </cell>
          <cell r="R397">
            <v>251.85</v>
          </cell>
          <cell r="S397" t="e">
            <v>#N/A</v>
          </cell>
          <cell r="V397">
            <v>0</v>
          </cell>
        </row>
        <row r="398">
          <cell r="A398">
            <v>46590</v>
          </cell>
          <cell r="B398" t="e">
            <v>#N/A</v>
          </cell>
          <cell r="D398" t="e">
            <v>#N/A</v>
          </cell>
          <cell r="F398">
            <v>0</v>
          </cell>
          <cell r="G398">
            <v>0</v>
          </cell>
          <cell r="H398">
            <v>379.8</v>
          </cell>
          <cell r="J398" t="e">
            <v>#N/A</v>
          </cell>
          <cell r="L398" t="e">
            <v>#N/A</v>
          </cell>
          <cell r="M398">
            <v>53</v>
          </cell>
          <cell r="N398" t="e">
            <v>#N/A</v>
          </cell>
          <cell r="O398" t="e">
            <v>#N/A</v>
          </cell>
          <cell r="P398" t="e">
            <v>#N/A</v>
          </cell>
          <cell r="Q398" t="e">
            <v>#N/A</v>
          </cell>
          <cell r="R398">
            <v>251.85</v>
          </cell>
          <cell r="S398" t="e">
            <v>#N/A</v>
          </cell>
          <cell r="V398">
            <v>0</v>
          </cell>
        </row>
        <row r="399">
          <cell r="A399">
            <v>46591</v>
          </cell>
          <cell r="B399" t="e">
            <v>#N/A</v>
          </cell>
          <cell r="D399" t="e">
            <v>#N/A</v>
          </cell>
          <cell r="F399">
            <v>0</v>
          </cell>
          <cell r="G399">
            <v>0</v>
          </cell>
          <cell r="H399">
            <v>379.8</v>
          </cell>
          <cell r="J399" t="e">
            <v>#N/A</v>
          </cell>
          <cell r="L399" t="e">
            <v>#N/A</v>
          </cell>
          <cell r="M399">
            <v>53</v>
          </cell>
          <cell r="N399" t="e">
            <v>#N/A</v>
          </cell>
          <cell r="O399" t="e">
            <v>#N/A</v>
          </cell>
          <cell r="P399" t="e">
            <v>#N/A</v>
          </cell>
          <cell r="Q399" t="e">
            <v>#N/A</v>
          </cell>
          <cell r="R399">
            <v>251.85</v>
          </cell>
          <cell r="S399" t="e">
            <v>#N/A</v>
          </cell>
          <cell r="V399">
            <v>0</v>
          </cell>
        </row>
        <row r="400">
          <cell r="A400">
            <v>46592</v>
          </cell>
          <cell r="B400" t="e">
            <v>#N/A</v>
          </cell>
          <cell r="D400" t="e">
            <v>#N/A</v>
          </cell>
          <cell r="F400">
            <v>0</v>
          </cell>
          <cell r="G400">
            <v>0</v>
          </cell>
          <cell r="H400">
            <v>379.8</v>
          </cell>
          <cell r="J400" t="e">
            <v>#N/A</v>
          </cell>
          <cell r="L400" t="e">
            <v>#N/A</v>
          </cell>
          <cell r="M400">
            <v>53</v>
          </cell>
          <cell r="N400" t="e">
            <v>#N/A</v>
          </cell>
          <cell r="O400" t="e">
            <v>#N/A</v>
          </cell>
          <cell r="P400" t="e">
            <v>#N/A</v>
          </cell>
          <cell r="Q400" t="e">
            <v>#N/A</v>
          </cell>
          <cell r="R400">
            <v>251.85</v>
          </cell>
          <cell r="S400" t="e">
            <v>#N/A</v>
          </cell>
          <cell r="V400">
            <v>0</v>
          </cell>
        </row>
        <row r="401">
          <cell r="A401">
            <v>46593</v>
          </cell>
          <cell r="B401" t="e">
            <v>#N/A</v>
          </cell>
          <cell r="D401" t="e">
            <v>#N/A</v>
          </cell>
          <cell r="F401">
            <v>0</v>
          </cell>
          <cell r="G401">
            <v>0</v>
          </cell>
          <cell r="H401">
            <v>379.8</v>
          </cell>
          <cell r="J401" t="e">
            <v>#N/A</v>
          </cell>
          <cell r="L401" t="e">
            <v>#N/A</v>
          </cell>
          <cell r="M401">
            <v>53</v>
          </cell>
          <cell r="N401" t="e">
            <v>#N/A</v>
          </cell>
          <cell r="O401" t="e">
            <v>#N/A</v>
          </cell>
          <cell r="P401" t="e">
            <v>#N/A</v>
          </cell>
          <cell r="Q401" t="e">
            <v>#N/A</v>
          </cell>
          <cell r="R401">
            <v>251.85</v>
          </cell>
          <cell r="S401" t="e">
            <v>#N/A</v>
          </cell>
          <cell r="V401">
            <v>0</v>
          </cell>
        </row>
        <row r="402">
          <cell r="A402">
            <v>46594</v>
          </cell>
          <cell r="B402" t="e">
            <v>#N/A</v>
          </cell>
          <cell r="D402" t="e">
            <v>#N/A</v>
          </cell>
          <cell r="F402">
            <v>0</v>
          </cell>
          <cell r="G402">
            <v>0</v>
          </cell>
          <cell r="H402">
            <v>379.8</v>
          </cell>
          <cell r="J402" t="e">
            <v>#N/A</v>
          </cell>
          <cell r="L402" t="e">
            <v>#N/A</v>
          </cell>
          <cell r="M402">
            <v>53</v>
          </cell>
          <cell r="N402" t="e">
            <v>#N/A</v>
          </cell>
          <cell r="O402" t="e">
            <v>#N/A</v>
          </cell>
          <cell r="P402" t="e">
            <v>#N/A</v>
          </cell>
          <cell r="Q402" t="e">
            <v>#N/A</v>
          </cell>
          <cell r="R402">
            <v>251.85</v>
          </cell>
          <cell r="S402" t="e">
            <v>#N/A</v>
          </cell>
          <cell r="V402">
            <v>0</v>
          </cell>
        </row>
        <row r="403">
          <cell r="A403">
            <v>46595</v>
          </cell>
          <cell r="B403" t="e">
            <v>#N/A</v>
          </cell>
          <cell r="D403" t="e">
            <v>#N/A</v>
          </cell>
          <cell r="F403">
            <v>0</v>
          </cell>
          <cell r="G403">
            <v>0</v>
          </cell>
          <cell r="H403">
            <v>379.8</v>
          </cell>
          <cell r="J403" t="e">
            <v>#N/A</v>
          </cell>
          <cell r="L403" t="e">
            <v>#N/A</v>
          </cell>
          <cell r="M403">
            <v>53</v>
          </cell>
          <cell r="N403" t="e">
            <v>#N/A</v>
          </cell>
          <cell r="O403" t="e">
            <v>#N/A</v>
          </cell>
          <cell r="P403" t="e">
            <v>#N/A</v>
          </cell>
          <cell r="Q403" t="e">
            <v>#N/A</v>
          </cell>
          <cell r="R403">
            <v>251.85</v>
          </cell>
          <cell r="S403" t="e">
            <v>#N/A</v>
          </cell>
          <cell r="V403">
            <v>0</v>
          </cell>
        </row>
        <row r="404">
          <cell r="A404">
            <v>46596</v>
          </cell>
          <cell r="B404" t="e">
            <v>#N/A</v>
          </cell>
          <cell r="D404" t="e">
            <v>#N/A</v>
          </cell>
          <cell r="F404">
            <v>0</v>
          </cell>
          <cell r="G404">
            <v>0</v>
          </cell>
          <cell r="H404">
            <v>379.8</v>
          </cell>
          <cell r="J404" t="e">
            <v>#N/A</v>
          </cell>
          <cell r="L404" t="e">
            <v>#N/A</v>
          </cell>
          <cell r="M404">
            <v>53</v>
          </cell>
          <cell r="N404" t="e">
            <v>#N/A</v>
          </cell>
          <cell r="O404" t="e">
            <v>#N/A</v>
          </cell>
          <cell r="P404" t="e">
            <v>#N/A</v>
          </cell>
          <cell r="Q404" t="e">
            <v>#N/A</v>
          </cell>
          <cell r="R404">
            <v>251.85</v>
          </cell>
          <cell r="S404" t="e">
            <v>#N/A</v>
          </cell>
          <cell r="V404">
            <v>0</v>
          </cell>
        </row>
        <row r="405">
          <cell r="A405">
            <v>46597</v>
          </cell>
          <cell r="B405" t="e">
            <v>#N/A</v>
          </cell>
          <cell r="D405" t="e">
            <v>#N/A</v>
          </cell>
          <cell r="F405">
            <v>0</v>
          </cell>
          <cell r="G405">
            <v>0</v>
          </cell>
          <cell r="H405">
            <v>379.8</v>
          </cell>
          <cell r="J405" t="e">
            <v>#N/A</v>
          </cell>
          <cell r="L405" t="e">
            <v>#N/A</v>
          </cell>
          <cell r="M405">
            <v>53</v>
          </cell>
          <cell r="N405" t="e">
            <v>#N/A</v>
          </cell>
          <cell r="O405" t="e">
            <v>#N/A</v>
          </cell>
          <cell r="P405" t="e">
            <v>#N/A</v>
          </cell>
          <cell r="Q405" t="e">
            <v>#N/A</v>
          </cell>
          <cell r="R405">
            <v>251.85</v>
          </cell>
          <cell r="S405" t="e">
            <v>#N/A</v>
          </cell>
          <cell r="V405">
            <v>0</v>
          </cell>
        </row>
        <row r="406">
          <cell r="A406">
            <v>46598</v>
          </cell>
          <cell r="B406" t="e">
            <v>#N/A</v>
          </cell>
          <cell r="D406" t="e">
            <v>#N/A</v>
          </cell>
          <cell r="F406">
            <v>0</v>
          </cell>
          <cell r="G406">
            <v>0</v>
          </cell>
          <cell r="H406">
            <v>379.8</v>
          </cell>
          <cell r="J406" t="e">
            <v>#N/A</v>
          </cell>
          <cell r="L406" t="e">
            <v>#N/A</v>
          </cell>
          <cell r="M406">
            <v>53</v>
          </cell>
          <cell r="N406" t="e">
            <v>#N/A</v>
          </cell>
          <cell r="O406" t="e">
            <v>#N/A</v>
          </cell>
          <cell r="P406" t="e">
            <v>#N/A</v>
          </cell>
          <cell r="Q406" t="e">
            <v>#N/A</v>
          </cell>
          <cell r="R406">
            <v>251.85</v>
          </cell>
          <cell r="S406" t="e">
            <v>#N/A</v>
          </cell>
          <cell r="V406">
            <v>0</v>
          </cell>
        </row>
        <row r="407">
          <cell r="A407">
            <v>46599</v>
          </cell>
          <cell r="B407" t="e">
            <v>#N/A</v>
          </cell>
          <cell r="D407" t="e">
            <v>#N/A</v>
          </cell>
          <cell r="F407">
            <v>0</v>
          </cell>
          <cell r="G407">
            <v>0</v>
          </cell>
          <cell r="H407">
            <v>379.8</v>
          </cell>
          <cell r="J407" t="e">
            <v>#N/A</v>
          </cell>
          <cell r="L407" t="e">
            <v>#N/A</v>
          </cell>
          <cell r="M407">
            <v>53</v>
          </cell>
          <cell r="N407" t="e">
            <v>#N/A</v>
          </cell>
          <cell r="O407" t="e">
            <v>#N/A</v>
          </cell>
          <cell r="P407" t="e">
            <v>#N/A</v>
          </cell>
          <cell r="Q407" t="e">
            <v>#N/A</v>
          </cell>
          <cell r="R407">
            <v>251.85</v>
          </cell>
          <cell r="S407" t="e">
            <v>#N/A</v>
          </cell>
          <cell r="V407">
            <v>0</v>
          </cell>
        </row>
        <row r="408">
          <cell r="A408">
            <v>46600</v>
          </cell>
          <cell r="B408" t="e">
            <v>#N/A</v>
          </cell>
          <cell r="D408" t="e">
            <v>#N/A</v>
          </cell>
          <cell r="F408">
            <v>0</v>
          </cell>
          <cell r="G408">
            <v>0</v>
          </cell>
          <cell r="H408">
            <v>379.8</v>
          </cell>
          <cell r="J408" t="e">
            <v>#N/A</v>
          </cell>
          <cell r="L408" t="e">
            <v>#N/A</v>
          </cell>
          <cell r="M408">
            <v>53</v>
          </cell>
          <cell r="N408" t="e">
            <v>#N/A</v>
          </cell>
          <cell r="O408" t="e">
            <v>#N/A</v>
          </cell>
          <cell r="P408" t="e">
            <v>#N/A</v>
          </cell>
          <cell r="Q408" t="e">
            <v>#N/A</v>
          </cell>
          <cell r="R408">
            <v>251.85</v>
          </cell>
          <cell r="S408" t="e">
            <v>#N/A</v>
          </cell>
          <cell r="V408">
            <v>0</v>
          </cell>
        </row>
        <row r="409">
          <cell r="A409">
            <v>46601</v>
          </cell>
          <cell r="B409" t="e">
            <v>#N/A</v>
          </cell>
          <cell r="D409" t="e">
            <v>#N/A</v>
          </cell>
          <cell r="F409">
            <v>0</v>
          </cell>
          <cell r="G409">
            <v>0</v>
          </cell>
          <cell r="H409">
            <v>379.8</v>
          </cell>
          <cell r="J409" t="e">
            <v>#N/A</v>
          </cell>
          <cell r="L409" t="e">
            <v>#N/A</v>
          </cell>
          <cell r="M409">
            <v>53</v>
          </cell>
          <cell r="N409" t="e">
            <v>#N/A</v>
          </cell>
          <cell r="O409" t="e">
            <v>#N/A</v>
          </cell>
          <cell r="P409" t="e">
            <v>#N/A</v>
          </cell>
          <cell r="Q409" t="e">
            <v>#N/A</v>
          </cell>
          <cell r="R409">
            <v>251.85</v>
          </cell>
          <cell r="S409" t="e">
            <v>#N/A</v>
          </cell>
          <cell r="V409">
            <v>0</v>
          </cell>
        </row>
        <row r="410">
          <cell r="A410">
            <v>46602</v>
          </cell>
          <cell r="B410" t="e">
            <v>#N/A</v>
          </cell>
          <cell r="D410" t="e">
            <v>#N/A</v>
          </cell>
          <cell r="F410">
            <v>0</v>
          </cell>
          <cell r="G410">
            <v>0</v>
          </cell>
          <cell r="H410">
            <v>379.8</v>
          </cell>
          <cell r="J410" t="e">
            <v>#N/A</v>
          </cell>
          <cell r="L410" t="e">
            <v>#N/A</v>
          </cell>
          <cell r="M410">
            <v>53</v>
          </cell>
          <cell r="N410" t="e">
            <v>#N/A</v>
          </cell>
          <cell r="O410" t="e">
            <v>#N/A</v>
          </cell>
          <cell r="P410" t="e">
            <v>#N/A</v>
          </cell>
          <cell r="Q410" t="e">
            <v>#N/A</v>
          </cell>
          <cell r="R410">
            <v>251.85</v>
          </cell>
          <cell r="S410" t="e">
            <v>#N/A</v>
          </cell>
          <cell r="V410">
            <v>0</v>
          </cell>
        </row>
        <row r="411">
          <cell r="A411">
            <v>46603</v>
          </cell>
          <cell r="B411" t="e">
            <v>#N/A</v>
          </cell>
          <cell r="D411" t="e">
            <v>#N/A</v>
          </cell>
          <cell r="F411">
            <v>0</v>
          </cell>
          <cell r="G411">
            <v>0</v>
          </cell>
          <cell r="H411">
            <v>379.8</v>
          </cell>
          <cell r="J411" t="e">
            <v>#N/A</v>
          </cell>
          <cell r="L411" t="e">
            <v>#N/A</v>
          </cell>
          <cell r="M411">
            <v>53</v>
          </cell>
          <cell r="N411" t="e">
            <v>#N/A</v>
          </cell>
          <cell r="O411" t="e">
            <v>#N/A</v>
          </cell>
          <cell r="P411" t="e">
            <v>#N/A</v>
          </cell>
          <cell r="Q411" t="e">
            <v>#N/A</v>
          </cell>
          <cell r="R411">
            <v>251.85</v>
          </cell>
          <cell r="S411" t="e">
            <v>#N/A</v>
          </cell>
          <cell r="V411">
            <v>0</v>
          </cell>
        </row>
        <row r="412">
          <cell r="A412">
            <v>46604</v>
          </cell>
          <cell r="B412" t="e">
            <v>#N/A</v>
          </cell>
          <cell r="D412" t="e">
            <v>#N/A</v>
          </cell>
          <cell r="F412">
            <v>0</v>
          </cell>
          <cell r="G412">
            <v>0</v>
          </cell>
          <cell r="H412">
            <v>379.8</v>
          </cell>
          <cell r="J412" t="e">
            <v>#N/A</v>
          </cell>
          <cell r="L412" t="e">
            <v>#N/A</v>
          </cell>
          <cell r="M412">
            <v>53</v>
          </cell>
          <cell r="N412" t="e">
            <v>#N/A</v>
          </cell>
          <cell r="O412" t="e">
            <v>#N/A</v>
          </cell>
          <cell r="P412" t="e">
            <v>#N/A</v>
          </cell>
          <cell r="Q412" t="e">
            <v>#N/A</v>
          </cell>
          <cell r="R412">
            <v>251.85</v>
          </cell>
          <cell r="S412" t="e">
            <v>#N/A</v>
          </cell>
          <cell r="V412">
            <v>0</v>
          </cell>
        </row>
        <row r="413">
          <cell r="A413">
            <v>46605</v>
          </cell>
          <cell r="B413" t="e">
            <v>#N/A</v>
          </cell>
          <cell r="D413" t="e">
            <v>#N/A</v>
          </cell>
          <cell r="F413">
            <v>0</v>
          </cell>
          <cell r="G413">
            <v>0</v>
          </cell>
          <cell r="H413">
            <v>379.8</v>
          </cell>
          <cell r="J413" t="e">
            <v>#N/A</v>
          </cell>
          <cell r="L413" t="e">
            <v>#N/A</v>
          </cell>
          <cell r="M413">
            <v>53</v>
          </cell>
          <cell r="N413" t="e">
            <v>#N/A</v>
          </cell>
          <cell r="O413" t="e">
            <v>#N/A</v>
          </cell>
          <cell r="P413" t="e">
            <v>#N/A</v>
          </cell>
          <cell r="Q413" t="e">
            <v>#N/A</v>
          </cell>
          <cell r="R413">
            <v>251.85</v>
          </cell>
          <cell r="S413" t="e">
            <v>#N/A</v>
          </cell>
          <cell r="V413">
            <v>0</v>
          </cell>
        </row>
        <row r="414">
          <cell r="A414">
            <v>46606</v>
          </cell>
          <cell r="B414" t="e">
            <v>#N/A</v>
          </cell>
          <cell r="D414" t="e">
            <v>#N/A</v>
          </cell>
          <cell r="F414">
            <v>0</v>
          </cell>
          <cell r="G414">
            <v>0</v>
          </cell>
          <cell r="H414">
            <v>379.8</v>
          </cell>
          <cell r="J414" t="e">
            <v>#N/A</v>
          </cell>
          <cell r="L414" t="e">
            <v>#N/A</v>
          </cell>
          <cell r="M414">
            <v>53</v>
          </cell>
          <cell r="N414" t="e">
            <v>#N/A</v>
          </cell>
          <cell r="O414" t="e">
            <v>#N/A</v>
          </cell>
          <cell r="P414" t="e">
            <v>#N/A</v>
          </cell>
          <cell r="Q414" t="e">
            <v>#N/A</v>
          </cell>
          <cell r="R414">
            <v>251.85</v>
          </cell>
          <cell r="S414" t="e">
            <v>#N/A</v>
          </cell>
          <cell r="V414">
            <v>0</v>
          </cell>
        </row>
        <row r="415">
          <cell r="A415">
            <v>46607</v>
          </cell>
          <cell r="B415" t="e">
            <v>#N/A</v>
          </cell>
          <cell r="D415" t="e">
            <v>#N/A</v>
          </cell>
          <cell r="F415">
            <v>0</v>
          </cell>
          <cell r="G415">
            <v>0</v>
          </cell>
          <cell r="H415">
            <v>379.8</v>
          </cell>
          <cell r="J415" t="e">
            <v>#N/A</v>
          </cell>
          <cell r="L415" t="e">
            <v>#N/A</v>
          </cell>
          <cell r="M415">
            <v>53</v>
          </cell>
          <cell r="N415" t="e">
            <v>#N/A</v>
          </cell>
          <cell r="O415" t="e">
            <v>#N/A</v>
          </cell>
          <cell r="P415" t="e">
            <v>#N/A</v>
          </cell>
          <cell r="Q415" t="e">
            <v>#N/A</v>
          </cell>
          <cell r="R415">
            <v>251.85</v>
          </cell>
          <cell r="S415" t="e">
            <v>#N/A</v>
          </cell>
          <cell r="V415">
            <v>0</v>
          </cell>
        </row>
        <row r="416">
          <cell r="A416">
            <v>46608</v>
          </cell>
          <cell r="B416" t="e">
            <v>#N/A</v>
          </cell>
          <cell r="D416" t="e">
            <v>#N/A</v>
          </cell>
          <cell r="F416">
            <v>0</v>
          </cell>
          <cell r="G416">
            <v>0</v>
          </cell>
          <cell r="H416">
            <v>379.8</v>
          </cell>
          <cell r="J416" t="e">
            <v>#N/A</v>
          </cell>
          <cell r="L416" t="e">
            <v>#N/A</v>
          </cell>
          <cell r="M416">
            <v>53</v>
          </cell>
          <cell r="N416" t="e">
            <v>#N/A</v>
          </cell>
          <cell r="O416" t="e">
            <v>#N/A</v>
          </cell>
          <cell r="P416" t="e">
            <v>#N/A</v>
          </cell>
          <cell r="Q416" t="e">
            <v>#N/A</v>
          </cell>
          <cell r="R416">
            <v>251.85</v>
          </cell>
          <cell r="S416" t="e">
            <v>#N/A</v>
          </cell>
          <cell r="V416">
            <v>0</v>
          </cell>
        </row>
        <row r="417">
          <cell r="A417">
            <v>46609</v>
          </cell>
          <cell r="B417" t="e">
            <v>#N/A</v>
          </cell>
          <cell r="D417" t="e">
            <v>#N/A</v>
          </cell>
          <cell r="F417">
            <v>0</v>
          </cell>
          <cell r="G417">
            <v>0</v>
          </cell>
          <cell r="H417">
            <v>379.8</v>
          </cell>
          <cell r="J417" t="e">
            <v>#N/A</v>
          </cell>
          <cell r="L417" t="e">
            <v>#N/A</v>
          </cell>
          <cell r="M417">
            <v>53</v>
          </cell>
          <cell r="N417" t="e">
            <v>#N/A</v>
          </cell>
          <cell r="O417" t="e">
            <v>#N/A</v>
          </cell>
          <cell r="P417" t="e">
            <v>#N/A</v>
          </cell>
          <cell r="Q417" t="e">
            <v>#N/A</v>
          </cell>
          <cell r="R417">
            <v>251.85</v>
          </cell>
          <cell r="S417" t="e">
            <v>#N/A</v>
          </cell>
          <cell r="V417">
            <v>0</v>
          </cell>
        </row>
        <row r="418">
          <cell r="A418">
            <v>46610</v>
          </cell>
          <cell r="B418" t="e">
            <v>#N/A</v>
          </cell>
          <cell r="D418" t="e">
            <v>#N/A</v>
          </cell>
          <cell r="F418">
            <v>0</v>
          </cell>
          <cell r="G418">
            <v>0</v>
          </cell>
          <cell r="H418">
            <v>379.8</v>
          </cell>
          <cell r="J418" t="e">
            <v>#N/A</v>
          </cell>
          <cell r="L418" t="e">
            <v>#N/A</v>
          </cell>
          <cell r="M418">
            <v>53</v>
          </cell>
          <cell r="N418" t="e">
            <v>#N/A</v>
          </cell>
          <cell r="O418" t="e">
            <v>#N/A</v>
          </cell>
          <cell r="P418" t="e">
            <v>#N/A</v>
          </cell>
          <cell r="Q418" t="e">
            <v>#N/A</v>
          </cell>
          <cell r="R418">
            <v>251.85</v>
          </cell>
          <cell r="S418" t="e">
            <v>#N/A</v>
          </cell>
          <cell r="V418">
            <v>0</v>
          </cell>
        </row>
        <row r="419">
          <cell r="A419">
            <v>46611</v>
          </cell>
          <cell r="B419" t="e">
            <v>#N/A</v>
          </cell>
          <cell r="D419" t="e">
            <v>#N/A</v>
          </cell>
          <cell r="F419">
            <v>0</v>
          </cell>
          <cell r="G419">
            <v>0</v>
          </cell>
          <cell r="H419">
            <v>379.8</v>
          </cell>
          <cell r="J419" t="e">
            <v>#N/A</v>
          </cell>
          <cell r="L419" t="e">
            <v>#N/A</v>
          </cell>
          <cell r="M419">
            <v>53</v>
          </cell>
          <cell r="N419" t="e">
            <v>#N/A</v>
          </cell>
          <cell r="O419" t="e">
            <v>#N/A</v>
          </cell>
          <cell r="P419" t="e">
            <v>#N/A</v>
          </cell>
          <cell r="Q419" t="e">
            <v>#N/A</v>
          </cell>
          <cell r="R419">
            <v>251.85</v>
          </cell>
          <cell r="S419" t="e">
            <v>#N/A</v>
          </cell>
          <cell r="V419">
            <v>0</v>
          </cell>
        </row>
        <row r="420">
          <cell r="A420">
            <v>46612</v>
          </cell>
          <cell r="B420" t="e">
            <v>#N/A</v>
          </cell>
          <cell r="D420" t="e">
            <v>#N/A</v>
          </cell>
          <cell r="F420">
            <v>0</v>
          </cell>
          <cell r="G420">
            <v>0</v>
          </cell>
          <cell r="H420">
            <v>379.8</v>
          </cell>
          <cell r="J420" t="e">
            <v>#N/A</v>
          </cell>
          <cell r="L420" t="e">
            <v>#N/A</v>
          </cell>
          <cell r="M420">
            <v>53</v>
          </cell>
          <cell r="N420" t="e">
            <v>#N/A</v>
          </cell>
          <cell r="O420" t="e">
            <v>#N/A</v>
          </cell>
          <cell r="P420" t="e">
            <v>#N/A</v>
          </cell>
          <cell r="Q420" t="e">
            <v>#N/A</v>
          </cell>
          <cell r="R420">
            <v>251.85</v>
          </cell>
          <cell r="S420" t="e">
            <v>#N/A</v>
          </cell>
          <cell r="V420">
            <v>0</v>
          </cell>
        </row>
        <row r="421">
          <cell r="A421">
            <v>46613</v>
          </cell>
          <cell r="B421" t="e">
            <v>#N/A</v>
          </cell>
          <cell r="D421" t="e">
            <v>#N/A</v>
          </cell>
          <cell r="F421">
            <v>0</v>
          </cell>
          <cell r="G421">
            <v>0</v>
          </cell>
          <cell r="H421">
            <v>379.8</v>
          </cell>
          <cell r="J421" t="e">
            <v>#N/A</v>
          </cell>
          <cell r="L421" t="e">
            <v>#N/A</v>
          </cell>
          <cell r="M421">
            <v>53</v>
          </cell>
          <cell r="N421" t="e">
            <v>#N/A</v>
          </cell>
          <cell r="O421" t="e">
            <v>#N/A</v>
          </cell>
          <cell r="P421" t="e">
            <v>#N/A</v>
          </cell>
          <cell r="Q421" t="e">
            <v>#N/A</v>
          </cell>
          <cell r="R421">
            <v>251.85</v>
          </cell>
          <cell r="S421" t="e">
            <v>#N/A</v>
          </cell>
          <cell r="V421">
            <v>0</v>
          </cell>
        </row>
        <row r="422">
          <cell r="A422">
            <v>46614</v>
          </cell>
          <cell r="B422" t="e">
            <v>#N/A</v>
          </cell>
          <cell r="D422" t="e">
            <v>#N/A</v>
          </cell>
          <cell r="F422">
            <v>0</v>
          </cell>
          <cell r="G422">
            <v>0</v>
          </cell>
          <cell r="H422">
            <v>379.8</v>
          </cell>
          <cell r="J422" t="e">
            <v>#N/A</v>
          </cell>
          <cell r="L422" t="e">
            <v>#N/A</v>
          </cell>
          <cell r="M422">
            <v>53</v>
          </cell>
          <cell r="N422" t="e">
            <v>#N/A</v>
          </cell>
          <cell r="O422" t="e">
            <v>#N/A</v>
          </cell>
          <cell r="P422" t="e">
            <v>#N/A</v>
          </cell>
          <cell r="Q422" t="e">
            <v>#N/A</v>
          </cell>
          <cell r="R422">
            <v>251.85</v>
          </cell>
          <cell r="S422" t="e">
            <v>#N/A</v>
          </cell>
          <cell r="V422">
            <v>0</v>
          </cell>
        </row>
        <row r="423">
          <cell r="A423">
            <v>46615</v>
          </cell>
          <cell r="B423" t="e">
            <v>#N/A</v>
          </cell>
          <cell r="D423" t="e">
            <v>#N/A</v>
          </cell>
          <cell r="F423">
            <v>0</v>
          </cell>
          <cell r="G423">
            <v>0</v>
          </cell>
          <cell r="H423">
            <v>379.8</v>
          </cell>
          <cell r="J423" t="e">
            <v>#N/A</v>
          </cell>
          <cell r="L423" t="e">
            <v>#N/A</v>
          </cell>
          <cell r="M423">
            <v>53</v>
          </cell>
          <cell r="N423" t="e">
            <v>#N/A</v>
          </cell>
          <cell r="O423" t="e">
            <v>#N/A</v>
          </cell>
          <cell r="P423" t="e">
            <v>#N/A</v>
          </cell>
          <cell r="Q423" t="e">
            <v>#N/A</v>
          </cell>
          <cell r="R423">
            <v>251.85</v>
          </cell>
          <cell r="S423" t="e">
            <v>#N/A</v>
          </cell>
          <cell r="V423">
            <v>0</v>
          </cell>
        </row>
        <row r="424">
          <cell r="A424">
            <v>46616</v>
          </cell>
          <cell r="B424" t="e">
            <v>#N/A</v>
          </cell>
          <cell r="D424" t="e">
            <v>#N/A</v>
          </cell>
          <cell r="F424">
            <v>0</v>
          </cell>
          <cell r="G424">
            <v>0</v>
          </cell>
          <cell r="H424">
            <v>379.8</v>
          </cell>
          <cell r="J424" t="e">
            <v>#N/A</v>
          </cell>
          <cell r="L424" t="e">
            <v>#N/A</v>
          </cell>
          <cell r="M424">
            <v>53</v>
          </cell>
          <cell r="N424" t="e">
            <v>#N/A</v>
          </cell>
          <cell r="O424" t="e">
            <v>#N/A</v>
          </cell>
          <cell r="P424" t="e">
            <v>#N/A</v>
          </cell>
          <cell r="Q424" t="e">
            <v>#N/A</v>
          </cell>
          <cell r="R424">
            <v>251.85</v>
          </cell>
          <cell r="S424" t="e">
            <v>#N/A</v>
          </cell>
          <cell r="V424">
            <v>0</v>
          </cell>
        </row>
        <row r="425">
          <cell r="A425">
            <v>46617</v>
          </cell>
          <cell r="B425" t="e">
            <v>#N/A</v>
          </cell>
          <cell r="D425" t="e">
            <v>#N/A</v>
          </cell>
          <cell r="F425">
            <v>0</v>
          </cell>
          <cell r="G425">
            <v>0</v>
          </cell>
          <cell r="H425">
            <v>379.8</v>
          </cell>
          <cell r="J425" t="e">
            <v>#N/A</v>
          </cell>
          <cell r="L425" t="e">
            <v>#N/A</v>
          </cell>
          <cell r="M425">
            <v>53</v>
          </cell>
          <cell r="N425" t="e">
            <v>#N/A</v>
          </cell>
          <cell r="O425" t="e">
            <v>#N/A</v>
          </cell>
          <cell r="P425" t="e">
            <v>#N/A</v>
          </cell>
          <cell r="Q425" t="e">
            <v>#N/A</v>
          </cell>
          <cell r="R425">
            <v>251.85</v>
          </cell>
          <cell r="S425" t="e">
            <v>#N/A</v>
          </cell>
          <cell r="V425">
            <v>0</v>
          </cell>
        </row>
        <row r="426">
          <cell r="A426">
            <v>46618</v>
          </cell>
          <cell r="B426" t="e">
            <v>#N/A</v>
          </cell>
          <cell r="D426" t="e">
            <v>#N/A</v>
          </cell>
          <cell r="F426">
            <v>0</v>
          </cell>
          <cell r="G426">
            <v>0</v>
          </cell>
          <cell r="H426">
            <v>379.8</v>
          </cell>
          <cell r="J426" t="e">
            <v>#N/A</v>
          </cell>
          <cell r="L426" t="e">
            <v>#N/A</v>
          </cell>
          <cell r="M426">
            <v>53</v>
          </cell>
          <cell r="N426" t="e">
            <v>#N/A</v>
          </cell>
          <cell r="O426" t="e">
            <v>#N/A</v>
          </cell>
          <cell r="P426" t="e">
            <v>#N/A</v>
          </cell>
          <cell r="Q426" t="e">
            <v>#N/A</v>
          </cell>
          <cell r="R426">
            <v>251.85</v>
          </cell>
          <cell r="S426" t="e">
            <v>#N/A</v>
          </cell>
          <cell r="V426">
            <v>0</v>
          </cell>
        </row>
        <row r="427">
          <cell r="A427">
            <v>46619</v>
          </cell>
          <cell r="B427" t="e">
            <v>#N/A</v>
          </cell>
          <cell r="D427" t="e">
            <v>#N/A</v>
          </cell>
          <cell r="F427">
            <v>0</v>
          </cell>
          <cell r="G427">
            <v>0</v>
          </cell>
          <cell r="H427">
            <v>379.8</v>
          </cell>
          <cell r="J427" t="e">
            <v>#N/A</v>
          </cell>
          <cell r="L427" t="e">
            <v>#N/A</v>
          </cell>
          <cell r="M427">
            <v>53</v>
          </cell>
          <cell r="N427" t="e">
            <v>#N/A</v>
          </cell>
          <cell r="O427" t="e">
            <v>#N/A</v>
          </cell>
          <cell r="P427" t="e">
            <v>#N/A</v>
          </cell>
          <cell r="Q427" t="e">
            <v>#N/A</v>
          </cell>
          <cell r="R427">
            <v>251.85</v>
          </cell>
          <cell r="S427" t="e">
            <v>#N/A</v>
          </cell>
          <cell r="V427">
            <v>0</v>
          </cell>
        </row>
        <row r="428">
          <cell r="A428">
            <v>46620</v>
          </cell>
          <cell r="B428" t="e">
            <v>#N/A</v>
          </cell>
          <cell r="D428" t="e">
            <v>#N/A</v>
          </cell>
          <cell r="F428">
            <v>0</v>
          </cell>
          <cell r="G428">
            <v>0</v>
          </cell>
          <cell r="H428">
            <v>379.8</v>
          </cell>
          <cell r="J428" t="e">
            <v>#N/A</v>
          </cell>
          <cell r="L428" t="e">
            <v>#N/A</v>
          </cell>
          <cell r="M428">
            <v>53</v>
          </cell>
          <cell r="N428" t="e">
            <v>#N/A</v>
          </cell>
          <cell r="O428" t="e">
            <v>#N/A</v>
          </cell>
          <cell r="P428" t="e">
            <v>#N/A</v>
          </cell>
          <cell r="Q428" t="e">
            <v>#N/A</v>
          </cell>
          <cell r="R428">
            <v>251.85</v>
          </cell>
          <cell r="S428" t="e">
            <v>#N/A</v>
          </cell>
          <cell r="V428">
            <v>0</v>
          </cell>
        </row>
        <row r="429">
          <cell r="A429">
            <v>46621</v>
          </cell>
          <cell r="B429" t="e">
            <v>#N/A</v>
          </cell>
          <cell r="D429" t="e">
            <v>#N/A</v>
          </cell>
          <cell r="F429">
            <v>0</v>
          </cell>
          <cell r="G429">
            <v>0</v>
          </cell>
          <cell r="H429">
            <v>379.8</v>
          </cell>
          <cell r="J429" t="e">
            <v>#N/A</v>
          </cell>
          <cell r="L429" t="e">
            <v>#N/A</v>
          </cell>
          <cell r="M429">
            <v>53</v>
          </cell>
          <cell r="N429" t="e">
            <v>#N/A</v>
          </cell>
          <cell r="O429" t="e">
            <v>#N/A</v>
          </cell>
          <cell r="P429" t="e">
            <v>#N/A</v>
          </cell>
          <cell r="Q429" t="e">
            <v>#N/A</v>
          </cell>
          <cell r="R429">
            <v>251.85</v>
          </cell>
          <cell r="S429" t="e">
            <v>#N/A</v>
          </cell>
          <cell r="V429">
            <v>0</v>
          </cell>
        </row>
        <row r="430">
          <cell r="A430">
            <v>46622</v>
          </cell>
          <cell r="B430" t="e">
            <v>#N/A</v>
          </cell>
          <cell r="D430" t="e">
            <v>#N/A</v>
          </cell>
          <cell r="F430">
            <v>0</v>
          </cell>
          <cell r="G430">
            <v>0</v>
          </cell>
          <cell r="H430">
            <v>379.8</v>
          </cell>
          <cell r="J430" t="e">
            <v>#N/A</v>
          </cell>
          <cell r="L430" t="e">
            <v>#N/A</v>
          </cell>
          <cell r="M430">
            <v>53</v>
          </cell>
          <cell r="N430" t="e">
            <v>#N/A</v>
          </cell>
          <cell r="O430" t="e">
            <v>#N/A</v>
          </cell>
          <cell r="P430" t="e">
            <v>#N/A</v>
          </cell>
          <cell r="Q430" t="e">
            <v>#N/A</v>
          </cell>
          <cell r="R430">
            <v>251.85</v>
          </cell>
          <cell r="S430" t="e">
            <v>#N/A</v>
          </cell>
          <cell r="V430">
            <v>0</v>
          </cell>
        </row>
        <row r="431">
          <cell r="A431">
            <v>46623</v>
          </cell>
          <cell r="B431" t="e">
            <v>#N/A</v>
          </cell>
          <cell r="D431" t="e">
            <v>#N/A</v>
          </cell>
          <cell r="F431">
            <v>0</v>
          </cell>
          <cell r="G431">
            <v>0</v>
          </cell>
          <cell r="H431">
            <v>379.8</v>
          </cell>
          <cell r="J431" t="e">
            <v>#N/A</v>
          </cell>
          <cell r="L431" t="e">
            <v>#N/A</v>
          </cell>
          <cell r="M431">
            <v>53</v>
          </cell>
          <cell r="N431" t="e">
            <v>#N/A</v>
          </cell>
          <cell r="O431" t="e">
            <v>#N/A</v>
          </cell>
          <cell r="P431" t="e">
            <v>#N/A</v>
          </cell>
          <cell r="Q431" t="e">
            <v>#N/A</v>
          </cell>
          <cell r="R431">
            <v>251.85</v>
          </cell>
          <cell r="S431" t="e">
            <v>#N/A</v>
          </cell>
          <cell r="V431">
            <v>0</v>
          </cell>
        </row>
        <row r="432">
          <cell r="A432">
            <v>46624</v>
          </cell>
          <cell r="B432" t="e">
            <v>#N/A</v>
          </cell>
          <cell r="D432" t="e">
            <v>#N/A</v>
          </cell>
          <cell r="F432">
            <v>0</v>
          </cell>
          <cell r="G432">
            <v>0</v>
          </cell>
          <cell r="H432">
            <v>379.8</v>
          </cell>
          <cell r="J432" t="e">
            <v>#N/A</v>
          </cell>
          <cell r="L432" t="e">
            <v>#N/A</v>
          </cell>
          <cell r="M432">
            <v>53</v>
          </cell>
          <cell r="N432" t="e">
            <v>#N/A</v>
          </cell>
          <cell r="O432" t="e">
            <v>#N/A</v>
          </cell>
          <cell r="P432" t="e">
            <v>#N/A</v>
          </cell>
          <cell r="Q432" t="e">
            <v>#N/A</v>
          </cell>
          <cell r="R432">
            <v>251.85</v>
          </cell>
          <cell r="S432" t="e">
            <v>#N/A</v>
          </cell>
          <cell r="V432">
            <v>0</v>
          </cell>
        </row>
        <row r="433">
          <cell r="A433">
            <v>46625</v>
          </cell>
          <cell r="B433" t="e">
            <v>#N/A</v>
          </cell>
          <cell r="D433" t="e">
            <v>#N/A</v>
          </cell>
          <cell r="F433">
            <v>0</v>
          </cell>
          <cell r="G433">
            <v>0</v>
          </cell>
          <cell r="H433">
            <v>379.8</v>
          </cell>
          <cell r="J433" t="e">
            <v>#N/A</v>
          </cell>
          <cell r="L433" t="e">
            <v>#N/A</v>
          </cell>
          <cell r="M433">
            <v>53</v>
          </cell>
          <cell r="N433" t="e">
            <v>#N/A</v>
          </cell>
          <cell r="O433" t="e">
            <v>#N/A</v>
          </cell>
          <cell r="P433" t="e">
            <v>#N/A</v>
          </cell>
          <cell r="Q433" t="e">
            <v>#N/A</v>
          </cell>
          <cell r="R433">
            <v>251.85</v>
          </cell>
          <cell r="S433" t="e">
            <v>#N/A</v>
          </cell>
          <cell r="V433">
            <v>0</v>
          </cell>
        </row>
        <row r="434">
          <cell r="A434">
            <v>46626</v>
          </cell>
          <cell r="B434" t="e">
            <v>#N/A</v>
          </cell>
          <cell r="D434" t="e">
            <v>#N/A</v>
          </cell>
          <cell r="F434">
            <v>0</v>
          </cell>
          <cell r="G434">
            <v>0</v>
          </cell>
          <cell r="H434">
            <v>379.8</v>
          </cell>
          <cell r="J434" t="e">
            <v>#N/A</v>
          </cell>
          <cell r="L434" t="e">
            <v>#N/A</v>
          </cell>
          <cell r="M434">
            <v>53</v>
          </cell>
          <cell r="N434" t="e">
            <v>#N/A</v>
          </cell>
          <cell r="O434" t="e">
            <v>#N/A</v>
          </cell>
          <cell r="P434" t="e">
            <v>#N/A</v>
          </cell>
          <cell r="Q434" t="e">
            <v>#N/A</v>
          </cell>
          <cell r="R434">
            <v>251.85</v>
          </cell>
          <cell r="S434" t="e">
            <v>#N/A</v>
          </cell>
          <cell r="V434">
            <v>0</v>
          </cell>
        </row>
        <row r="435">
          <cell r="A435">
            <v>46627</v>
          </cell>
          <cell r="B435" t="e">
            <v>#N/A</v>
          </cell>
          <cell r="D435" t="e">
            <v>#N/A</v>
          </cell>
          <cell r="F435">
            <v>0</v>
          </cell>
          <cell r="G435">
            <v>0</v>
          </cell>
          <cell r="H435">
            <v>379.8</v>
          </cell>
          <cell r="J435" t="e">
            <v>#N/A</v>
          </cell>
          <cell r="L435" t="e">
            <v>#N/A</v>
          </cell>
          <cell r="M435">
            <v>53</v>
          </cell>
          <cell r="N435" t="e">
            <v>#N/A</v>
          </cell>
          <cell r="O435" t="e">
            <v>#N/A</v>
          </cell>
          <cell r="P435" t="e">
            <v>#N/A</v>
          </cell>
          <cell r="Q435" t="e">
            <v>#N/A</v>
          </cell>
          <cell r="R435">
            <v>251.85</v>
          </cell>
          <cell r="S435" t="e">
            <v>#N/A</v>
          </cell>
          <cell r="V435">
            <v>0</v>
          </cell>
        </row>
        <row r="436">
          <cell r="A436">
            <v>46628</v>
          </cell>
          <cell r="B436" t="e">
            <v>#N/A</v>
          </cell>
          <cell r="D436" t="e">
            <v>#N/A</v>
          </cell>
          <cell r="F436">
            <v>0</v>
          </cell>
          <cell r="G436">
            <v>0</v>
          </cell>
          <cell r="H436">
            <v>379.8</v>
          </cell>
          <cell r="J436" t="e">
            <v>#N/A</v>
          </cell>
          <cell r="L436" t="e">
            <v>#N/A</v>
          </cell>
          <cell r="M436">
            <v>53</v>
          </cell>
          <cell r="N436" t="e">
            <v>#N/A</v>
          </cell>
          <cell r="O436" t="e">
            <v>#N/A</v>
          </cell>
          <cell r="P436" t="e">
            <v>#N/A</v>
          </cell>
          <cell r="Q436" t="e">
            <v>#N/A</v>
          </cell>
          <cell r="R436">
            <v>251.85</v>
          </cell>
          <cell r="S436" t="e">
            <v>#N/A</v>
          </cell>
          <cell r="V436">
            <v>0</v>
          </cell>
        </row>
        <row r="437">
          <cell r="A437">
            <v>46629</v>
          </cell>
          <cell r="B437" t="e">
            <v>#N/A</v>
          </cell>
          <cell r="D437" t="e">
            <v>#N/A</v>
          </cell>
          <cell r="F437">
            <v>0</v>
          </cell>
          <cell r="G437">
            <v>0</v>
          </cell>
          <cell r="H437">
            <v>379.8</v>
          </cell>
          <cell r="J437" t="e">
            <v>#N/A</v>
          </cell>
          <cell r="L437" t="e">
            <v>#N/A</v>
          </cell>
          <cell r="M437">
            <v>53</v>
          </cell>
          <cell r="N437" t="e">
            <v>#N/A</v>
          </cell>
          <cell r="O437" t="e">
            <v>#N/A</v>
          </cell>
          <cell r="P437" t="e">
            <v>#N/A</v>
          </cell>
          <cell r="Q437" t="e">
            <v>#N/A</v>
          </cell>
          <cell r="R437">
            <v>251.85</v>
          </cell>
          <cell r="S437" t="e">
            <v>#N/A</v>
          </cell>
          <cell r="V437">
            <v>0</v>
          </cell>
        </row>
        <row r="438">
          <cell r="A438">
            <v>46630</v>
          </cell>
          <cell r="B438" t="e">
            <v>#N/A</v>
          </cell>
          <cell r="D438" t="e">
            <v>#N/A</v>
          </cell>
          <cell r="F438">
            <v>0</v>
          </cell>
          <cell r="G438">
            <v>0</v>
          </cell>
          <cell r="H438">
            <v>379.8</v>
          </cell>
          <cell r="J438" t="e">
            <v>#N/A</v>
          </cell>
          <cell r="L438" t="e">
            <v>#N/A</v>
          </cell>
          <cell r="M438">
            <v>53</v>
          </cell>
          <cell r="N438" t="e">
            <v>#N/A</v>
          </cell>
          <cell r="O438" t="e">
            <v>#N/A</v>
          </cell>
          <cell r="P438" t="e">
            <v>#N/A</v>
          </cell>
          <cell r="Q438" t="e">
            <v>#N/A</v>
          </cell>
          <cell r="R438">
            <v>251.85</v>
          </cell>
          <cell r="S438" t="e">
            <v>#N/A</v>
          </cell>
          <cell r="V438">
            <v>0</v>
          </cell>
        </row>
        <row r="439">
          <cell r="A439">
            <v>46631</v>
          </cell>
          <cell r="B439" t="e">
            <v>#N/A</v>
          </cell>
          <cell r="D439" t="e">
            <v>#N/A</v>
          </cell>
          <cell r="F439">
            <v>0</v>
          </cell>
          <cell r="G439">
            <v>0</v>
          </cell>
          <cell r="H439">
            <v>379.8</v>
          </cell>
          <cell r="J439" t="e">
            <v>#N/A</v>
          </cell>
          <cell r="L439" t="e">
            <v>#N/A</v>
          </cell>
          <cell r="M439">
            <v>53</v>
          </cell>
          <cell r="N439" t="e">
            <v>#N/A</v>
          </cell>
          <cell r="O439" t="e">
            <v>#N/A</v>
          </cell>
          <cell r="P439" t="e">
            <v>#N/A</v>
          </cell>
          <cell r="Q439" t="e">
            <v>#N/A</v>
          </cell>
          <cell r="R439">
            <v>251.85</v>
          </cell>
          <cell r="S439" t="e">
            <v>#N/A</v>
          </cell>
          <cell r="V439">
            <v>0</v>
          </cell>
        </row>
        <row r="440">
          <cell r="A440">
            <v>46632</v>
          </cell>
          <cell r="B440" t="e">
            <v>#N/A</v>
          </cell>
          <cell r="D440" t="e">
            <v>#N/A</v>
          </cell>
          <cell r="F440">
            <v>0</v>
          </cell>
          <cell r="G440">
            <v>0</v>
          </cell>
          <cell r="H440">
            <v>379.8</v>
          </cell>
          <cell r="J440" t="e">
            <v>#N/A</v>
          </cell>
          <cell r="L440" t="e">
            <v>#N/A</v>
          </cell>
          <cell r="M440">
            <v>53</v>
          </cell>
          <cell r="N440" t="e">
            <v>#N/A</v>
          </cell>
          <cell r="O440" t="e">
            <v>#N/A</v>
          </cell>
          <cell r="P440" t="e">
            <v>#N/A</v>
          </cell>
          <cell r="Q440" t="e">
            <v>#N/A</v>
          </cell>
          <cell r="R440">
            <v>251.85</v>
          </cell>
          <cell r="S440" t="e">
            <v>#N/A</v>
          </cell>
          <cell r="V440">
            <v>0</v>
          </cell>
        </row>
        <row r="441">
          <cell r="A441">
            <v>46633</v>
          </cell>
          <cell r="B441" t="e">
            <v>#N/A</v>
          </cell>
          <cell r="D441" t="e">
            <v>#N/A</v>
          </cell>
          <cell r="F441">
            <v>0</v>
          </cell>
          <cell r="G441">
            <v>0</v>
          </cell>
          <cell r="H441">
            <v>379.8</v>
          </cell>
          <cell r="J441" t="e">
            <v>#N/A</v>
          </cell>
          <cell r="L441" t="e">
            <v>#N/A</v>
          </cell>
          <cell r="M441">
            <v>53</v>
          </cell>
          <cell r="N441" t="e">
            <v>#N/A</v>
          </cell>
          <cell r="O441" t="e">
            <v>#N/A</v>
          </cell>
          <cell r="P441" t="e">
            <v>#N/A</v>
          </cell>
          <cell r="Q441" t="e">
            <v>#N/A</v>
          </cell>
          <cell r="R441">
            <v>251.85</v>
          </cell>
          <cell r="S441" t="e">
            <v>#N/A</v>
          </cell>
          <cell r="V441">
            <v>0</v>
          </cell>
        </row>
        <row r="442">
          <cell r="A442">
            <v>46634</v>
          </cell>
          <cell r="B442" t="e">
            <v>#N/A</v>
          </cell>
          <cell r="D442" t="e">
            <v>#N/A</v>
          </cell>
          <cell r="F442">
            <v>0</v>
          </cell>
          <cell r="G442">
            <v>0</v>
          </cell>
          <cell r="H442">
            <v>379.8</v>
          </cell>
          <cell r="J442" t="e">
            <v>#N/A</v>
          </cell>
          <cell r="L442" t="e">
            <v>#N/A</v>
          </cell>
          <cell r="M442">
            <v>53</v>
          </cell>
          <cell r="N442" t="e">
            <v>#N/A</v>
          </cell>
          <cell r="O442" t="e">
            <v>#N/A</v>
          </cell>
          <cell r="P442" t="e">
            <v>#N/A</v>
          </cell>
          <cell r="Q442" t="e">
            <v>#N/A</v>
          </cell>
          <cell r="R442">
            <v>251.85</v>
          </cell>
          <cell r="S442" t="e">
            <v>#N/A</v>
          </cell>
          <cell r="V442">
            <v>0</v>
          </cell>
        </row>
        <row r="443">
          <cell r="A443">
            <v>46635</v>
          </cell>
          <cell r="B443" t="e">
            <v>#N/A</v>
          </cell>
          <cell r="D443" t="e">
            <v>#N/A</v>
          </cell>
          <cell r="F443">
            <v>0</v>
          </cell>
          <cell r="G443">
            <v>0</v>
          </cell>
          <cell r="H443">
            <v>379.8</v>
          </cell>
          <cell r="J443" t="e">
            <v>#N/A</v>
          </cell>
          <cell r="L443" t="e">
            <v>#N/A</v>
          </cell>
          <cell r="M443">
            <v>53</v>
          </cell>
          <cell r="N443" t="e">
            <v>#N/A</v>
          </cell>
          <cell r="O443" t="e">
            <v>#N/A</v>
          </cell>
          <cell r="P443" t="e">
            <v>#N/A</v>
          </cell>
          <cell r="Q443" t="e">
            <v>#N/A</v>
          </cell>
          <cell r="R443">
            <v>251.85</v>
          </cell>
          <cell r="S443" t="e">
            <v>#N/A</v>
          </cell>
          <cell r="V443">
            <v>0</v>
          </cell>
        </row>
        <row r="444">
          <cell r="A444">
            <v>46636</v>
          </cell>
          <cell r="B444" t="e">
            <v>#N/A</v>
          </cell>
          <cell r="D444" t="e">
            <v>#N/A</v>
          </cell>
          <cell r="F444">
            <v>0</v>
          </cell>
          <cell r="G444">
            <v>0</v>
          </cell>
          <cell r="H444">
            <v>379.8</v>
          </cell>
          <cell r="J444" t="e">
            <v>#N/A</v>
          </cell>
          <cell r="L444" t="e">
            <v>#N/A</v>
          </cell>
          <cell r="M444">
            <v>53</v>
          </cell>
          <cell r="N444" t="e">
            <v>#N/A</v>
          </cell>
          <cell r="O444" t="e">
            <v>#N/A</v>
          </cell>
          <cell r="P444" t="e">
            <v>#N/A</v>
          </cell>
          <cell r="Q444" t="e">
            <v>#N/A</v>
          </cell>
          <cell r="R444">
            <v>251.85</v>
          </cell>
          <cell r="S444" t="e">
            <v>#N/A</v>
          </cell>
          <cell r="V444">
            <v>0</v>
          </cell>
        </row>
        <row r="445">
          <cell r="A445">
            <v>46637</v>
          </cell>
          <cell r="B445" t="e">
            <v>#N/A</v>
          </cell>
          <cell r="D445" t="e">
            <v>#N/A</v>
          </cell>
          <cell r="F445">
            <v>0</v>
          </cell>
          <cell r="G445">
            <v>0</v>
          </cell>
          <cell r="H445">
            <v>379.8</v>
          </cell>
          <cell r="J445" t="e">
            <v>#N/A</v>
          </cell>
          <cell r="L445" t="e">
            <v>#N/A</v>
          </cell>
          <cell r="M445">
            <v>53</v>
          </cell>
          <cell r="N445" t="e">
            <v>#N/A</v>
          </cell>
          <cell r="O445" t="e">
            <v>#N/A</v>
          </cell>
          <cell r="P445" t="e">
            <v>#N/A</v>
          </cell>
          <cell r="Q445" t="e">
            <v>#N/A</v>
          </cell>
          <cell r="R445">
            <v>251.85</v>
          </cell>
          <cell r="S445" t="e">
            <v>#N/A</v>
          </cell>
          <cell r="V445">
            <v>0</v>
          </cell>
        </row>
        <row r="446">
          <cell r="A446">
            <v>46638</v>
          </cell>
          <cell r="B446" t="e">
            <v>#N/A</v>
          </cell>
          <cell r="D446" t="e">
            <v>#N/A</v>
          </cell>
          <cell r="F446">
            <v>0</v>
          </cell>
          <cell r="G446">
            <v>0</v>
          </cell>
          <cell r="H446">
            <v>379.8</v>
          </cell>
          <cell r="J446" t="e">
            <v>#N/A</v>
          </cell>
          <cell r="L446" t="e">
            <v>#N/A</v>
          </cell>
          <cell r="M446">
            <v>53</v>
          </cell>
          <cell r="N446" t="e">
            <v>#N/A</v>
          </cell>
          <cell r="O446" t="e">
            <v>#N/A</v>
          </cell>
          <cell r="P446" t="e">
            <v>#N/A</v>
          </cell>
          <cell r="Q446" t="e">
            <v>#N/A</v>
          </cell>
          <cell r="R446">
            <v>251.85</v>
          </cell>
          <cell r="S446" t="e">
            <v>#N/A</v>
          </cell>
          <cell r="V446">
            <v>0</v>
          </cell>
        </row>
        <row r="447">
          <cell r="A447">
            <v>46639</v>
          </cell>
          <cell r="B447" t="e">
            <v>#N/A</v>
          </cell>
          <cell r="D447" t="e">
            <v>#N/A</v>
          </cell>
          <cell r="F447">
            <v>0</v>
          </cell>
          <cell r="G447">
            <v>0</v>
          </cell>
          <cell r="H447">
            <v>379.8</v>
          </cell>
          <cell r="J447" t="e">
            <v>#N/A</v>
          </cell>
          <cell r="L447" t="e">
            <v>#N/A</v>
          </cell>
          <cell r="M447">
            <v>53</v>
          </cell>
          <cell r="N447" t="e">
            <v>#N/A</v>
          </cell>
          <cell r="O447" t="e">
            <v>#N/A</v>
          </cell>
          <cell r="P447" t="e">
            <v>#N/A</v>
          </cell>
          <cell r="Q447" t="e">
            <v>#N/A</v>
          </cell>
          <cell r="R447">
            <v>251.85</v>
          </cell>
          <cell r="S447" t="e">
            <v>#N/A</v>
          </cell>
          <cell r="V447">
            <v>0</v>
          </cell>
        </row>
        <row r="448">
          <cell r="A448">
            <v>46640</v>
          </cell>
          <cell r="B448" t="e">
            <v>#N/A</v>
          </cell>
          <cell r="D448" t="e">
            <v>#N/A</v>
          </cell>
          <cell r="F448">
            <v>0</v>
          </cell>
          <cell r="G448">
            <v>0</v>
          </cell>
          <cell r="H448">
            <v>379.8</v>
          </cell>
          <cell r="J448" t="e">
            <v>#N/A</v>
          </cell>
          <cell r="L448" t="e">
            <v>#N/A</v>
          </cell>
          <cell r="M448">
            <v>53</v>
          </cell>
          <cell r="N448" t="e">
            <v>#N/A</v>
          </cell>
          <cell r="O448" t="e">
            <v>#N/A</v>
          </cell>
          <cell r="P448" t="e">
            <v>#N/A</v>
          </cell>
          <cell r="Q448" t="e">
            <v>#N/A</v>
          </cell>
          <cell r="R448">
            <v>251.85</v>
          </cell>
          <cell r="S448" t="e">
            <v>#N/A</v>
          </cell>
          <cell r="V448">
            <v>0</v>
          </cell>
        </row>
        <row r="449">
          <cell r="A449">
            <v>46641</v>
          </cell>
          <cell r="B449" t="e">
            <v>#N/A</v>
          </cell>
          <cell r="D449" t="e">
            <v>#N/A</v>
          </cell>
          <cell r="F449">
            <v>0</v>
          </cell>
          <cell r="G449">
            <v>0</v>
          </cell>
          <cell r="H449">
            <v>379.8</v>
          </cell>
          <cell r="J449" t="e">
            <v>#N/A</v>
          </cell>
          <cell r="L449" t="e">
            <v>#N/A</v>
          </cell>
          <cell r="M449">
            <v>53</v>
          </cell>
          <cell r="N449" t="e">
            <v>#N/A</v>
          </cell>
          <cell r="O449" t="e">
            <v>#N/A</v>
          </cell>
          <cell r="P449" t="e">
            <v>#N/A</v>
          </cell>
          <cell r="Q449" t="e">
            <v>#N/A</v>
          </cell>
          <cell r="R449">
            <v>251.85</v>
          </cell>
          <cell r="S449" t="e">
            <v>#N/A</v>
          </cell>
          <cell r="V449">
            <v>0</v>
          </cell>
        </row>
        <row r="450">
          <cell r="A450">
            <v>46642</v>
          </cell>
          <cell r="B450" t="e">
            <v>#N/A</v>
          </cell>
          <cell r="D450" t="e">
            <v>#N/A</v>
          </cell>
          <cell r="F450">
            <v>0</v>
          </cell>
          <cell r="G450">
            <v>0</v>
          </cell>
          <cell r="H450">
            <v>379.8</v>
          </cell>
          <cell r="J450" t="e">
            <v>#N/A</v>
          </cell>
          <cell r="L450" t="e">
            <v>#N/A</v>
          </cell>
          <cell r="M450">
            <v>53</v>
          </cell>
          <cell r="N450" t="e">
            <v>#N/A</v>
          </cell>
          <cell r="O450" t="e">
            <v>#N/A</v>
          </cell>
          <cell r="P450" t="e">
            <v>#N/A</v>
          </cell>
          <cell r="Q450" t="e">
            <v>#N/A</v>
          </cell>
          <cell r="R450">
            <v>251.85</v>
          </cell>
          <cell r="S450" t="e">
            <v>#N/A</v>
          </cell>
          <cell r="V450">
            <v>0</v>
          </cell>
        </row>
        <row r="451">
          <cell r="A451">
            <v>46643</v>
          </cell>
          <cell r="B451" t="e">
            <v>#N/A</v>
          </cell>
          <cell r="D451" t="e">
            <v>#N/A</v>
          </cell>
          <cell r="F451">
            <v>0</v>
          </cell>
          <cell r="G451">
            <v>0</v>
          </cell>
          <cell r="H451">
            <v>379.8</v>
          </cell>
          <cell r="J451" t="e">
            <v>#N/A</v>
          </cell>
          <cell r="L451" t="e">
            <v>#N/A</v>
          </cell>
          <cell r="M451">
            <v>53</v>
          </cell>
          <cell r="N451" t="e">
            <v>#N/A</v>
          </cell>
          <cell r="O451" t="e">
            <v>#N/A</v>
          </cell>
          <cell r="P451" t="e">
            <v>#N/A</v>
          </cell>
          <cell r="Q451" t="e">
            <v>#N/A</v>
          </cell>
          <cell r="R451">
            <v>251.85</v>
          </cell>
          <cell r="S451" t="e">
            <v>#N/A</v>
          </cell>
          <cell r="V451">
            <v>0</v>
          </cell>
        </row>
        <row r="452">
          <cell r="A452">
            <v>46644</v>
          </cell>
          <cell r="B452" t="e">
            <v>#N/A</v>
          </cell>
          <cell r="D452" t="e">
            <v>#N/A</v>
          </cell>
          <cell r="F452">
            <v>0</v>
          </cell>
          <cell r="G452">
            <v>0</v>
          </cell>
          <cell r="H452">
            <v>379.8</v>
          </cell>
          <cell r="J452" t="e">
            <v>#N/A</v>
          </cell>
          <cell r="L452" t="e">
            <v>#N/A</v>
          </cell>
          <cell r="M452">
            <v>53</v>
          </cell>
          <cell r="N452" t="e">
            <v>#N/A</v>
          </cell>
          <cell r="O452" t="e">
            <v>#N/A</v>
          </cell>
          <cell r="P452" t="e">
            <v>#N/A</v>
          </cell>
          <cell r="Q452" t="e">
            <v>#N/A</v>
          </cell>
          <cell r="R452">
            <v>251.85</v>
          </cell>
          <cell r="S452" t="e">
            <v>#N/A</v>
          </cell>
          <cell r="V452">
            <v>0</v>
          </cell>
        </row>
        <row r="453">
          <cell r="A453">
            <v>46645</v>
          </cell>
          <cell r="B453" t="e">
            <v>#N/A</v>
          </cell>
          <cell r="D453" t="e">
            <v>#N/A</v>
          </cell>
          <cell r="F453">
            <v>0</v>
          </cell>
          <cell r="G453">
            <v>0</v>
          </cell>
          <cell r="H453">
            <v>379.8</v>
          </cell>
          <cell r="J453" t="e">
            <v>#N/A</v>
          </cell>
          <cell r="L453" t="e">
            <v>#N/A</v>
          </cell>
          <cell r="M453">
            <v>53</v>
          </cell>
          <cell r="N453" t="e">
            <v>#N/A</v>
          </cell>
          <cell r="O453" t="e">
            <v>#N/A</v>
          </cell>
          <cell r="P453" t="e">
            <v>#N/A</v>
          </cell>
          <cell r="Q453" t="e">
            <v>#N/A</v>
          </cell>
          <cell r="R453">
            <v>251.85</v>
          </cell>
          <cell r="S453" t="e">
            <v>#N/A</v>
          </cell>
          <cell r="V453">
            <v>0</v>
          </cell>
        </row>
        <row r="454">
          <cell r="A454">
            <v>46646</v>
          </cell>
          <cell r="B454" t="e">
            <v>#N/A</v>
          </cell>
          <cell r="D454" t="e">
            <v>#N/A</v>
          </cell>
          <cell r="F454">
            <v>0</v>
          </cell>
          <cell r="G454">
            <v>0</v>
          </cell>
          <cell r="H454">
            <v>379.8</v>
          </cell>
          <cell r="J454" t="e">
            <v>#N/A</v>
          </cell>
          <cell r="L454" t="e">
            <v>#N/A</v>
          </cell>
          <cell r="M454">
            <v>53</v>
          </cell>
          <cell r="N454" t="e">
            <v>#N/A</v>
          </cell>
          <cell r="O454" t="e">
            <v>#N/A</v>
          </cell>
          <cell r="P454" t="e">
            <v>#N/A</v>
          </cell>
          <cell r="Q454" t="e">
            <v>#N/A</v>
          </cell>
          <cell r="R454">
            <v>251.85</v>
          </cell>
          <cell r="S454" t="e">
            <v>#N/A</v>
          </cell>
          <cell r="V454">
            <v>0</v>
          </cell>
        </row>
        <row r="455">
          <cell r="A455">
            <v>46647</v>
          </cell>
          <cell r="B455" t="e">
            <v>#N/A</v>
          </cell>
          <cell r="D455" t="e">
            <v>#N/A</v>
          </cell>
          <cell r="F455">
            <v>0</v>
          </cell>
          <cell r="G455">
            <v>0</v>
          </cell>
          <cell r="H455">
            <v>379.8</v>
          </cell>
          <cell r="J455" t="e">
            <v>#N/A</v>
          </cell>
          <cell r="L455" t="e">
            <v>#N/A</v>
          </cell>
          <cell r="M455">
            <v>53</v>
          </cell>
          <cell r="N455" t="e">
            <v>#N/A</v>
          </cell>
          <cell r="O455" t="e">
            <v>#N/A</v>
          </cell>
          <cell r="P455" t="e">
            <v>#N/A</v>
          </cell>
          <cell r="Q455" t="e">
            <v>#N/A</v>
          </cell>
          <cell r="R455">
            <v>251.85</v>
          </cell>
          <cell r="S455" t="e">
            <v>#N/A</v>
          </cell>
          <cell r="V455">
            <v>0</v>
          </cell>
        </row>
        <row r="456">
          <cell r="A456">
            <v>46648</v>
          </cell>
          <cell r="B456" t="e">
            <v>#N/A</v>
          </cell>
          <cell r="D456" t="e">
            <v>#N/A</v>
          </cell>
          <cell r="F456">
            <v>0</v>
          </cell>
          <cell r="G456">
            <v>0</v>
          </cell>
          <cell r="H456">
            <v>379.8</v>
          </cell>
          <cell r="J456" t="e">
            <v>#N/A</v>
          </cell>
          <cell r="L456" t="e">
            <v>#N/A</v>
          </cell>
          <cell r="M456">
            <v>53</v>
          </cell>
          <cell r="N456" t="e">
            <v>#N/A</v>
          </cell>
          <cell r="O456" t="e">
            <v>#N/A</v>
          </cell>
          <cell r="P456" t="e">
            <v>#N/A</v>
          </cell>
          <cell r="Q456" t="e">
            <v>#N/A</v>
          </cell>
          <cell r="R456">
            <v>251.85</v>
          </cell>
          <cell r="S456" t="e">
            <v>#N/A</v>
          </cell>
          <cell r="V456">
            <v>0</v>
          </cell>
        </row>
        <row r="457">
          <cell r="A457">
            <v>46649</v>
          </cell>
          <cell r="B457" t="e">
            <v>#N/A</v>
          </cell>
          <cell r="D457" t="e">
            <v>#N/A</v>
          </cell>
          <cell r="F457">
            <v>0</v>
          </cell>
          <cell r="G457">
            <v>0</v>
          </cell>
          <cell r="H457">
            <v>379.8</v>
          </cell>
          <cell r="J457" t="e">
            <v>#N/A</v>
          </cell>
          <cell r="L457" t="e">
            <v>#N/A</v>
          </cell>
          <cell r="M457">
            <v>53</v>
          </cell>
          <cell r="N457" t="e">
            <v>#N/A</v>
          </cell>
          <cell r="O457" t="e">
            <v>#N/A</v>
          </cell>
          <cell r="P457" t="e">
            <v>#N/A</v>
          </cell>
          <cell r="Q457" t="e">
            <v>#N/A</v>
          </cell>
          <cell r="R457">
            <v>251.85</v>
          </cell>
          <cell r="S457" t="e">
            <v>#N/A</v>
          </cell>
          <cell r="V457">
            <v>0</v>
          </cell>
        </row>
        <row r="458">
          <cell r="A458">
            <v>46650</v>
          </cell>
          <cell r="B458" t="e">
            <v>#N/A</v>
          </cell>
          <cell r="D458" t="e">
            <v>#N/A</v>
          </cell>
          <cell r="F458">
            <v>0</v>
          </cell>
          <cell r="G458">
            <v>0</v>
          </cell>
          <cell r="H458">
            <v>379.8</v>
          </cell>
          <cell r="J458" t="e">
            <v>#N/A</v>
          </cell>
          <cell r="L458" t="e">
            <v>#N/A</v>
          </cell>
          <cell r="M458">
            <v>53</v>
          </cell>
          <cell r="N458" t="e">
            <v>#N/A</v>
          </cell>
          <cell r="O458" t="e">
            <v>#N/A</v>
          </cell>
          <cell r="P458" t="e">
            <v>#N/A</v>
          </cell>
          <cell r="Q458" t="e">
            <v>#N/A</v>
          </cell>
          <cell r="R458">
            <v>251.85</v>
          </cell>
          <cell r="S458" t="e">
            <v>#N/A</v>
          </cell>
          <cell r="V458">
            <v>0</v>
          </cell>
        </row>
        <row r="459">
          <cell r="A459">
            <v>46651</v>
          </cell>
          <cell r="B459" t="e">
            <v>#N/A</v>
          </cell>
          <cell r="D459" t="e">
            <v>#N/A</v>
          </cell>
          <cell r="F459">
            <v>0</v>
          </cell>
          <cell r="G459">
            <v>0</v>
          </cell>
          <cell r="H459">
            <v>379.8</v>
          </cell>
          <cell r="J459" t="e">
            <v>#N/A</v>
          </cell>
          <cell r="L459" t="e">
            <v>#N/A</v>
          </cell>
          <cell r="M459">
            <v>53</v>
          </cell>
          <cell r="N459" t="e">
            <v>#N/A</v>
          </cell>
          <cell r="O459" t="e">
            <v>#N/A</v>
          </cell>
          <cell r="P459" t="e">
            <v>#N/A</v>
          </cell>
          <cell r="Q459" t="e">
            <v>#N/A</v>
          </cell>
          <cell r="R459">
            <v>251.85</v>
          </cell>
          <cell r="S459" t="e">
            <v>#N/A</v>
          </cell>
          <cell r="V459">
            <v>0</v>
          </cell>
        </row>
        <row r="460">
          <cell r="A460">
            <v>46652</v>
          </cell>
          <cell r="B460" t="e">
            <v>#N/A</v>
          </cell>
          <cell r="D460" t="e">
            <v>#N/A</v>
          </cell>
          <cell r="F460">
            <v>0</v>
          </cell>
          <cell r="G460">
            <v>0</v>
          </cell>
          <cell r="H460">
            <v>379.8</v>
          </cell>
          <cell r="J460" t="e">
            <v>#N/A</v>
          </cell>
          <cell r="L460" t="e">
            <v>#N/A</v>
          </cell>
          <cell r="M460">
            <v>53</v>
          </cell>
          <cell r="N460" t="e">
            <v>#N/A</v>
          </cell>
          <cell r="O460" t="e">
            <v>#N/A</v>
          </cell>
          <cell r="P460" t="e">
            <v>#N/A</v>
          </cell>
          <cell r="Q460" t="e">
            <v>#N/A</v>
          </cell>
          <cell r="R460">
            <v>251.85</v>
          </cell>
          <cell r="S460" t="e">
            <v>#N/A</v>
          </cell>
          <cell r="V460">
            <v>0</v>
          </cell>
        </row>
        <row r="461">
          <cell r="A461">
            <v>46653</v>
          </cell>
          <cell r="B461" t="e">
            <v>#N/A</v>
          </cell>
          <cell r="D461" t="e">
            <v>#N/A</v>
          </cell>
          <cell r="F461">
            <v>0</v>
          </cell>
          <cell r="G461">
            <v>0</v>
          </cell>
          <cell r="H461">
            <v>379.8</v>
          </cell>
          <cell r="J461" t="e">
            <v>#N/A</v>
          </cell>
          <cell r="L461" t="e">
            <v>#N/A</v>
          </cell>
          <cell r="M461">
            <v>53</v>
          </cell>
          <cell r="N461" t="e">
            <v>#N/A</v>
          </cell>
          <cell r="O461" t="e">
            <v>#N/A</v>
          </cell>
          <cell r="P461" t="e">
            <v>#N/A</v>
          </cell>
          <cell r="Q461" t="e">
            <v>#N/A</v>
          </cell>
          <cell r="R461">
            <v>251.85</v>
          </cell>
          <cell r="S461" t="e">
            <v>#N/A</v>
          </cell>
          <cell r="V461">
            <v>0</v>
          </cell>
        </row>
        <row r="462">
          <cell r="A462">
            <v>46654</v>
          </cell>
          <cell r="B462" t="e">
            <v>#N/A</v>
          </cell>
          <cell r="D462" t="e">
            <v>#N/A</v>
          </cell>
          <cell r="F462">
            <v>0</v>
          </cell>
          <cell r="G462">
            <v>0</v>
          </cell>
          <cell r="H462">
            <v>379.8</v>
          </cell>
          <cell r="J462" t="e">
            <v>#N/A</v>
          </cell>
          <cell r="L462" t="e">
            <v>#N/A</v>
          </cell>
          <cell r="M462">
            <v>53</v>
          </cell>
          <cell r="N462" t="e">
            <v>#N/A</v>
          </cell>
          <cell r="O462" t="e">
            <v>#N/A</v>
          </cell>
          <cell r="P462" t="e">
            <v>#N/A</v>
          </cell>
          <cell r="Q462" t="e">
            <v>#N/A</v>
          </cell>
          <cell r="R462">
            <v>251.85</v>
          </cell>
          <cell r="S462" t="e">
            <v>#N/A</v>
          </cell>
          <cell r="V462">
            <v>0</v>
          </cell>
        </row>
        <row r="463">
          <cell r="A463">
            <v>46655</v>
          </cell>
          <cell r="B463" t="e">
            <v>#N/A</v>
          </cell>
          <cell r="D463" t="e">
            <v>#N/A</v>
          </cell>
          <cell r="F463">
            <v>0</v>
          </cell>
          <cell r="G463">
            <v>0</v>
          </cell>
          <cell r="H463">
            <v>379.8</v>
          </cell>
          <cell r="J463" t="e">
            <v>#N/A</v>
          </cell>
          <cell r="L463" t="e">
            <v>#N/A</v>
          </cell>
          <cell r="M463">
            <v>53</v>
          </cell>
          <cell r="N463" t="e">
            <v>#N/A</v>
          </cell>
          <cell r="O463" t="e">
            <v>#N/A</v>
          </cell>
          <cell r="P463" t="e">
            <v>#N/A</v>
          </cell>
          <cell r="Q463" t="e">
            <v>#N/A</v>
          </cell>
          <cell r="R463">
            <v>251.85</v>
          </cell>
          <cell r="S463" t="e">
            <v>#N/A</v>
          </cell>
          <cell r="V463">
            <v>0</v>
          </cell>
        </row>
        <row r="464">
          <cell r="A464">
            <v>46656</v>
          </cell>
          <cell r="B464" t="e">
            <v>#N/A</v>
          </cell>
          <cell r="D464" t="e">
            <v>#N/A</v>
          </cell>
          <cell r="F464">
            <v>0</v>
          </cell>
          <cell r="G464">
            <v>0</v>
          </cell>
          <cell r="H464">
            <v>379.8</v>
          </cell>
          <cell r="J464" t="e">
            <v>#N/A</v>
          </cell>
          <cell r="L464" t="e">
            <v>#N/A</v>
          </cell>
          <cell r="M464">
            <v>53</v>
          </cell>
          <cell r="N464" t="e">
            <v>#N/A</v>
          </cell>
          <cell r="O464" t="e">
            <v>#N/A</v>
          </cell>
          <cell r="P464" t="e">
            <v>#N/A</v>
          </cell>
          <cell r="Q464" t="e">
            <v>#N/A</v>
          </cell>
          <cell r="R464">
            <v>251.85</v>
          </cell>
          <cell r="S464" t="e">
            <v>#N/A</v>
          </cell>
          <cell r="V464">
            <v>0</v>
          </cell>
        </row>
        <row r="465">
          <cell r="A465">
            <v>46657</v>
          </cell>
          <cell r="B465" t="e">
            <v>#N/A</v>
          </cell>
          <cell r="D465" t="e">
            <v>#N/A</v>
          </cell>
          <cell r="F465">
            <v>0</v>
          </cell>
          <cell r="G465">
            <v>0</v>
          </cell>
          <cell r="H465">
            <v>379.8</v>
          </cell>
          <cell r="J465" t="e">
            <v>#N/A</v>
          </cell>
          <cell r="L465" t="e">
            <v>#N/A</v>
          </cell>
          <cell r="M465">
            <v>53</v>
          </cell>
          <cell r="N465" t="e">
            <v>#N/A</v>
          </cell>
          <cell r="O465" t="e">
            <v>#N/A</v>
          </cell>
          <cell r="P465" t="e">
            <v>#N/A</v>
          </cell>
          <cell r="Q465" t="e">
            <v>#N/A</v>
          </cell>
          <cell r="R465">
            <v>251.85</v>
          </cell>
          <cell r="S465" t="e">
            <v>#N/A</v>
          </cell>
          <cell r="V465">
            <v>0</v>
          </cell>
        </row>
        <row r="466">
          <cell r="A466">
            <v>46658</v>
          </cell>
          <cell r="B466" t="e">
            <v>#N/A</v>
          </cell>
          <cell r="D466" t="e">
            <v>#N/A</v>
          </cell>
          <cell r="F466">
            <v>0</v>
          </cell>
          <cell r="G466">
            <v>0</v>
          </cell>
          <cell r="H466">
            <v>379.8</v>
          </cell>
          <cell r="J466" t="e">
            <v>#N/A</v>
          </cell>
          <cell r="L466" t="e">
            <v>#N/A</v>
          </cell>
          <cell r="M466">
            <v>53</v>
          </cell>
          <cell r="N466" t="e">
            <v>#N/A</v>
          </cell>
          <cell r="O466" t="e">
            <v>#N/A</v>
          </cell>
          <cell r="P466" t="e">
            <v>#N/A</v>
          </cell>
          <cell r="Q466" t="e">
            <v>#N/A</v>
          </cell>
          <cell r="R466">
            <v>251.85</v>
          </cell>
          <cell r="S466" t="e">
            <v>#N/A</v>
          </cell>
          <cell r="V466">
            <v>0</v>
          </cell>
        </row>
        <row r="467">
          <cell r="A467">
            <v>46659</v>
          </cell>
          <cell r="B467" t="e">
            <v>#N/A</v>
          </cell>
          <cell r="D467" t="e">
            <v>#N/A</v>
          </cell>
          <cell r="F467">
            <v>0</v>
          </cell>
          <cell r="G467">
            <v>0</v>
          </cell>
          <cell r="H467">
            <v>379.8</v>
          </cell>
          <cell r="J467" t="e">
            <v>#N/A</v>
          </cell>
          <cell r="L467" t="e">
            <v>#N/A</v>
          </cell>
          <cell r="M467">
            <v>53</v>
          </cell>
          <cell r="N467" t="e">
            <v>#N/A</v>
          </cell>
          <cell r="O467" t="e">
            <v>#N/A</v>
          </cell>
          <cell r="P467" t="e">
            <v>#N/A</v>
          </cell>
          <cell r="Q467" t="e">
            <v>#N/A</v>
          </cell>
          <cell r="R467">
            <v>251.85</v>
          </cell>
          <cell r="S467" t="e">
            <v>#N/A</v>
          </cell>
          <cell r="V467">
            <v>0</v>
          </cell>
        </row>
        <row r="468">
          <cell r="A468">
            <v>46660</v>
          </cell>
          <cell r="B468" t="e">
            <v>#N/A</v>
          </cell>
          <cell r="D468" t="e">
            <v>#N/A</v>
          </cell>
          <cell r="F468">
            <v>0</v>
          </cell>
          <cell r="G468">
            <v>0</v>
          </cell>
          <cell r="H468">
            <v>379.8</v>
          </cell>
          <cell r="J468" t="e">
            <v>#N/A</v>
          </cell>
          <cell r="L468" t="e">
            <v>#N/A</v>
          </cell>
          <cell r="M468">
            <v>53</v>
          </cell>
          <cell r="N468" t="e">
            <v>#N/A</v>
          </cell>
          <cell r="O468" t="e">
            <v>#N/A</v>
          </cell>
          <cell r="P468" t="e">
            <v>#N/A</v>
          </cell>
          <cell r="Q468" t="e">
            <v>#N/A</v>
          </cell>
          <cell r="R468">
            <v>251.85</v>
          </cell>
          <cell r="S468" t="e">
            <v>#N/A</v>
          </cell>
          <cell r="V468">
            <v>0</v>
          </cell>
        </row>
        <row r="469">
          <cell r="A469">
            <v>46661</v>
          </cell>
          <cell r="B469" t="e">
            <v>#N/A</v>
          </cell>
          <cell r="D469" t="e">
            <v>#N/A</v>
          </cell>
          <cell r="F469">
            <v>0</v>
          </cell>
          <cell r="G469">
            <v>0</v>
          </cell>
          <cell r="H469">
            <v>379.8</v>
          </cell>
          <cell r="J469" t="e">
            <v>#N/A</v>
          </cell>
          <cell r="L469" t="e">
            <v>#N/A</v>
          </cell>
          <cell r="M469">
            <v>53</v>
          </cell>
          <cell r="N469" t="e">
            <v>#N/A</v>
          </cell>
          <cell r="O469" t="e">
            <v>#N/A</v>
          </cell>
          <cell r="P469" t="e">
            <v>#N/A</v>
          </cell>
          <cell r="Q469" t="e">
            <v>#N/A</v>
          </cell>
          <cell r="R469">
            <v>251.85</v>
          </cell>
          <cell r="S469" t="e">
            <v>#N/A</v>
          </cell>
          <cell r="V469">
            <v>0</v>
          </cell>
        </row>
        <row r="470">
          <cell r="A470">
            <v>46662</v>
          </cell>
          <cell r="B470" t="e">
            <v>#N/A</v>
          </cell>
          <cell r="D470" t="e">
            <v>#N/A</v>
          </cell>
          <cell r="F470">
            <v>0</v>
          </cell>
          <cell r="G470">
            <v>0</v>
          </cell>
          <cell r="H470">
            <v>379.8</v>
          </cell>
          <cell r="J470" t="e">
            <v>#N/A</v>
          </cell>
          <cell r="L470" t="e">
            <v>#N/A</v>
          </cell>
          <cell r="M470">
            <v>53</v>
          </cell>
          <cell r="N470" t="e">
            <v>#N/A</v>
          </cell>
          <cell r="O470" t="e">
            <v>#N/A</v>
          </cell>
          <cell r="P470" t="e">
            <v>#N/A</v>
          </cell>
          <cell r="Q470" t="e">
            <v>#N/A</v>
          </cell>
          <cell r="R470">
            <v>251.85</v>
          </cell>
          <cell r="S470" t="e">
            <v>#N/A</v>
          </cell>
          <cell r="V470">
            <v>0</v>
          </cell>
        </row>
        <row r="471">
          <cell r="A471">
            <v>46663</v>
          </cell>
          <cell r="B471" t="e">
            <v>#N/A</v>
          </cell>
          <cell r="D471" t="e">
            <v>#N/A</v>
          </cell>
          <cell r="F471">
            <v>0</v>
          </cell>
          <cell r="G471">
            <v>0</v>
          </cell>
          <cell r="H471">
            <v>379.8</v>
          </cell>
          <cell r="J471" t="e">
            <v>#N/A</v>
          </cell>
          <cell r="L471" t="e">
            <v>#N/A</v>
          </cell>
          <cell r="M471">
            <v>53</v>
          </cell>
          <cell r="N471" t="e">
            <v>#N/A</v>
          </cell>
          <cell r="O471" t="e">
            <v>#N/A</v>
          </cell>
          <cell r="P471" t="e">
            <v>#N/A</v>
          </cell>
          <cell r="Q471" t="e">
            <v>#N/A</v>
          </cell>
          <cell r="R471">
            <v>251.85</v>
          </cell>
          <cell r="S471" t="e">
            <v>#N/A</v>
          </cell>
          <cell r="V471">
            <v>0</v>
          </cell>
        </row>
        <row r="472">
          <cell r="A472">
            <v>46664</v>
          </cell>
          <cell r="B472" t="e">
            <v>#N/A</v>
          </cell>
          <cell r="D472" t="e">
            <v>#N/A</v>
          </cell>
          <cell r="F472">
            <v>0</v>
          </cell>
          <cell r="G472">
            <v>0</v>
          </cell>
          <cell r="H472">
            <v>379.8</v>
          </cell>
          <cell r="J472" t="e">
            <v>#N/A</v>
          </cell>
          <cell r="L472" t="e">
            <v>#N/A</v>
          </cell>
          <cell r="M472">
            <v>53</v>
          </cell>
          <cell r="N472" t="e">
            <v>#N/A</v>
          </cell>
          <cell r="O472" t="e">
            <v>#N/A</v>
          </cell>
          <cell r="P472" t="e">
            <v>#N/A</v>
          </cell>
          <cell r="Q472" t="e">
            <v>#N/A</v>
          </cell>
          <cell r="R472">
            <v>251.85</v>
          </cell>
          <cell r="S472" t="e">
            <v>#N/A</v>
          </cell>
          <cell r="V472">
            <v>0</v>
          </cell>
        </row>
        <row r="473">
          <cell r="A473">
            <v>46665</v>
          </cell>
          <cell r="B473" t="e">
            <v>#N/A</v>
          </cell>
          <cell r="D473" t="e">
            <v>#N/A</v>
          </cell>
          <cell r="F473">
            <v>0</v>
          </cell>
          <cell r="G473">
            <v>0</v>
          </cell>
          <cell r="H473">
            <v>379.8</v>
          </cell>
          <cell r="J473" t="e">
            <v>#N/A</v>
          </cell>
          <cell r="L473" t="e">
            <v>#N/A</v>
          </cell>
          <cell r="M473">
            <v>53</v>
          </cell>
          <cell r="N473" t="e">
            <v>#N/A</v>
          </cell>
          <cell r="O473" t="e">
            <v>#N/A</v>
          </cell>
          <cell r="P473" t="e">
            <v>#N/A</v>
          </cell>
          <cell r="Q473" t="e">
            <v>#N/A</v>
          </cell>
          <cell r="R473">
            <v>251.85</v>
          </cell>
          <cell r="S473" t="e">
            <v>#N/A</v>
          </cell>
          <cell r="V473">
            <v>0</v>
          </cell>
        </row>
        <row r="474">
          <cell r="A474">
            <v>46666</v>
          </cell>
          <cell r="B474" t="e">
            <v>#N/A</v>
          </cell>
          <cell r="D474" t="e">
            <v>#N/A</v>
          </cell>
          <cell r="F474">
            <v>0</v>
          </cell>
          <cell r="G474">
            <v>0</v>
          </cell>
          <cell r="H474">
            <v>379.8</v>
          </cell>
          <cell r="J474" t="e">
            <v>#N/A</v>
          </cell>
          <cell r="L474" t="e">
            <v>#N/A</v>
          </cell>
          <cell r="M474">
            <v>53</v>
          </cell>
          <cell r="N474" t="e">
            <v>#N/A</v>
          </cell>
          <cell r="O474" t="e">
            <v>#N/A</v>
          </cell>
          <cell r="P474" t="e">
            <v>#N/A</v>
          </cell>
          <cell r="Q474" t="e">
            <v>#N/A</v>
          </cell>
          <cell r="R474">
            <v>251.85</v>
          </cell>
          <cell r="S474" t="e">
            <v>#N/A</v>
          </cell>
          <cell r="V474">
            <v>0</v>
          </cell>
        </row>
        <row r="475">
          <cell r="A475">
            <v>46667</v>
          </cell>
          <cell r="B475" t="e">
            <v>#N/A</v>
          </cell>
          <cell r="D475" t="e">
            <v>#N/A</v>
          </cell>
          <cell r="F475">
            <v>0</v>
          </cell>
          <cell r="G475">
            <v>0</v>
          </cell>
          <cell r="H475">
            <v>379.8</v>
          </cell>
          <cell r="J475" t="e">
            <v>#N/A</v>
          </cell>
          <cell r="L475" t="e">
            <v>#N/A</v>
          </cell>
          <cell r="M475">
            <v>53</v>
          </cell>
          <cell r="N475" t="e">
            <v>#N/A</v>
          </cell>
          <cell r="O475" t="e">
            <v>#N/A</v>
          </cell>
          <cell r="P475" t="e">
            <v>#N/A</v>
          </cell>
          <cell r="Q475" t="e">
            <v>#N/A</v>
          </cell>
          <cell r="R475">
            <v>251.85</v>
          </cell>
          <cell r="S475" t="e">
            <v>#N/A</v>
          </cell>
          <cell r="V475">
            <v>0</v>
          </cell>
        </row>
        <row r="476">
          <cell r="A476">
            <v>46668</v>
          </cell>
          <cell r="B476" t="e">
            <v>#N/A</v>
          </cell>
          <cell r="D476" t="e">
            <v>#N/A</v>
          </cell>
          <cell r="F476">
            <v>0</v>
          </cell>
          <cell r="G476">
            <v>0</v>
          </cell>
          <cell r="H476">
            <v>379.8</v>
          </cell>
          <cell r="J476" t="e">
            <v>#N/A</v>
          </cell>
          <cell r="L476" t="e">
            <v>#N/A</v>
          </cell>
          <cell r="M476">
            <v>53</v>
          </cell>
          <cell r="N476" t="e">
            <v>#N/A</v>
          </cell>
          <cell r="O476" t="e">
            <v>#N/A</v>
          </cell>
          <cell r="P476" t="e">
            <v>#N/A</v>
          </cell>
          <cell r="Q476" t="e">
            <v>#N/A</v>
          </cell>
          <cell r="R476">
            <v>251.85</v>
          </cell>
          <cell r="S476" t="e">
            <v>#N/A</v>
          </cell>
          <cell r="V476">
            <v>0</v>
          </cell>
        </row>
        <row r="477">
          <cell r="A477">
            <v>46669</v>
          </cell>
          <cell r="B477" t="e">
            <v>#N/A</v>
          </cell>
          <cell r="D477" t="e">
            <v>#N/A</v>
          </cell>
          <cell r="F477">
            <v>0</v>
          </cell>
          <cell r="G477">
            <v>0</v>
          </cell>
          <cell r="H477">
            <v>379.8</v>
          </cell>
          <cell r="J477" t="e">
            <v>#N/A</v>
          </cell>
          <cell r="L477" t="e">
            <v>#N/A</v>
          </cell>
          <cell r="M477">
            <v>53</v>
          </cell>
          <cell r="N477" t="e">
            <v>#N/A</v>
          </cell>
          <cell r="O477" t="e">
            <v>#N/A</v>
          </cell>
          <cell r="P477" t="e">
            <v>#N/A</v>
          </cell>
          <cell r="Q477" t="e">
            <v>#N/A</v>
          </cell>
          <cell r="R477">
            <v>251.85</v>
          </cell>
          <cell r="S477" t="e">
            <v>#N/A</v>
          </cell>
          <cell r="V477">
            <v>0</v>
          </cell>
        </row>
        <row r="478">
          <cell r="A478">
            <v>46670</v>
          </cell>
          <cell r="B478" t="e">
            <v>#N/A</v>
          </cell>
          <cell r="D478" t="e">
            <v>#N/A</v>
          </cell>
          <cell r="F478">
            <v>0</v>
          </cell>
          <cell r="G478">
            <v>0</v>
          </cell>
          <cell r="H478">
            <v>379.8</v>
          </cell>
          <cell r="J478" t="e">
            <v>#N/A</v>
          </cell>
          <cell r="L478" t="e">
            <v>#N/A</v>
          </cell>
          <cell r="M478">
            <v>53</v>
          </cell>
          <cell r="N478" t="e">
            <v>#N/A</v>
          </cell>
          <cell r="O478" t="e">
            <v>#N/A</v>
          </cell>
          <cell r="P478" t="e">
            <v>#N/A</v>
          </cell>
          <cell r="Q478" t="e">
            <v>#N/A</v>
          </cell>
          <cell r="R478">
            <v>251.85</v>
          </cell>
          <cell r="S478" t="e">
            <v>#N/A</v>
          </cell>
          <cell r="V478">
            <v>0</v>
          </cell>
        </row>
        <row r="479">
          <cell r="A479">
            <v>46671</v>
          </cell>
          <cell r="B479" t="e">
            <v>#N/A</v>
          </cell>
          <cell r="D479" t="e">
            <v>#N/A</v>
          </cell>
          <cell r="F479">
            <v>0</v>
          </cell>
          <cell r="G479">
            <v>0</v>
          </cell>
          <cell r="H479">
            <v>379.8</v>
          </cell>
          <cell r="J479" t="e">
            <v>#N/A</v>
          </cell>
          <cell r="L479" t="e">
            <v>#N/A</v>
          </cell>
          <cell r="M479">
            <v>53</v>
          </cell>
          <cell r="N479" t="e">
            <v>#N/A</v>
          </cell>
          <cell r="O479" t="e">
            <v>#N/A</v>
          </cell>
          <cell r="P479" t="e">
            <v>#N/A</v>
          </cell>
          <cell r="Q479" t="e">
            <v>#N/A</v>
          </cell>
          <cell r="R479">
            <v>251.85</v>
          </cell>
          <cell r="S479" t="e">
            <v>#N/A</v>
          </cell>
          <cell r="V479">
            <v>0</v>
          </cell>
        </row>
        <row r="480">
          <cell r="A480">
            <v>46672</v>
          </cell>
          <cell r="B480" t="e">
            <v>#N/A</v>
          </cell>
          <cell r="D480" t="e">
            <v>#N/A</v>
          </cell>
          <cell r="F480">
            <v>0</v>
          </cell>
          <cell r="G480">
            <v>0</v>
          </cell>
          <cell r="H480">
            <v>379.8</v>
          </cell>
          <cell r="J480" t="e">
            <v>#N/A</v>
          </cell>
          <cell r="L480" t="e">
            <v>#N/A</v>
          </cell>
          <cell r="M480">
            <v>53</v>
          </cell>
          <cell r="N480" t="e">
            <v>#N/A</v>
          </cell>
          <cell r="O480" t="e">
            <v>#N/A</v>
          </cell>
          <cell r="P480" t="e">
            <v>#N/A</v>
          </cell>
          <cell r="Q480" t="e">
            <v>#N/A</v>
          </cell>
          <cell r="R480">
            <v>251.85</v>
          </cell>
          <cell r="S480" t="e">
            <v>#N/A</v>
          </cell>
          <cell r="V480">
            <v>0</v>
          </cell>
        </row>
        <row r="481">
          <cell r="A481">
            <v>46673</v>
          </cell>
          <cell r="B481" t="e">
            <v>#N/A</v>
          </cell>
          <cell r="D481" t="e">
            <v>#N/A</v>
          </cell>
          <cell r="F481">
            <v>0</v>
          </cell>
          <cell r="G481">
            <v>0</v>
          </cell>
          <cell r="H481">
            <v>379.8</v>
          </cell>
          <cell r="J481" t="e">
            <v>#N/A</v>
          </cell>
          <cell r="L481" t="e">
            <v>#N/A</v>
          </cell>
          <cell r="M481">
            <v>53</v>
          </cell>
          <cell r="N481" t="e">
            <v>#N/A</v>
          </cell>
          <cell r="O481" t="e">
            <v>#N/A</v>
          </cell>
          <cell r="P481" t="e">
            <v>#N/A</v>
          </cell>
          <cell r="Q481" t="e">
            <v>#N/A</v>
          </cell>
          <cell r="R481">
            <v>251.85</v>
          </cell>
          <cell r="S481" t="e">
            <v>#N/A</v>
          </cell>
          <cell r="V481">
            <v>0</v>
          </cell>
        </row>
        <row r="482">
          <cell r="A482">
            <v>46674</v>
          </cell>
          <cell r="B482" t="e">
            <v>#N/A</v>
          </cell>
          <cell r="D482" t="e">
            <v>#N/A</v>
          </cell>
          <cell r="F482">
            <v>0</v>
          </cell>
          <cell r="G482">
            <v>0</v>
          </cell>
          <cell r="H482">
            <v>379.8</v>
          </cell>
          <cell r="J482" t="e">
            <v>#N/A</v>
          </cell>
          <cell r="L482" t="e">
            <v>#N/A</v>
          </cell>
          <cell r="M482">
            <v>53</v>
          </cell>
          <cell r="N482" t="e">
            <v>#N/A</v>
          </cell>
          <cell r="O482" t="e">
            <v>#N/A</v>
          </cell>
          <cell r="P482" t="e">
            <v>#N/A</v>
          </cell>
          <cell r="Q482" t="e">
            <v>#N/A</v>
          </cell>
          <cell r="R482">
            <v>251.85</v>
          </cell>
          <cell r="S482" t="e">
            <v>#N/A</v>
          </cell>
          <cell r="V482">
            <v>0</v>
          </cell>
        </row>
        <row r="483">
          <cell r="A483">
            <v>46675</v>
          </cell>
          <cell r="B483" t="e">
            <v>#N/A</v>
          </cell>
          <cell r="D483" t="e">
            <v>#N/A</v>
          </cell>
          <cell r="F483">
            <v>0</v>
          </cell>
          <cell r="G483">
            <v>0</v>
          </cell>
          <cell r="H483">
            <v>379.8</v>
          </cell>
          <cell r="J483" t="e">
            <v>#N/A</v>
          </cell>
          <cell r="L483" t="e">
            <v>#N/A</v>
          </cell>
          <cell r="M483">
            <v>53</v>
          </cell>
          <cell r="N483" t="e">
            <v>#N/A</v>
          </cell>
          <cell r="O483" t="e">
            <v>#N/A</v>
          </cell>
          <cell r="P483" t="e">
            <v>#N/A</v>
          </cell>
          <cell r="Q483" t="e">
            <v>#N/A</v>
          </cell>
          <cell r="R483">
            <v>251.85</v>
          </cell>
          <cell r="S483" t="e">
            <v>#N/A</v>
          </cell>
          <cell r="V483">
            <v>0</v>
          </cell>
        </row>
        <row r="484">
          <cell r="A484">
            <v>46676</v>
          </cell>
          <cell r="B484" t="e">
            <v>#N/A</v>
          </cell>
          <cell r="D484" t="e">
            <v>#N/A</v>
          </cell>
          <cell r="F484">
            <v>0</v>
          </cell>
          <cell r="G484">
            <v>0</v>
          </cell>
          <cell r="H484">
            <v>379.8</v>
          </cell>
          <cell r="J484" t="e">
            <v>#N/A</v>
          </cell>
          <cell r="L484" t="e">
            <v>#N/A</v>
          </cell>
          <cell r="M484">
            <v>53</v>
          </cell>
          <cell r="N484" t="e">
            <v>#N/A</v>
          </cell>
          <cell r="O484" t="e">
            <v>#N/A</v>
          </cell>
          <cell r="P484" t="e">
            <v>#N/A</v>
          </cell>
          <cell r="Q484" t="e">
            <v>#N/A</v>
          </cell>
          <cell r="R484">
            <v>251.85</v>
          </cell>
          <cell r="S484" t="e">
            <v>#N/A</v>
          </cell>
          <cell r="V484">
            <v>0</v>
          </cell>
        </row>
        <row r="485">
          <cell r="A485">
            <v>46677</v>
          </cell>
          <cell r="B485" t="e">
            <v>#N/A</v>
          </cell>
          <cell r="D485" t="e">
            <v>#N/A</v>
          </cell>
          <cell r="F485">
            <v>0</v>
          </cell>
          <cell r="G485">
            <v>0</v>
          </cell>
          <cell r="H485">
            <v>379.8</v>
          </cell>
          <cell r="J485" t="e">
            <v>#N/A</v>
          </cell>
          <cell r="L485" t="e">
            <v>#N/A</v>
          </cell>
          <cell r="M485">
            <v>53</v>
          </cell>
          <cell r="N485" t="e">
            <v>#N/A</v>
          </cell>
          <cell r="O485" t="e">
            <v>#N/A</v>
          </cell>
          <cell r="P485" t="e">
            <v>#N/A</v>
          </cell>
          <cell r="Q485" t="e">
            <v>#N/A</v>
          </cell>
          <cell r="R485">
            <v>251.85</v>
          </cell>
          <cell r="S485" t="e">
            <v>#N/A</v>
          </cell>
          <cell r="V485">
            <v>0</v>
          </cell>
        </row>
        <row r="486">
          <cell r="A486">
            <v>46678</v>
          </cell>
          <cell r="B486" t="e">
            <v>#N/A</v>
          </cell>
          <cell r="D486" t="e">
            <v>#N/A</v>
          </cell>
          <cell r="F486">
            <v>0</v>
          </cell>
          <cell r="G486">
            <v>0</v>
          </cell>
          <cell r="H486">
            <v>379.8</v>
          </cell>
          <cell r="J486" t="e">
            <v>#N/A</v>
          </cell>
          <cell r="L486" t="e">
            <v>#N/A</v>
          </cell>
          <cell r="M486">
            <v>53</v>
          </cell>
          <cell r="N486" t="e">
            <v>#N/A</v>
          </cell>
          <cell r="O486" t="e">
            <v>#N/A</v>
          </cell>
          <cell r="P486" t="e">
            <v>#N/A</v>
          </cell>
          <cell r="Q486" t="e">
            <v>#N/A</v>
          </cell>
          <cell r="R486">
            <v>251.85</v>
          </cell>
          <cell r="S486" t="e">
            <v>#N/A</v>
          </cell>
          <cell r="V486">
            <v>0</v>
          </cell>
        </row>
        <row r="487">
          <cell r="A487">
            <v>46679</v>
          </cell>
          <cell r="B487" t="e">
            <v>#N/A</v>
          </cell>
          <cell r="D487" t="e">
            <v>#N/A</v>
          </cell>
          <cell r="F487">
            <v>0</v>
          </cell>
          <cell r="G487">
            <v>0</v>
          </cell>
          <cell r="H487">
            <v>379.8</v>
          </cell>
          <cell r="J487" t="e">
            <v>#N/A</v>
          </cell>
          <cell r="L487" t="e">
            <v>#N/A</v>
          </cell>
          <cell r="M487">
            <v>53</v>
          </cell>
          <cell r="N487" t="e">
            <v>#N/A</v>
          </cell>
          <cell r="O487" t="e">
            <v>#N/A</v>
          </cell>
          <cell r="P487" t="e">
            <v>#N/A</v>
          </cell>
          <cell r="Q487" t="e">
            <v>#N/A</v>
          </cell>
          <cell r="R487">
            <v>251.85</v>
          </cell>
          <cell r="S487" t="e">
            <v>#N/A</v>
          </cell>
          <cell r="V487">
            <v>0</v>
          </cell>
        </row>
        <row r="488">
          <cell r="A488">
            <v>46680</v>
          </cell>
          <cell r="B488" t="e">
            <v>#N/A</v>
          </cell>
          <cell r="D488" t="e">
            <v>#N/A</v>
          </cell>
          <cell r="F488">
            <v>0</v>
          </cell>
          <cell r="G488">
            <v>0</v>
          </cell>
          <cell r="H488">
            <v>379.8</v>
          </cell>
          <cell r="J488" t="e">
            <v>#N/A</v>
          </cell>
          <cell r="L488" t="e">
            <v>#N/A</v>
          </cell>
          <cell r="M488">
            <v>53</v>
          </cell>
          <cell r="N488" t="e">
            <v>#N/A</v>
          </cell>
          <cell r="O488" t="e">
            <v>#N/A</v>
          </cell>
          <cell r="P488" t="e">
            <v>#N/A</v>
          </cell>
          <cell r="Q488" t="e">
            <v>#N/A</v>
          </cell>
          <cell r="R488">
            <v>251.85</v>
          </cell>
          <cell r="S488" t="e">
            <v>#N/A</v>
          </cell>
          <cell r="V488">
            <v>0</v>
          </cell>
        </row>
        <row r="489">
          <cell r="A489">
            <v>46681</v>
          </cell>
          <cell r="B489" t="e">
            <v>#N/A</v>
          </cell>
          <cell r="D489" t="e">
            <v>#N/A</v>
          </cell>
          <cell r="F489">
            <v>0</v>
          </cell>
          <cell r="G489">
            <v>0</v>
          </cell>
          <cell r="H489">
            <v>379.8</v>
          </cell>
          <cell r="J489" t="e">
            <v>#N/A</v>
          </cell>
          <cell r="L489" t="e">
            <v>#N/A</v>
          </cell>
          <cell r="M489">
            <v>53</v>
          </cell>
          <cell r="N489" t="e">
            <v>#N/A</v>
          </cell>
          <cell r="O489" t="e">
            <v>#N/A</v>
          </cell>
          <cell r="P489" t="e">
            <v>#N/A</v>
          </cell>
          <cell r="Q489" t="e">
            <v>#N/A</v>
          </cell>
          <cell r="R489">
            <v>251.85</v>
          </cell>
          <cell r="S489" t="e">
            <v>#N/A</v>
          </cell>
          <cell r="V489">
            <v>0</v>
          </cell>
        </row>
        <row r="490">
          <cell r="A490">
            <v>46682</v>
          </cell>
          <cell r="B490" t="e">
            <v>#N/A</v>
          </cell>
          <cell r="D490" t="e">
            <v>#N/A</v>
          </cell>
          <cell r="F490">
            <v>0</v>
          </cell>
          <cell r="G490">
            <v>0</v>
          </cell>
          <cell r="H490">
            <v>379.8</v>
          </cell>
          <cell r="J490" t="e">
            <v>#N/A</v>
          </cell>
          <cell r="L490" t="e">
            <v>#N/A</v>
          </cell>
          <cell r="M490">
            <v>53</v>
          </cell>
          <cell r="N490" t="e">
            <v>#N/A</v>
          </cell>
          <cell r="O490" t="e">
            <v>#N/A</v>
          </cell>
          <cell r="P490" t="e">
            <v>#N/A</v>
          </cell>
          <cell r="Q490" t="e">
            <v>#N/A</v>
          </cell>
          <cell r="R490">
            <v>251.85</v>
          </cell>
          <cell r="S490" t="e">
            <v>#N/A</v>
          </cell>
          <cell r="V490">
            <v>0</v>
          </cell>
        </row>
        <row r="491">
          <cell r="A491">
            <v>46683</v>
          </cell>
          <cell r="B491" t="e">
            <v>#N/A</v>
          </cell>
          <cell r="D491" t="e">
            <v>#N/A</v>
          </cell>
          <cell r="F491">
            <v>0</v>
          </cell>
          <cell r="G491">
            <v>0</v>
          </cell>
          <cell r="H491">
            <v>379.8</v>
          </cell>
          <cell r="J491" t="e">
            <v>#N/A</v>
          </cell>
          <cell r="L491" t="e">
            <v>#N/A</v>
          </cell>
          <cell r="M491">
            <v>53</v>
          </cell>
          <cell r="N491" t="e">
            <v>#N/A</v>
          </cell>
          <cell r="O491" t="e">
            <v>#N/A</v>
          </cell>
          <cell r="P491" t="e">
            <v>#N/A</v>
          </cell>
          <cell r="Q491" t="e">
            <v>#N/A</v>
          </cell>
          <cell r="R491">
            <v>251.85</v>
          </cell>
          <cell r="S491" t="e">
            <v>#N/A</v>
          </cell>
          <cell r="V491">
            <v>0</v>
          </cell>
        </row>
        <row r="492">
          <cell r="A492">
            <v>46684</v>
          </cell>
          <cell r="B492" t="e">
            <v>#N/A</v>
          </cell>
          <cell r="D492" t="e">
            <v>#N/A</v>
          </cell>
          <cell r="F492">
            <v>0</v>
          </cell>
          <cell r="G492">
            <v>0</v>
          </cell>
          <cell r="H492">
            <v>379.8</v>
          </cell>
          <cell r="J492" t="e">
            <v>#N/A</v>
          </cell>
          <cell r="L492" t="e">
            <v>#N/A</v>
          </cell>
          <cell r="M492">
            <v>53</v>
          </cell>
          <cell r="N492" t="e">
            <v>#N/A</v>
          </cell>
          <cell r="O492" t="e">
            <v>#N/A</v>
          </cell>
          <cell r="P492" t="e">
            <v>#N/A</v>
          </cell>
          <cell r="Q492" t="e">
            <v>#N/A</v>
          </cell>
          <cell r="R492">
            <v>251.85</v>
          </cell>
          <cell r="S492" t="e">
            <v>#N/A</v>
          </cell>
          <cell r="V492">
            <v>0</v>
          </cell>
        </row>
        <row r="493">
          <cell r="A493">
            <v>46685</v>
          </cell>
          <cell r="B493" t="e">
            <v>#N/A</v>
          </cell>
          <cell r="D493" t="e">
            <v>#N/A</v>
          </cell>
          <cell r="F493">
            <v>0</v>
          </cell>
          <cell r="G493">
            <v>0</v>
          </cell>
          <cell r="H493">
            <v>379.8</v>
          </cell>
          <cell r="J493" t="e">
            <v>#N/A</v>
          </cell>
          <cell r="L493" t="e">
            <v>#N/A</v>
          </cell>
          <cell r="M493">
            <v>53</v>
          </cell>
          <cell r="N493" t="e">
            <v>#N/A</v>
          </cell>
          <cell r="O493" t="e">
            <v>#N/A</v>
          </cell>
          <cell r="P493" t="e">
            <v>#N/A</v>
          </cell>
          <cell r="Q493" t="e">
            <v>#N/A</v>
          </cell>
          <cell r="R493">
            <v>251.85</v>
          </cell>
          <cell r="S493" t="e">
            <v>#N/A</v>
          </cell>
          <cell r="V493">
            <v>0</v>
          </cell>
        </row>
        <row r="494">
          <cell r="A494">
            <v>46686</v>
          </cell>
          <cell r="B494" t="e">
            <v>#N/A</v>
          </cell>
          <cell r="D494" t="e">
            <v>#N/A</v>
          </cell>
          <cell r="F494">
            <v>0</v>
          </cell>
          <cell r="G494">
            <v>0</v>
          </cell>
          <cell r="H494">
            <v>379.8</v>
          </cell>
          <cell r="J494" t="e">
            <v>#N/A</v>
          </cell>
          <cell r="L494" t="e">
            <v>#N/A</v>
          </cell>
          <cell r="M494">
            <v>53</v>
          </cell>
          <cell r="N494" t="e">
            <v>#N/A</v>
          </cell>
          <cell r="O494" t="e">
            <v>#N/A</v>
          </cell>
          <cell r="P494" t="e">
            <v>#N/A</v>
          </cell>
          <cell r="Q494" t="e">
            <v>#N/A</v>
          </cell>
          <cell r="R494">
            <v>251.85</v>
          </cell>
          <cell r="S494" t="e">
            <v>#N/A</v>
          </cell>
          <cell r="V494">
            <v>0</v>
          </cell>
        </row>
        <row r="495">
          <cell r="A495">
            <v>46687</v>
          </cell>
          <cell r="B495" t="e">
            <v>#N/A</v>
          </cell>
          <cell r="D495" t="e">
            <v>#N/A</v>
          </cell>
          <cell r="F495">
            <v>0</v>
          </cell>
          <cell r="G495">
            <v>0</v>
          </cell>
          <cell r="H495">
            <v>379.8</v>
          </cell>
          <cell r="J495" t="e">
            <v>#N/A</v>
          </cell>
          <cell r="L495" t="e">
            <v>#N/A</v>
          </cell>
          <cell r="M495">
            <v>53</v>
          </cell>
          <cell r="N495" t="e">
            <v>#N/A</v>
          </cell>
          <cell r="O495" t="e">
            <v>#N/A</v>
          </cell>
          <cell r="P495" t="e">
            <v>#N/A</v>
          </cell>
          <cell r="Q495" t="e">
            <v>#N/A</v>
          </cell>
          <cell r="R495">
            <v>251.85</v>
          </cell>
          <cell r="S495" t="e">
            <v>#N/A</v>
          </cell>
          <cell r="V495">
            <v>0</v>
          </cell>
        </row>
        <row r="496">
          <cell r="A496">
            <v>46688</v>
          </cell>
          <cell r="B496" t="e">
            <v>#N/A</v>
          </cell>
          <cell r="D496" t="e">
            <v>#N/A</v>
          </cell>
          <cell r="F496">
            <v>0</v>
          </cell>
          <cell r="G496">
            <v>0</v>
          </cell>
          <cell r="H496">
            <v>379.8</v>
          </cell>
          <cell r="J496" t="e">
            <v>#N/A</v>
          </cell>
          <cell r="L496" t="e">
            <v>#N/A</v>
          </cell>
          <cell r="M496">
            <v>53</v>
          </cell>
          <cell r="N496" t="e">
            <v>#N/A</v>
          </cell>
          <cell r="O496" t="e">
            <v>#N/A</v>
          </cell>
          <cell r="P496" t="e">
            <v>#N/A</v>
          </cell>
          <cell r="Q496" t="e">
            <v>#N/A</v>
          </cell>
          <cell r="R496">
            <v>251.85</v>
          </cell>
          <cell r="S496" t="e">
            <v>#N/A</v>
          </cell>
          <cell r="V496">
            <v>0</v>
          </cell>
        </row>
        <row r="497">
          <cell r="A497">
            <v>46689</v>
          </cell>
          <cell r="B497" t="e">
            <v>#N/A</v>
          </cell>
          <cell r="D497" t="e">
            <v>#N/A</v>
          </cell>
          <cell r="F497">
            <v>0</v>
          </cell>
          <cell r="G497">
            <v>0</v>
          </cell>
          <cell r="H497">
            <v>379.8</v>
          </cell>
          <cell r="J497" t="e">
            <v>#N/A</v>
          </cell>
          <cell r="L497" t="e">
            <v>#N/A</v>
          </cell>
          <cell r="M497">
            <v>53</v>
          </cell>
          <cell r="N497" t="e">
            <v>#N/A</v>
          </cell>
          <cell r="O497" t="e">
            <v>#N/A</v>
          </cell>
          <cell r="P497" t="e">
            <v>#N/A</v>
          </cell>
          <cell r="Q497" t="e">
            <v>#N/A</v>
          </cell>
          <cell r="R497">
            <v>251.85</v>
          </cell>
          <cell r="S497" t="e">
            <v>#N/A</v>
          </cell>
          <cell r="V497">
            <v>0</v>
          </cell>
        </row>
        <row r="498">
          <cell r="A498">
            <v>46690</v>
          </cell>
          <cell r="B498" t="e">
            <v>#N/A</v>
          </cell>
          <cell r="D498" t="e">
            <v>#N/A</v>
          </cell>
          <cell r="F498">
            <v>0</v>
          </cell>
          <cell r="G498">
            <v>0</v>
          </cell>
          <cell r="H498">
            <v>379.8</v>
          </cell>
          <cell r="J498" t="e">
            <v>#N/A</v>
          </cell>
          <cell r="L498" t="e">
            <v>#N/A</v>
          </cell>
          <cell r="M498">
            <v>53</v>
          </cell>
          <cell r="N498" t="e">
            <v>#N/A</v>
          </cell>
          <cell r="O498" t="e">
            <v>#N/A</v>
          </cell>
          <cell r="P498" t="e">
            <v>#N/A</v>
          </cell>
          <cell r="Q498" t="e">
            <v>#N/A</v>
          </cell>
          <cell r="R498">
            <v>251.85</v>
          </cell>
          <cell r="S498" t="e">
            <v>#N/A</v>
          </cell>
          <cell r="V498">
            <v>0</v>
          </cell>
        </row>
        <row r="499">
          <cell r="A499">
            <v>46691</v>
          </cell>
          <cell r="B499" t="e">
            <v>#N/A</v>
          </cell>
          <cell r="D499" t="e">
            <v>#N/A</v>
          </cell>
          <cell r="F499">
            <v>0</v>
          </cell>
          <cell r="G499">
            <v>0</v>
          </cell>
          <cell r="H499">
            <v>379.8</v>
          </cell>
          <cell r="J499" t="e">
            <v>#N/A</v>
          </cell>
          <cell r="L499" t="e">
            <v>#N/A</v>
          </cell>
          <cell r="M499">
            <v>53</v>
          </cell>
          <cell r="N499" t="e">
            <v>#N/A</v>
          </cell>
          <cell r="O499" t="e">
            <v>#N/A</v>
          </cell>
          <cell r="P499" t="e">
            <v>#N/A</v>
          </cell>
          <cell r="Q499" t="e">
            <v>#N/A</v>
          </cell>
          <cell r="R499">
            <v>251.85</v>
          </cell>
          <cell r="S499" t="e">
            <v>#N/A</v>
          </cell>
          <cell r="V499">
            <v>0</v>
          </cell>
        </row>
        <row r="500">
          <cell r="A500">
            <v>46692</v>
          </cell>
          <cell r="B500" t="e">
            <v>#N/A</v>
          </cell>
          <cell r="D500" t="e">
            <v>#N/A</v>
          </cell>
          <cell r="F500">
            <v>0</v>
          </cell>
          <cell r="G500">
            <v>0</v>
          </cell>
          <cell r="H500">
            <v>379.8</v>
          </cell>
          <cell r="J500" t="e">
            <v>#N/A</v>
          </cell>
          <cell r="L500" t="e">
            <v>#N/A</v>
          </cell>
          <cell r="M500">
            <v>53</v>
          </cell>
          <cell r="N500" t="e">
            <v>#N/A</v>
          </cell>
          <cell r="O500" t="e">
            <v>#N/A</v>
          </cell>
          <cell r="P500" t="e">
            <v>#N/A</v>
          </cell>
          <cell r="Q500" t="e">
            <v>#N/A</v>
          </cell>
          <cell r="R500">
            <v>251.85</v>
          </cell>
          <cell r="S500" t="e">
            <v>#N/A</v>
          </cell>
          <cell r="V500">
            <v>0</v>
          </cell>
        </row>
        <row r="501">
          <cell r="A501">
            <v>46693</v>
          </cell>
          <cell r="B501" t="e">
            <v>#N/A</v>
          </cell>
          <cell r="D501" t="e">
            <v>#N/A</v>
          </cell>
          <cell r="F501">
            <v>0</v>
          </cell>
          <cell r="G501">
            <v>0</v>
          </cell>
          <cell r="H501">
            <v>379.8</v>
          </cell>
          <cell r="J501" t="e">
            <v>#N/A</v>
          </cell>
          <cell r="L501" t="e">
            <v>#N/A</v>
          </cell>
          <cell r="M501">
            <v>53</v>
          </cell>
          <cell r="N501" t="e">
            <v>#N/A</v>
          </cell>
          <cell r="O501" t="e">
            <v>#N/A</v>
          </cell>
          <cell r="P501" t="e">
            <v>#N/A</v>
          </cell>
          <cell r="Q501" t="e">
            <v>#N/A</v>
          </cell>
          <cell r="R501">
            <v>251.85</v>
          </cell>
          <cell r="S501" t="e">
            <v>#N/A</v>
          </cell>
          <cell r="V501">
            <v>0</v>
          </cell>
        </row>
        <row r="502">
          <cell r="A502">
            <v>46694</v>
          </cell>
          <cell r="B502" t="e">
            <v>#N/A</v>
          </cell>
          <cell r="D502" t="e">
            <v>#N/A</v>
          </cell>
          <cell r="F502">
            <v>0</v>
          </cell>
          <cell r="G502">
            <v>0</v>
          </cell>
          <cell r="H502">
            <v>379.8</v>
          </cell>
          <cell r="J502" t="e">
            <v>#N/A</v>
          </cell>
          <cell r="L502" t="e">
            <v>#N/A</v>
          </cell>
          <cell r="M502">
            <v>53</v>
          </cell>
          <cell r="N502" t="e">
            <v>#N/A</v>
          </cell>
          <cell r="O502" t="e">
            <v>#N/A</v>
          </cell>
          <cell r="P502" t="e">
            <v>#N/A</v>
          </cell>
          <cell r="Q502" t="e">
            <v>#N/A</v>
          </cell>
          <cell r="R502">
            <v>251.85</v>
          </cell>
          <cell r="S502" t="e">
            <v>#N/A</v>
          </cell>
          <cell r="V502">
            <v>0</v>
          </cell>
        </row>
        <row r="503">
          <cell r="A503">
            <v>46695</v>
          </cell>
          <cell r="B503" t="e">
            <v>#N/A</v>
          </cell>
          <cell r="D503" t="e">
            <v>#N/A</v>
          </cell>
          <cell r="F503">
            <v>0</v>
          </cell>
          <cell r="G503">
            <v>0</v>
          </cell>
          <cell r="H503">
            <v>379.8</v>
          </cell>
          <cell r="J503" t="e">
            <v>#N/A</v>
          </cell>
          <cell r="L503" t="e">
            <v>#N/A</v>
          </cell>
          <cell r="M503">
            <v>53</v>
          </cell>
          <cell r="N503" t="e">
            <v>#N/A</v>
          </cell>
          <cell r="O503" t="e">
            <v>#N/A</v>
          </cell>
          <cell r="P503" t="e">
            <v>#N/A</v>
          </cell>
          <cell r="Q503" t="e">
            <v>#N/A</v>
          </cell>
          <cell r="R503">
            <v>251.85</v>
          </cell>
          <cell r="S503" t="e">
            <v>#N/A</v>
          </cell>
          <cell r="V503">
            <v>0</v>
          </cell>
        </row>
        <row r="504">
          <cell r="A504">
            <v>46696</v>
          </cell>
          <cell r="B504" t="e">
            <v>#N/A</v>
          </cell>
          <cell r="D504" t="e">
            <v>#N/A</v>
          </cell>
          <cell r="F504">
            <v>0</v>
          </cell>
          <cell r="G504">
            <v>0</v>
          </cell>
          <cell r="H504">
            <v>379.8</v>
          </cell>
          <cell r="J504" t="e">
            <v>#N/A</v>
          </cell>
          <cell r="L504" t="e">
            <v>#N/A</v>
          </cell>
          <cell r="M504">
            <v>53</v>
          </cell>
          <cell r="N504" t="e">
            <v>#N/A</v>
          </cell>
          <cell r="O504" t="e">
            <v>#N/A</v>
          </cell>
          <cell r="P504" t="e">
            <v>#N/A</v>
          </cell>
          <cell r="Q504" t="e">
            <v>#N/A</v>
          </cell>
          <cell r="R504">
            <v>251.85</v>
          </cell>
          <cell r="S504" t="e">
            <v>#N/A</v>
          </cell>
          <cell r="V504">
            <v>0</v>
          </cell>
        </row>
        <row r="505">
          <cell r="A505">
            <v>46697</v>
          </cell>
          <cell r="B505" t="e">
            <v>#N/A</v>
          </cell>
          <cell r="D505" t="e">
            <v>#N/A</v>
          </cell>
          <cell r="F505">
            <v>0</v>
          </cell>
          <cell r="G505">
            <v>0</v>
          </cell>
          <cell r="H505">
            <v>379.8</v>
          </cell>
          <cell r="J505" t="e">
            <v>#N/A</v>
          </cell>
          <cell r="L505" t="e">
            <v>#N/A</v>
          </cell>
          <cell r="M505">
            <v>53</v>
          </cell>
          <cell r="N505" t="e">
            <v>#N/A</v>
          </cell>
          <cell r="O505" t="e">
            <v>#N/A</v>
          </cell>
          <cell r="P505" t="e">
            <v>#N/A</v>
          </cell>
          <cell r="Q505" t="e">
            <v>#N/A</v>
          </cell>
          <cell r="R505">
            <v>251.85</v>
          </cell>
          <cell r="S505" t="e">
            <v>#N/A</v>
          </cell>
          <cell r="V505">
            <v>0</v>
          </cell>
        </row>
        <row r="506">
          <cell r="A506">
            <v>46698</v>
          </cell>
          <cell r="B506" t="e">
            <v>#N/A</v>
          </cell>
          <cell r="D506" t="e">
            <v>#N/A</v>
          </cell>
          <cell r="F506">
            <v>0</v>
          </cell>
          <cell r="G506">
            <v>0</v>
          </cell>
          <cell r="H506">
            <v>379.8</v>
          </cell>
          <cell r="J506" t="e">
            <v>#N/A</v>
          </cell>
          <cell r="L506" t="e">
            <v>#N/A</v>
          </cell>
          <cell r="M506">
            <v>53</v>
          </cell>
          <cell r="N506" t="e">
            <v>#N/A</v>
          </cell>
          <cell r="O506" t="e">
            <v>#N/A</v>
          </cell>
          <cell r="P506" t="e">
            <v>#N/A</v>
          </cell>
          <cell r="Q506" t="e">
            <v>#N/A</v>
          </cell>
          <cell r="R506">
            <v>251.85</v>
          </cell>
          <cell r="S506" t="e">
            <v>#N/A</v>
          </cell>
          <cell r="V506">
            <v>0</v>
          </cell>
        </row>
        <row r="507">
          <cell r="A507">
            <v>46699</v>
          </cell>
          <cell r="B507" t="e">
            <v>#N/A</v>
          </cell>
          <cell r="D507" t="e">
            <v>#N/A</v>
          </cell>
          <cell r="F507">
            <v>0</v>
          </cell>
          <cell r="G507">
            <v>0</v>
          </cell>
          <cell r="H507">
            <v>379.8</v>
          </cell>
          <cell r="J507" t="e">
            <v>#N/A</v>
          </cell>
          <cell r="L507" t="e">
            <v>#N/A</v>
          </cell>
          <cell r="M507">
            <v>53</v>
          </cell>
          <cell r="N507" t="e">
            <v>#N/A</v>
          </cell>
          <cell r="O507" t="e">
            <v>#N/A</v>
          </cell>
          <cell r="P507" t="e">
            <v>#N/A</v>
          </cell>
          <cell r="Q507" t="e">
            <v>#N/A</v>
          </cell>
          <cell r="R507">
            <v>251.85</v>
          </cell>
          <cell r="S507" t="e">
            <v>#N/A</v>
          </cell>
          <cell r="V507">
            <v>0</v>
          </cell>
        </row>
        <row r="508">
          <cell r="A508">
            <v>46700</v>
          </cell>
          <cell r="B508" t="e">
            <v>#N/A</v>
          </cell>
          <cell r="D508" t="e">
            <v>#N/A</v>
          </cell>
          <cell r="F508">
            <v>0</v>
          </cell>
          <cell r="G508">
            <v>0</v>
          </cell>
          <cell r="H508">
            <v>379.8</v>
          </cell>
          <cell r="J508" t="e">
            <v>#N/A</v>
          </cell>
          <cell r="L508" t="e">
            <v>#N/A</v>
          </cell>
          <cell r="M508">
            <v>53</v>
          </cell>
          <cell r="N508" t="e">
            <v>#N/A</v>
          </cell>
          <cell r="O508" t="e">
            <v>#N/A</v>
          </cell>
          <cell r="P508" t="e">
            <v>#N/A</v>
          </cell>
          <cell r="Q508" t="e">
            <v>#N/A</v>
          </cell>
          <cell r="R508">
            <v>251.85</v>
          </cell>
          <cell r="S508" t="e">
            <v>#N/A</v>
          </cell>
          <cell r="V508">
            <v>0</v>
          </cell>
        </row>
        <row r="509">
          <cell r="A509">
            <v>46701</v>
          </cell>
          <cell r="B509" t="e">
            <v>#N/A</v>
          </cell>
          <cell r="D509" t="e">
            <v>#N/A</v>
          </cell>
          <cell r="F509">
            <v>0</v>
          </cell>
          <cell r="G509">
            <v>0</v>
          </cell>
          <cell r="H509">
            <v>379.8</v>
          </cell>
          <cell r="J509" t="e">
            <v>#N/A</v>
          </cell>
          <cell r="L509" t="e">
            <v>#N/A</v>
          </cell>
          <cell r="M509">
            <v>53</v>
          </cell>
          <cell r="N509" t="e">
            <v>#N/A</v>
          </cell>
          <cell r="O509" t="e">
            <v>#N/A</v>
          </cell>
          <cell r="P509" t="e">
            <v>#N/A</v>
          </cell>
          <cell r="Q509" t="e">
            <v>#N/A</v>
          </cell>
          <cell r="R509">
            <v>251.85</v>
          </cell>
          <cell r="S509" t="e">
            <v>#N/A</v>
          </cell>
          <cell r="V509">
            <v>0</v>
          </cell>
        </row>
        <row r="510">
          <cell r="A510">
            <v>46702</v>
          </cell>
          <cell r="B510" t="e">
            <v>#N/A</v>
          </cell>
          <cell r="D510" t="e">
            <v>#N/A</v>
          </cell>
          <cell r="F510">
            <v>0</v>
          </cell>
          <cell r="G510">
            <v>0</v>
          </cell>
          <cell r="H510">
            <v>379.8</v>
          </cell>
          <cell r="J510" t="e">
            <v>#N/A</v>
          </cell>
          <cell r="L510" t="e">
            <v>#N/A</v>
          </cell>
          <cell r="M510">
            <v>53</v>
          </cell>
          <cell r="N510" t="e">
            <v>#N/A</v>
          </cell>
          <cell r="O510" t="e">
            <v>#N/A</v>
          </cell>
          <cell r="P510" t="e">
            <v>#N/A</v>
          </cell>
          <cell r="Q510" t="e">
            <v>#N/A</v>
          </cell>
          <cell r="R510">
            <v>251.85</v>
          </cell>
          <cell r="S510" t="e">
            <v>#N/A</v>
          </cell>
          <cell r="V510">
            <v>0</v>
          </cell>
        </row>
        <row r="511">
          <cell r="A511">
            <v>46703</v>
          </cell>
          <cell r="B511" t="e">
            <v>#N/A</v>
          </cell>
          <cell r="D511" t="e">
            <v>#N/A</v>
          </cell>
          <cell r="F511">
            <v>0</v>
          </cell>
          <cell r="G511">
            <v>0</v>
          </cell>
          <cell r="H511">
            <v>379.8</v>
          </cell>
          <cell r="J511" t="e">
            <v>#N/A</v>
          </cell>
          <cell r="L511" t="e">
            <v>#N/A</v>
          </cell>
          <cell r="M511">
            <v>53</v>
          </cell>
          <cell r="N511" t="e">
            <v>#N/A</v>
          </cell>
          <cell r="O511" t="e">
            <v>#N/A</v>
          </cell>
          <cell r="P511" t="e">
            <v>#N/A</v>
          </cell>
          <cell r="Q511" t="e">
            <v>#N/A</v>
          </cell>
          <cell r="R511">
            <v>251.85</v>
          </cell>
          <cell r="S511" t="e">
            <v>#N/A</v>
          </cell>
          <cell r="V511">
            <v>0</v>
          </cell>
        </row>
        <row r="512">
          <cell r="A512">
            <v>46704</v>
          </cell>
          <cell r="B512" t="e">
            <v>#N/A</v>
          </cell>
          <cell r="D512" t="e">
            <v>#N/A</v>
          </cell>
          <cell r="F512">
            <v>0</v>
          </cell>
          <cell r="G512">
            <v>0</v>
          </cell>
          <cell r="H512">
            <v>379.8</v>
          </cell>
          <cell r="J512" t="e">
            <v>#N/A</v>
          </cell>
          <cell r="L512" t="e">
            <v>#N/A</v>
          </cell>
          <cell r="M512">
            <v>53</v>
          </cell>
          <cell r="N512" t="e">
            <v>#N/A</v>
          </cell>
          <cell r="O512" t="e">
            <v>#N/A</v>
          </cell>
          <cell r="P512" t="e">
            <v>#N/A</v>
          </cell>
          <cell r="Q512" t="e">
            <v>#N/A</v>
          </cell>
          <cell r="R512">
            <v>251.85</v>
          </cell>
          <cell r="S512" t="e">
            <v>#N/A</v>
          </cell>
          <cell r="V512">
            <v>0</v>
          </cell>
        </row>
        <row r="513">
          <cell r="A513">
            <v>46705</v>
          </cell>
          <cell r="B513" t="e">
            <v>#N/A</v>
          </cell>
          <cell r="D513" t="e">
            <v>#N/A</v>
          </cell>
          <cell r="F513">
            <v>0</v>
          </cell>
          <cell r="G513">
            <v>0</v>
          </cell>
          <cell r="H513">
            <v>379.8</v>
          </cell>
          <cell r="J513" t="e">
            <v>#N/A</v>
          </cell>
          <cell r="L513" t="e">
            <v>#N/A</v>
          </cell>
          <cell r="M513">
            <v>53</v>
          </cell>
          <cell r="N513" t="e">
            <v>#N/A</v>
          </cell>
          <cell r="O513" t="e">
            <v>#N/A</v>
          </cell>
          <cell r="P513" t="e">
            <v>#N/A</v>
          </cell>
          <cell r="Q513" t="e">
            <v>#N/A</v>
          </cell>
          <cell r="R513">
            <v>251.85</v>
          </cell>
          <cell r="S513" t="e">
            <v>#N/A</v>
          </cell>
          <cell r="V513">
            <v>0</v>
          </cell>
        </row>
        <row r="514">
          <cell r="A514">
            <v>46706</v>
          </cell>
          <cell r="B514" t="e">
            <v>#N/A</v>
          </cell>
          <cell r="D514" t="e">
            <v>#N/A</v>
          </cell>
          <cell r="F514">
            <v>0</v>
          </cell>
          <cell r="G514">
            <v>0</v>
          </cell>
          <cell r="H514">
            <v>379.8</v>
          </cell>
          <cell r="J514" t="e">
            <v>#N/A</v>
          </cell>
          <cell r="L514" t="e">
            <v>#N/A</v>
          </cell>
          <cell r="M514">
            <v>53</v>
          </cell>
          <cell r="N514" t="e">
            <v>#N/A</v>
          </cell>
          <cell r="O514" t="e">
            <v>#N/A</v>
          </cell>
          <cell r="P514" t="e">
            <v>#N/A</v>
          </cell>
          <cell r="Q514" t="e">
            <v>#N/A</v>
          </cell>
          <cell r="R514">
            <v>251.85</v>
          </cell>
          <cell r="S514" t="e">
            <v>#N/A</v>
          </cell>
          <cell r="V514">
            <v>0</v>
          </cell>
        </row>
        <row r="515">
          <cell r="A515">
            <v>46707</v>
          </cell>
          <cell r="B515" t="e">
            <v>#N/A</v>
          </cell>
          <cell r="D515" t="e">
            <v>#N/A</v>
          </cell>
          <cell r="F515">
            <v>0</v>
          </cell>
          <cell r="G515">
            <v>0</v>
          </cell>
          <cell r="H515">
            <v>379.8</v>
          </cell>
          <cell r="J515" t="e">
            <v>#N/A</v>
          </cell>
          <cell r="L515" t="e">
            <v>#N/A</v>
          </cell>
          <cell r="M515">
            <v>53</v>
          </cell>
          <cell r="N515" t="e">
            <v>#N/A</v>
          </cell>
          <cell r="O515" t="e">
            <v>#N/A</v>
          </cell>
          <cell r="P515" t="e">
            <v>#N/A</v>
          </cell>
          <cell r="Q515" t="e">
            <v>#N/A</v>
          </cell>
          <cell r="R515">
            <v>251.85</v>
          </cell>
          <cell r="S515" t="e">
            <v>#N/A</v>
          </cell>
          <cell r="V515">
            <v>0</v>
          </cell>
        </row>
        <row r="516">
          <cell r="A516">
            <v>46708</v>
          </cell>
          <cell r="B516" t="e">
            <v>#N/A</v>
          </cell>
          <cell r="D516" t="e">
            <v>#N/A</v>
          </cell>
          <cell r="F516">
            <v>0</v>
          </cell>
          <cell r="G516">
            <v>0</v>
          </cell>
          <cell r="H516">
            <v>379.8</v>
          </cell>
          <cell r="J516" t="e">
            <v>#N/A</v>
          </cell>
          <cell r="L516" t="e">
            <v>#N/A</v>
          </cell>
          <cell r="M516">
            <v>53</v>
          </cell>
          <cell r="N516" t="e">
            <v>#N/A</v>
          </cell>
          <cell r="O516" t="e">
            <v>#N/A</v>
          </cell>
          <cell r="P516" t="e">
            <v>#N/A</v>
          </cell>
          <cell r="Q516" t="e">
            <v>#N/A</v>
          </cell>
          <cell r="R516">
            <v>251.85</v>
          </cell>
          <cell r="S516" t="e">
            <v>#N/A</v>
          </cell>
          <cell r="V516">
            <v>0</v>
          </cell>
        </row>
        <row r="517">
          <cell r="A517">
            <v>46709</v>
          </cell>
          <cell r="B517" t="e">
            <v>#N/A</v>
          </cell>
          <cell r="D517" t="e">
            <v>#N/A</v>
          </cell>
          <cell r="F517">
            <v>0</v>
          </cell>
          <cell r="G517">
            <v>0</v>
          </cell>
          <cell r="H517">
            <v>379.8</v>
          </cell>
          <cell r="J517" t="e">
            <v>#N/A</v>
          </cell>
          <cell r="L517" t="e">
            <v>#N/A</v>
          </cell>
          <cell r="M517">
            <v>53</v>
          </cell>
          <cell r="N517" t="e">
            <v>#N/A</v>
          </cell>
          <cell r="O517" t="e">
            <v>#N/A</v>
          </cell>
          <cell r="P517" t="e">
            <v>#N/A</v>
          </cell>
          <cell r="Q517" t="e">
            <v>#N/A</v>
          </cell>
          <cell r="R517">
            <v>251.85</v>
          </cell>
          <cell r="S517" t="e">
            <v>#N/A</v>
          </cell>
          <cell r="V517">
            <v>0</v>
          </cell>
        </row>
        <row r="518">
          <cell r="A518">
            <v>46710</v>
          </cell>
          <cell r="B518" t="e">
            <v>#N/A</v>
          </cell>
          <cell r="D518" t="e">
            <v>#N/A</v>
          </cell>
          <cell r="F518">
            <v>0</v>
          </cell>
          <cell r="G518">
            <v>0</v>
          </cell>
          <cell r="H518">
            <v>379.8</v>
          </cell>
          <cell r="J518" t="e">
            <v>#N/A</v>
          </cell>
          <cell r="L518" t="e">
            <v>#N/A</v>
          </cell>
          <cell r="M518">
            <v>53</v>
          </cell>
          <cell r="N518" t="e">
            <v>#N/A</v>
          </cell>
          <cell r="O518" t="e">
            <v>#N/A</v>
          </cell>
          <cell r="P518" t="e">
            <v>#N/A</v>
          </cell>
          <cell r="Q518" t="e">
            <v>#N/A</v>
          </cell>
          <cell r="R518">
            <v>251.85</v>
          </cell>
          <cell r="S518" t="e">
            <v>#N/A</v>
          </cell>
          <cell r="V518">
            <v>0</v>
          </cell>
        </row>
        <row r="519">
          <cell r="A519">
            <v>46711</v>
          </cell>
          <cell r="B519" t="e">
            <v>#N/A</v>
          </cell>
          <cell r="D519" t="e">
            <v>#N/A</v>
          </cell>
          <cell r="F519">
            <v>0</v>
          </cell>
          <cell r="G519">
            <v>0</v>
          </cell>
          <cell r="H519">
            <v>379.8</v>
          </cell>
          <cell r="J519" t="e">
            <v>#N/A</v>
          </cell>
          <cell r="L519" t="e">
            <v>#N/A</v>
          </cell>
          <cell r="M519">
            <v>53</v>
          </cell>
          <cell r="N519" t="e">
            <v>#N/A</v>
          </cell>
          <cell r="O519" t="e">
            <v>#N/A</v>
          </cell>
          <cell r="P519" t="e">
            <v>#N/A</v>
          </cell>
          <cell r="Q519" t="e">
            <v>#N/A</v>
          </cell>
          <cell r="R519">
            <v>251.85</v>
          </cell>
          <cell r="S519" t="e">
            <v>#N/A</v>
          </cell>
          <cell r="V519">
            <v>0</v>
          </cell>
        </row>
        <row r="520">
          <cell r="A520">
            <v>46712</v>
          </cell>
          <cell r="B520" t="e">
            <v>#N/A</v>
          </cell>
          <cell r="D520" t="e">
            <v>#N/A</v>
          </cell>
          <cell r="F520">
            <v>0</v>
          </cell>
          <cell r="G520">
            <v>0</v>
          </cell>
          <cell r="H520">
            <v>379.8</v>
          </cell>
          <cell r="J520" t="e">
            <v>#N/A</v>
          </cell>
          <cell r="L520" t="e">
            <v>#N/A</v>
          </cell>
          <cell r="M520">
            <v>53</v>
          </cell>
          <cell r="N520" t="e">
            <v>#N/A</v>
          </cell>
          <cell r="O520" t="e">
            <v>#N/A</v>
          </cell>
          <cell r="P520" t="e">
            <v>#N/A</v>
          </cell>
          <cell r="Q520" t="e">
            <v>#N/A</v>
          </cell>
          <cell r="R520">
            <v>251.85</v>
          </cell>
          <cell r="S520" t="e">
            <v>#N/A</v>
          </cell>
          <cell r="V520">
            <v>0</v>
          </cell>
        </row>
        <row r="521">
          <cell r="A521">
            <v>46713</v>
          </cell>
          <cell r="B521" t="e">
            <v>#N/A</v>
          </cell>
          <cell r="D521" t="e">
            <v>#N/A</v>
          </cell>
          <cell r="F521">
            <v>0</v>
          </cell>
          <cell r="G521">
            <v>0</v>
          </cell>
          <cell r="H521">
            <v>379.8</v>
          </cell>
          <cell r="J521" t="e">
            <v>#N/A</v>
          </cell>
          <cell r="L521" t="e">
            <v>#N/A</v>
          </cell>
          <cell r="M521">
            <v>53</v>
          </cell>
          <cell r="N521" t="e">
            <v>#N/A</v>
          </cell>
          <cell r="O521" t="e">
            <v>#N/A</v>
          </cell>
          <cell r="P521" t="e">
            <v>#N/A</v>
          </cell>
          <cell r="Q521" t="e">
            <v>#N/A</v>
          </cell>
          <cell r="R521">
            <v>251.85</v>
          </cell>
          <cell r="S521" t="e">
            <v>#N/A</v>
          </cell>
          <cell r="V521">
            <v>0</v>
          </cell>
        </row>
        <row r="522">
          <cell r="A522">
            <v>46714</v>
          </cell>
          <cell r="B522" t="e">
            <v>#N/A</v>
          </cell>
          <cell r="D522" t="e">
            <v>#N/A</v>
          </cell>
          <cell r="F522">
            <v>0</v>
          </cell>
          <cell r="G522">
            <v>0</v>
          </cell>
          <cell r="H522">
            <v>379.8</v>
          </cell>
          <cell r="J522" t="e">
            <v>#N/A</v>
          </cell>
          <cell r="L522" t="e">
            <v>#N/A</v>
          </cell>
          <cell r="M522">
            <v>53</v>
          </cell>
          <cell r="N522" t="e">
            <v>#N/A</v>
          </cell>
          <cell r="O522" t="e">
            <v>#N/A</v>
          </cell>
          <cell r="P522" t="e">
            <v>#N/A</v>
          </cell>
          <cell r="Q522" t="e">
            <v>#N/A</v>
          </cell>
          <cell r="R522">
            <v>251.85</v>
          </cell>
          <cell r="S522" t="e">
            <v>#N/A</v>
          </cell>
          <cell r="V522">
            <v>0</v>
          </cell>
        </row>
        <row r="523">
          <cell r="A523">
            <v>46715</v>
          </cell>
          <cell r="B523" t="e">
            <v>#N/A</v>
          </cell>
          <cell r="D523" t="e">
            <v>#N/A</v>
          </cell>
          <cell r="F523">
            <v>0</v>
          </cell>
          <cell r="G523">
            <v>0</v>
          </cell>
          <cell r="H523">
            <v>379.8</v>
          </cell>
          <cell r="J523" t="e">
            <v>#N/A</v>
          </cell>
          <cell r="L523" t="e">
            <v>#N/A</v>
          </cell>
          <cell r="M523">
            <v>53</v>
          </cell>
          <cell r="N523" t="e">
            <v>#N/A</v>
          </cell>
          <cell r="O523" t="e">
            <v>#N/A</v>
          </cell>
          <cell r="P523" t="e">
            <v>#N/A</v>
          </cell>
          <cell r="Q523" t="e">
            <v>#N/A</v>
          </cell>
          <cell r="R523">
            <v>251.85</v>
          </cell>
          <cell r="S523" t="e">
            <v>#N/A</v>
          </cell>
          <cell r="V523">
            <v>0</v>
          </cell>
        </row>
        <row r="524">
          <cell r="A524">
            <v>46716</v>
          </cell>
          <cell r="B524" t="e">
            <v>#N/A</v>
          </cell>
          <cell r="D524" t="e">
            <v>#N/A</v>
          </cell>
          <cell r="F524">
            <v>0</v>
          </cell>
          <cell r="G524">
            <v>0</v>
          </cell>
          <cell r="H524">
            <v>379.8</v>
          </cell>
          <cell r="J524" t="e">
            <v>#N/A</v>
          </cell>
          <cell r="L524" t="e">
            <v>#N/A</v>
          </cell>
          <cell r="M524">
            <v>53</v>
          </cell>
          <cell r="N524" t="e">
            <v>#N/A</v>
          </cell>
          <cell r="O524" t="e">
            <v>#N/A</v>
          </cell>
          <cell r="P524" t="e">
            <v>#N/A</v>
          </cell>
          <cell r="Q524" t="e">
            <v>#N/A</v>
          </cell>
          <cell r="R524">
            <v>251.85</v>
          </cell>
          <cell r="S524" t="e">
            <v>#N/A</v>
          </cell>
          <cell r="V524">
            <v>0</v>
          </cell>
        </row>
        <row r="525">
          <cell r="A525">
            <v>46717</v>
          </cell>
          <cell r="B525" t="e">
            <v>#N/A</v>
          </cell>
          <cell r="D525" t="e">
            <v>#N/A</v>
          </cell>
          <cell r="F525">
            <v>0</v>
          </cell>
          <cell r="G525">
            <v>0</v>
          </cell>
          <cell r="H525">
            <v>379.8</v>
          </cell>
          <cell r="J525" t="e">
            <v>#N/A</v>
          </cell>
          <cell r="L525" t="e">
            <v>#N/A</v>
          </cell>
          <cell r="M525">
            <v>53</v>
          </cell>
          <cell r="N525" t="e">
            <v>#N/A</v>
          </cell>
          <cell r="O525" t="e">
            <v>#N/A</v>
          </cell>
          <cell r="P525" t="e">
            <v>#N/A</v>
          </cell>
          <cell r="Q525" t="e">
            <v>#N/A</v>
          </cell>
          <cell r="R525">
            <v>251.85</v>
          </cell>
          <cell r="S525" t="e">
            <v>#N/A</v>
          </cell>
          <cell r="V525">
            <v>0</v>
          </cell>
        </row>
        <row r="526">
          <cell r="A526">
            <v>46718</v>
          </cell>
          <cell r="B526" t="e">
            <v>#N/A</v>
          </cell>
          <cell r="D526" t="e">
            <v>#N/A</v>
          </cell>
          <cell r="F526">
            <v>0</v>
          </cell>
          <cell r="G526">
            <v>0</v>
          </cell>
          <cell r="H526">
            <v>379.8</v>
          </cell>
          <cell r="J526" t="e">
            <v>#N/A</v>
          </cell>
          <cell r="L526" t="e">
            <v>#N/A</v>
          </cell>
          <cell r="M526">
            <v>53</v>
          </cell>
          <cell r="N526" t="e">
            <v>#N/A</v>
          </cell>
          <cell r="O526" t="e">
            <v>#N/A</v>
          </cell>
          <cell r="P526" t="e">
            <v>#N/A</v>
          </cell>
          <cell r="Q526" t="e">
            <v>#N/A</v>
          </cell>
          <cell r="R526">
            <v>251.85</v>
          </cell>
          <cell r="S526" t="e">
            <v>#N/A</v>
          </cell>
          <cell r="V526">
            <v>0</v>
          </cell>
        </row>
        <row r="527">
          <cell r="A527">
            <v>46719</v>
          </cell>
          <cell r="B527" t="e">
            <v>#N/A</v>
          </cell>
          <cell r="D527" t="e">
            <v>#N/A</v>
          </cell>
          <cell r="F527">
            <v>0</v>
          </cell>
          <cell r="G527">
            <v>0</v>
          </cell>
          <cell r="H527">
            <v>379.8</v>
          </cell>
          <cell r="J527" t="e">
            <v>#N/A</v>
          </cell>
          <cell r="L527" t="e">
            <v>#N/A</v>
          </cell>
          <cell r="M527">
            <v>53</v>
          </cell>
          <cell r="N527" t="e">
            <v>#N/A</v>
          </cell>
          <cell r="O527" t="e">
            <v>#N/A</v>
          </cell>
          <cell r="P527" t="e">
            <v>#N/A</v>
          </cell>
          <cell r="Q527" t="e">
            <v>#N/A</v>
          </cell>
          <cell r="R527">
            <v>251.85</v>
          </cell>
          <cell r="S527" t="e">
            <v>#N/A</v>
          </cell>
          <cell r="V527">
            <v>0</v>
          </cell>
        </row>
        <row r="528">
          <cell r="A528">
            <v>46720</v>
          </cell>
          <cell r="B528" t="e">
            <v>#N/A</v>
          </cell>
          <cell r="D528" t="e">
            <v>#N/A</v>
          </cell>
          <cell r="F528">
            <v>0</v>
          </cell>
          <cell r="G528">
            <v>0</v>
          </cell>
          <cell r="H528">
            <v>379.8</v>
          </cell>
          <cell r="J528" t="e">
            <v>#N/A</v>
          </cell>
          <cell r="L528" t="e">
            <v>#N/A</v>
          </cell>
          <cell r="M528">
            <v>53</v>
          </cell>
          <cell r="N528" t="e">
            <v>#N/A</v>
          </cell>
          <cell r="O528" t="e">
            <v>#N/A</v>
          </cell>
          <cell r="P528" t="e">
            <v>#N/A</v>
          </cell>
          <cell r="Q528" t="e">
            <v>#N/A</v>
          </cell>
          <cell r="R528">
            <v>251.85</v>
          </cell>
          <cell r="S528" t="e">
            <v>#N/A</v>
          </cell>
          <cell r="V528">
            <v>0</v>
          </cell>
        </row>
        <row r="529">
          <cell r="A529">
            <v>46721</v>
          </cell>
          <cell r="B529" t="e">
            <v>#N/A</v>
          </cell>
          <cell r="D529" t="e">
            <v>#N/A</v>
          </cell>
          <cell r="F529">
            <v>0</v>
          </cell>
          <cell r="G529">
            <v>0</v>
          </cell>
          <cell r="H529">
            <v>379.8</v>
          </cell>
          <cell r="J529" t="e">
            <v>#N/A</v>
          </cell>
          <cell r="L529" t="e">
            <v>#N/A</v>
          </cell>
          <cell r="M529">
            <v>53</v>
          </cell>
          <cell r="N529" t="e">
            <v>#N/A</v>
          </cell>
          <cell r="O529" t="e">
            <v>#N/A</v>
          </cell>
          <cell r="P529" t="e">
            <v>#N/A</v>
          </cell>
          <cell r="Q529" t="e">
            <v>#N/A</v>
          </cell>
          <cell r="R529">
            <v>251.85</v>
          </cell>
          <cell r="S529" t="e">
            <v>#N/A</v>
          </cell>
          <cell r="V529">
            <v>0</v>
          </cell>
        </row>
        <row r="530">
          <cell r="A530">
            <v>46722</v>
          </cell>
          <cell r="B530" t="e">
            <v>#N/A</v>
          </cell>
          <cell r="D530" t="e">
            <v>#N/A</v>
          </cell>
          <cell r="F530">
            <v>0</v>
          </cell>
          <cell r="G530">
            <v>0</v>
          </cell>
          <cell r="H530">
            <v>379.8</v>
          </cell>
          <cell r="J530" t="e">
            <v>#N/A</v>
          </cell>
          <cell r="L530" t="e">
            <v>#N/A</v>
          </cell>
          <cell r="M530">
            <v>53</v>
          </cell>
          <cell r="N530" t="e">
            <v>#N/A</v>
          </cell>
          <cell r="O530" t="e">
            <v>#N/A</v>
          </cell>
          <cell r="P530" t="e">
            <v>#N/A</v>
          </cell>
          <cell r="Q530" t="e">
            <v>#N/A</v>
          </cell>
          <cell r="R530">
            <v>251.85</v>
          </cell>
          <cell r="S530" t="e">
            <v>#N/A</v>
          </cell>
          <cell r="V530">
            <v>0</v>
          </cell>
        </row>
        <row r="531">
          <cell r="A531">
            <v>46723</v>
          </cell>
          <cell r="B531" t="e">
            <v>#N/A</v>
          </cell>
          <cell r="D531" t="e">
            <v>#N/A</v>
          </cell>
          <cell r="F531">
            <v>0</v>
          </cell>
          <cell r="G531">
            <v>0</v>
          </cell>
          <cell r="H531">
            <v>379.8</v>
          </cell>
          <cell r="J531" t="e">
            <v>#N/A</v>
          </cell>
          <cell r="L531" t="e">
            <v>#N/A</v>
          </cell>
          <cell r="M531">
            <v>53</v>
          </cell>
          <cell r="N531" t="e">
            <v>#N/A</v>
          </cell>
          <cell r="O531" t="e">
            <v>#N/A</v>
          </cell>
          <cell r="P531" t="e">
            <v>#N/A</v>
          </cell>
          <cell r="Q531" t="e">
            <v>#N/A</v>
          </cell>
          <cell r="R531">
            <v>251.85</v>
          </cell>
          <cell r="S531" t="e">
            <v>#N/A</v>
          </cell>
          <cell r="V531">
            <v>0</v>
          </cell>
        </row>
        <row r="532">
          <cell r="A532">
            <v>46724</v>
          </cell>
          <cell r="B532" t="e">
            <v>#N/A</v>
          </cell>
          <cell r="D532" t="e">
            <v>#N/A</v>
          </cell>
          <cell r="F532">
            <v>0</v>
          </cell>
          <cell r="G532">
            <v>0</v>
          </cell>
          <cell r="H532">
            <v>379.8</v>
          </cell>
          <cell r="J532" t="e">
            <v>#N/A</v>
          </cell>
          <cell r="L532" t="e">
            <v>#N/A</v>
          </cell>
          <cell r="M532">
            <v>53</v>
          </cell>
          <cell r="N532" t="e">
            <v>#N/A</v>
          </cell>
          <cell r="O532" t="e">
            <v>#N/A</v>
          </cell>
          <cell r="P532" t="e">
            <v>#N/A</v>
          </cell>
          <cell r="Q532" t="e">
            <v>#N/A</v>
          </cell>
          <cell r="R532">
            <v>251.85</v>
          </cell>
          <cell r="S532" t="e">
            <v>#N/A</v>
          </cell>
          <cell r="V532">
            <v>0</v>
          </cell>
        </row>
        <row r="533">
          <cell r="A533">
            <v>46725</v>
          </cell>
          <cell r="B533" t="e">
            <v>#N/A</v>
          </cell>
          <cell r="D533" t="e">
            <v>#N/A</v>
          </cell>
          <cell r="F533">
            <v>0</v>
          </cell>
          <cell r="G533">
            <v>0</v>
          </cell>
          <cell r="H533">
            <v>379.8</v>
          </cell>
          <cell r="J533" t="e">
            <v>#N/A</v>
          </cell>
          <cell r="L533" t="e">
            <v>#N/A</v>
          </cell>
          <cell r="M533">
            <v>53</v>
          </cell>
          <cell r="N533" t="e">
            <v>#N/A</v>
          </cell>
          <cell r="O533" t="e">
            <v>#N/A</v>
          </cell>
          <cell r="P533" t="e">
            <v>#N/A</v>
          </cell>
          <cell r="Q533" t="e">
            <v>#N/A</v>
          </cell>
          <cell r="R533">
            <v>251.85</v>
          </cell>
          <cell r="S533" t="e">
            <v>#N/A</v>
          </cell>
          <cell r="V533">
            <v>0</v>
          </cell>
        </row>
        <row r="534">
          <cell r="A534">
            <v>46726</v>
          </cell>
          <cell r="B534" t="e">
            <v>#N/A</v>
          </cell>
          <cell r="D534" t="e">
            <v>#N/A</v>
          </cell>
          <cell r="F534">
            <v>0</v>
          </cell>
          <cell r="G534">
            <v>0</v>
          </cell>
          <cell r="H534">
            <v>379.8</v>
          </cell>
          <cell r="J534" t="e">
            <v>#N/A</v>
          </cell>
          <cell r="L534" t="e">
            <v>#N/A</v>
          </cell>
          <cell r="M534">
            <v>53</v>
          </cell>
          <cell r="N534" t="e">
            <v>#N/A</v>
          </cell>
          <cell r="O534" t="e">
            <v>#N/A</v>
          </cell>
          <cell r="P534" t="e">
            <v>#N/A</v>
          </cell>
          <cell r="Q534" t="e">
            <v>#N/A</v>
          </cell>
          <cell r="R534">
            <v>251.85</v>
          </cell>
          <cell r="S534" t="e">
            <v>#N/A</v>
          </cell>
          <cell r="V534">
            <v>0</v>
          </cell>
        </row>
        <row r="535">
          <cell r="A535">
            <v>46727</v>
          </cell>
          <cell r="B535" t="e">
            <v>#N/A</v>
          </cell>
          <cell r="D535" t="e">
            <v>#N/A</v>
          </cell>
          <cell r="F535">
            <v>0</v>
          </cell>
          <cell r="G535">
            <v>0</v>
          </cell>
          <cell r="H535">
            <v>379.8</v>
          </cell>
          <cell r="J535" t="e">
            <v>#N/A</v>
          </cell>
          <cell r="L535" t="e">
            <v>#N/A</v>
          </cell>
          <cell r="M535">
            <v>53</v>
          </cell>
          <cell r="N535" t="e">
            <v>#N/A</v>
          </cell>
          <cell r="O535" t="e">
            <v>#N/A</v>
          </cell>
          <cell r="P535" t="e">
            <v>#N/A</v>
          </cell>
          <cell r="Q535" t="e">
            <v>#N/A</v>
          </cell>
          <cell r="R535">
            <v>251.85</v>
          </cell>
          <cell r="S535" t="e">
            <v>#N/A</v>
          </cell>
          <cell r="V535">
            <v>0</v>
          </cell>
        </row>
        <row r="536">
          <cell r="A536">
            <v>46728</v>
          </cell>
          <cell r="B536" t="e">
            <v>#N/A</v>
          </cell>
          <cell r="D536" t="e">
            <v>#N/A</v>
          </cell>
          <cell r="F536">
            <v>0</v>
          </cell>
          <cell r="G536">
            <v>0</v>
          </cell>
          <cell r="H536">
            <v>379.8</v>
          </cell>
          <cell r="J536" t="e">
            <v>#N/A</v>
          </cell>
          <cell r="L536" t="e">
            <v>#N/A</v>
          </cell>
          <cell r="M536">
            <v>53</v>
          </cell>
          <cell r="N536" t="e">
            <v>#N/A</v>
          </cell>
          <cell r="O536" t="e">
            <v>#N/A</v>
          </cell>
          <cell r="P536" t="e">
            <v>#N/A</v>
          </cell>
          <cell r="Q536" t="e">
            <v>#N/A</v>
          </cell>
          <cell r="R536">
            <v>251.85</v>
          </cell>
          <cell r="S536" t="e">
            <v>#N/A</v>
          </cell>
          <cell r="V536">
            <v>0</v>
          </cell>
        </row>
        <row r="537">
          <cell r="A537">
            <v>46729</v>
          </cell>
          <cell r="B537" t="e">
            <v>#N/A</v>
          </cell>
          <cell r="D537" t="e">
            <v>#N/A</v>
          </cell>
          <cell r="F537">
            <v>0</v>
          </cell>
          <cell r="G537">
            <v>0</v>
          </cell>
          <cell r="H537">
            <v>379.8</v>
          </cell>
          <cell r="J537" t="e">
            <v>#N/A</v>
          </cell>
          <cell r="L537" t="e">
            <v>#N/A</v>
          </cell>
          <cell r="M537">
            <v>53</v>
          </cell>
          <cell r="N537" t="e">
            <v>#N/A</v>
          </cell>
          <cell r="O537" t="e">
            <v>#N/A</v>
          </cell>
          <cell r="P537" t="e">
            <v>#N/A</v>
          </cell>
          <cell r="Q537" t="e">
            <v>#N/A</v>
          </cell>
          <cell r="R537">
            <v>251.85</v>
          </cell>
          <cell r="S537" t="e">
            <v>#N/A</v>
          </cell>
          <cell r="V537">
            <v>0</v>
          </cell>
        </row>
        <row r="538">
          <cell r="A538">
            <v>46730</v>
          </cell>
          <cell r="B538" t="e">
            <v>#N/A</v>
          </cell>
          <cell r="D538" t="e">
            <v>#N/A</v>
          </cell>
          <cell r="F538">
            <v>0</v>
          </cell>
          <cell r="G538">
            <v>0</v>
          </cell>
          <cell r="H538">
            <v>379.8</v>
          </cell>
          <cell r="J538" t="e">
            <v>#N/A</v>
          </cell>
          <cell r="L538" t="e">
            <v>#N/A</v>
          </cell>
          <cell r="M538">
            <v>53</v>
          </cell>
          <cell r="N538" t="e">
            <v>#N/A</v>
          </cell>
          <cell r="O538" t="e">
            <v>#N/A</v>
          </cell>
          <cell r="P538" t="e">
            <v>#N/A</v>
          </cell>
          <cell r="Q538" t="e">
            <v>#N/A</v>
          </cell>
          <cell r="R538">
            <v>251.85</v>
          </cell>
          <cell r="S538" t="e">
            <v>#N/A</v>
          </cell>
          <cell r="V538">
            <v>0</v>
          </cell>
        </row>
        <row r="539">
          <cell r="A539">
            <v>46731</v>
          </cell>
          <cell r="B539" t="e">
            <v>#N/A</v>
          </cell>
          <cell r="D539" t="e">
            <v>#N/A</v>
          </cell>
          <cell r="F539">
            <v>0</v>
          </cell>
          <cell r="G539">
            <v>0</v>
          </cell>
          <cell r="H539">
            <v>379.8</v>
          </cell>
          <cell r="J539" t="e">
            <v>#N/A</v>
          </cell>
          <cell r="L539" t="e">
            <v>#N/A</v>
          </cell>
          <cell r="M539">
            <v>53</v>
          </cell>
          <cell r="N539" t="e">
            <v>#N/A</v>
          </cell>
          <cell r="O539" t="e">
            <v>#N/A</v>
          </cell>
          <cell r="P539" t="e">
            <v>#N/A</v>
          </cell>
          <cell r="Q539" t="e">
            <v>#N/A</v>
          </cell>
          <cell r="R539">
            <v>251.85</v>
          </cell>
          <cell r="S539" t="e">
            <v>#N/A</v>
          </cell>
          <cell r="V539">
            <v>0</v>
          </cell>
        </row>
        <row r="540">
          <cell r="A540">
            <v>46732</v>
          </cell>
          <cell r="B540" t="e">
            <v>#N/A</v>
          </cell>
          <cell r="D540" t="e">
            <v>#N/A</v>
          </cell>
          <cell r="F540">
            <v>0</v>
          </cell>
          <cell r="G540">
            <v>0</v>
          </cell>
          <cell r="H540">
            <v>379.8</v>
          </cell>
          <cell r="J540" t="e">
            <v>#N/A</v>
          </cell>
          <cell r="L540" t="e">
            <v>#N/A</v>
          </cell>
          <cell r="M540">
            <v>53</v>
          </cell>
          <cell r="N540" t="e">
            <v>#N/A</v>
          </cell>
          <cell r="O540" t="e">
            <v>#N/A</v>
          </cell>
          <cell r="P540" t="e">
            <v>#N/A</v>
          </cell>
          <cell r="Q540" t="e">
            <v>#N/A</v>
          </cell>
          <cell r="R540">
            <v>251.85</v>
          </cell>
          <cell r="S540" t="e">
            <v>#N/A</v>
          </cell>
          <cell r="V540">
            <v>0</v>
          </cell>
        </row>
        <row r="541">
          <cell r="A541">
            <v>46733</v>
          </cell>
          <cell r="B541" t="e">
            <v>#N/A</v>
          </cell>
          <cell r="D541" t="e">
            <v>#N/A</v>
          </cell>
          <cell r="F541">
            <v>0</v>
          </cell>
          <cell r="G541">
            <v>0</v>
          </cell>
          <cell r="H541">
            <v>379.8</v>
          </cell>
          <cell r="J541" t="e">
            <v>#N/A</v>
          </cell>
          <cell r="L541" t="e">
            <v>#N/A</v>
          </cell>
          <cell r="M541">
            <v>53</v>
          </cell>
          <cell r="N541" t="e">
            <v>#N/A</v>
          </cell>
          <cell r="O541" t="e">
            <v>#N/A</v>
          </cell>
          <cell r="P541" t="e">
            <v>#N/A</v>
          </cell>
          <cell r="Q541" t="e">
            <v>#N/A</v>
          </cell>
          <cell r="R541">
            <v>251.85</v>
          </cell>
          <cell r="S541" t="e">
            <v>#N/A</v>
          </cell>
          <cell r="V541">
            <v>0</v>
          </cell>
        </row>
        <row r="542">
          <cell r="A542">
            <v>46734</v>
          </cell>
          <cell r="B542" t="e">
            <v>#N/A</v>
          </cell>
          <cell r="D542" t="e">
            <v>#N/A</v>
          </cell>
          <cell r="F542">
            <v>0</v>
          </cell>
          <cell r="G542">
            <v>0</v>
          </cell>
          <cell r="H542">
            <v>379.8</v>
          </cell>
          <cell r="J542" t="e">
            <v>#N/A</v>
          </cell>
          <cell r="L542" t="e">
            <v>#N/A</v>
          </cell>
          <cell r="M542">
            <v>53</v>
          </cell>
          <cell r="N542" t="e">
            <v>#N/A</v>
          </cell>
          <cell r="O542" t="e">
            <v>#N/A</v>
          </cell>
          <cell r="P542" t="e">
            <v>#N/A</v>
          </cell>
          <cell r="Q542" t="e">
            <v>#N/A</v>
          </cell>
          <cell r="R542">
            <v>251.85</v>
          </cell>
          <cell r="S542" t="e">
            <v>#N/A</v>
          </cell>
          <cell r="V542">
            <v>0</v>
          </cell>
        </row>
        <row r="543">
          <cell r="A543">
            <v>46735</v>
          </cell>
          <cell r="B543" t="e">
            <v>#N/A</v>
          </cell>
          <cell r="D543" t="e">
            <v>#N/A</v>
          </cell>
          <cell r="F543">
            <v>0</v>
          </cell>
          <cell r="G543">
            <v>0</v>
          </cell>
          <cell r="H543">
            <v>379.8</v>
          </cell>
          <cell r="J543" t="e">
            <v>#N/A</v>
          </cell>
          <cell r="L543" t="e">
            <v>#N/A</v>
          </cell>
          <cell r="M543">
            <v>53</v>
          </cell>
          <cell r="N543" t="e">
            <v>#N/A</v>
          </cell>
          <cell r="O543" t="e">
            <v>#N/A</v>
          </cell>
          <cell r="P543" t="e">
            <v>#N/A</v>
          </cell>
          <cell r="Q543" t="e">
            <v>#N/A</v>
          </cell>
          <cell r="R543">
            <v>251.85</v>
          </cell>
          <cell r="S543" t="e">
            <v>#N/A</v>
          </cell>
          <cell r="V543">
            <v>0</v>
          </cell>
        </row>
        <row r="544">
          <cell r="A544">
            <v>46736</v>
          </cell>
          <cell r="B544" t="e">
            <v>#N/A</v>
          </cell>
          <cell r="D544" t="e">
            <v>#N/A</v>
          </cell>
          <cell r="F544">
            <v>0</v>
          </cell>
          <cell r="G544">
            <v>0</v>
          </cell>
          <cell r="H544">
            <v>379.8</v>
          </cell>
          <cell r="J544" t="e">
            <v>#N/A</v>
          </cell>
          <cell r="L544" t="e">
            <v>#N/A</v>
          </cell>
          <cell r="M544">
            <v>53</v>
          </cell>
          <cell r="N544" t="e">
            <v>#N/A</v>
          </cell>
          <cell r="O544" t="e">
            <v>#N/A</v>
          </cell>
          <cell r="P544" t="e">
            <v>#N/A</v>
          </cell>
          <cell r="Q544" t="e">
            <v>#N/A</v>
          </cell>
          <cell r="R544">
            <v>251.85</v>
          </cell>
          <cell r="S544" t="e">
            <v>#N/A</v>
          </cell>
          <cell r="V544">
            <v>0</v>
          </cell>
        </row>
        <row r="545">
          <cell r="A545">
            <v>46737</v>
          </cell>
          <cell r="B545" t="e">
            <v>#N/A</v>
          </cell>
          <cell r="D545" t="e">
            <v>#N/A</v>
          </cell>
          <cell r="F545">
            <v>0</v>
          </cell>
          <cell r="G545">
            <v>0</v>
          </cell>
          <cell r="H545">
            <v>379.8</v>
          </cell>
          <cell r="J545" t="e">
            <v>#N/A</v>
          </cell>
          <cell r="L545" t="e">
            <v>#N/A</v>
          </cell>
          <cell r="M545">
            <v>53</v>
          </cell>
          <cell r="N545" t="e">
            <v>#N/A</v>
          </cell>
          <cell r="O545" t="e">
            <v>#N/A</v>
          </cell>
          <cell r="P545" t="e">
            <v>#N/A</v>
          </cell>
          <cell r="Q545" t="e">
            <v>#N/A</v>
          </cell>
          <cell r="R545">
            <v>251.85</v>
          </cell>
          <cell r="S545" t="e">
            <v>#N/A</v>
          </cell>
          <cell r="V545">
            <v>0</v>
          </cell>
        </row>
        <row r="546">
          <cell r="A546">
            <v>46738</v>
          </cell>
          <cell r="B546" t="e">
            <v>#N/A</v>
          </cell>
          <cell r="D546" t="e">
            <v>#N/A</v>
          </cell>
          <cell r="F546">
            <v>0</v>
          </cell>
          <cell r="G546">
            <v>0</v>
          </cell>
          <cell r="H546">
            <v>379.8</v>
          </cell>
          <cell r="J546" t="e">
            <v>#N/A</v>
          </cell>
          <cell r="L546" t="e">
            <v>#N/A</v>
          </cell>
          <cell r="M546">
            <v>53</v>
          </cell>
          <cell r="N546" t="e">
            <v>#N/A</v>
          </cell>
          <cell r="O546" t="e">
            <v>#N/A</v>
          </cell>
          <cell r="P546" t="e">
            <v>#N/A</v>
          </cell>
          <cell r="Q546" t="e">
            <v>#N/A</v>
          </cell>
          <cell r="R546">
            <v>251.85</v>
          </cell>
          <cell r="S546" t="e">
            <v>#N/A</v>
          </cell>
          <cell r="V546">
            <v>0</v>
          </cell>
        </row>
        <row r="547">
          <cell r="A547">
            <v>46739</v>
          </cell>
          <cell r="B547" t="e">
            <v>#N/A</v>
          </cell>
          <cell r="D547" t="e">
            <v>#N/A</v>
          </cell>
          <cell r="F547">
            <v>0</v>
          </cell>
          <cell r="G547">
            <v>0</v>
          </cell>
          <cell r="H547">
            <v>379.8</v>
          </cell>
          <cell r="J547" t="e">
            <v>#N/A</v>
          </cell>
          <cell r="L547" t="e">
            <v>#N/A</v>
          </cell>
          <cell r="M547">
            <v>53</v>
          </cell>
          <cell r="N547" t="e">
            <v>#N/A</v>
          </cell>
          <cell r="O547" t="e">
            <v>#N/A</v>
          </cell>
          <cell r="P547" t="e">
            <v>#N/A</v>
          </cell>
          <cell r="Q547" t="e">
            <v>#N/A</v>
          </cell>
          <cell r="R547">
            <v>251.85</v>
          </cell>
          <cell r="S547" t="e">
            <v>#N/A</v>
          </cell>
          <cell r="V547">
            <v>0</v>
          </cell>
        </row>
        <row r="548">
          <cell r="A548">
            <v>46740</v>
          </cell>
          <cell r="B548" t="e">
            <v>#N/A</v>
          </cell>
          <cell r="D548" t="e">
            <v>#N/A</v>
          </cell>
          <cell r="F548">
            <v>0</v>
          </cell>
          <cell r="G548">
            <v>0</v>
          </cell>
          <cell r="H548">
            <v>379.8</v>
          </cell>
          <cell r="J548" t="e">
            <v>#N/A</v>
          </cell>
          <cell r="L548" t="e">
            <v>#N/A</v>
          </cell>
          <cell r="M548">
            <v>53</v>
          </cell>
          <cell r="N548" t="e">
            <v>#N/A</v>
          </cell>
          <cell r="O548" t="e">
            <v>#N/A</v>
          </cell>
          <cell r="P548" t="e">
            <v>#N/A</v>
          </cell>
          <cell r="Q548" t="e">
            <v>#N/A</v>
          </cell>
          <cell r="R548">
            <v>251.85</v>
          </cell>
          <cell r="S548" t="e">
            <v>#N/A</v>
          </cell>
          <cell r="V548">
            <v>0</v>
          </cell>
        </row>
        <row r="549">
          <cell r="A549">
            <v>46741</v>
          </cell>
          <cell r="B549" t="e">
            <v>#N/A</v>
          </cell>
          <cell r="D549" t="e">
            <v>#N/A</v>
          </cell>
          <cell r="F549">
            <v>0</v>
          </cell>
          <cell r="G549">
            <v>0</v>
          </cell>
          <cell r="H549">
            <v>379.8</v>
          </cell>
          <cell r="J549" t="e">
            <v>#N/A</v>
          </cell>
          <cell r="L549" t="e">
            <v>#N/A</v>
          </cell>
          <cell r="M549">
            <v>53</v>
          </cell>
          <cell r="N549" t="e">
            <v>#N/A</v>
          </cell>
          <cell r="O549" t="e">
            <v>#N/A</v>
          </cell>
          <cell r="P549" t="e">
            <v>#N/A</v>
          </cell>
          <cell r="Q549" t="e">
            <v>#N/A</v>
          </cell>
          <cell r="R549">
            <v>251.85</v>
          </cell>
          <cell r="S549" t="e">
            <v>#N/A</v>
          </cell>
          <cell r="V549">
            <v>0</v>
          </cell>
        </row>
        <row r="550">
          <cell r="A550">
            <v>46742</v>
          </cell>
          <cell r="B550" t="e">
            <v>#N/A</v>
          </cell>
          <cell r="D550" t="e">
            <v>#N/A</v>
          </cell>
          <cell r="F550">
            <v>0</v>
          </cell>
          <cell r="G550">
            <v>0</v>
          </cell>
          <cell r="H550">
            <v>379.8</v>
          </cell>
          <cell r="J550" t="e">
            <v>#N/A</v>
          </cell>
          <cell r="L550" t="e">
            <v>#N/A</v>
          </cell>
          <cell r="M550">
            <v>53</v>
          </cell>
          <cell r="N550" t="e">
            <v>#N/A</v>
          </cell>
          <cell r="O550" t="e">
            <v>#N/A</v>
          </cell>
          <cell r="P550" t="e">
            <v>#N/A</v>
          </cell>
          <cell r="Q550" t="e">
            <v>#N/A</v>
          </cell>
          <cell r="R550">
            <v>251.85</v>
          </cell>
          <cell r="S550" t="e">
            <v>#N/A</v>
          </cell>
          <cell r="V550">
            <v>0</v>
          </cell>
        </row>
        <row r="551">
          <cell r="A551">
            <v>46743</v>
          </cell>
          <cell r="B551" t="e">
            <v>#N/A</v>
          </cell>
          <cell r="D551" t="e">
            <v>#N/A</v>
          </cell>
          <cell r="F551">
            <v>0</v>
          </cell>
          <cell r="G551">
            <v>0</v>
          </cell>
          <cell r="H551">
            <v>379.8</v>
          </cell>
          <cell r="J551" t="e">
            <v>#N/A</v>
          </cell>
          <cell r="L551" t="e">
            <v>#N/A</v>
          </cell>
          <cell r="M551">
            <v>53</v>
          </cell>
          <cell r="N551" t="e">
            <v>#N/A</v>
          </cell>
          <cell r="O551" t="e">
            <v>#N/A</v>
          </cell>
          <cell r="P551" t="e">
            <v>#N/A</v>
          </cell>
          <cell r="Q551" t="e">
            <v>#N/A</v>
          </cell>
          <cell r="R551">
            <v>251.85</v>
          </cell>
          <cell r="S551" t="e">
            <v>#N/A</v>
          </cell>
          <cell r="V551">
            <v>0</v>
          </cell>
        </row>
        <row r="552">
          <cell r="A552">
            <v>46744</v>
          </cell>
          <cell r="B552" t="e">
            <v>#N/A</v>
          </cell>
          <cell r="D552" t="e">
            <v>#N/A</v>
          </cell>
          <cell r="F552">
            <v>0</v>
          </cell>
          <cell r="G552">
            <v>0</v>
          </cell>
          <cell r="H552">
            <v>379.8</v>
          </cell>
          <cell r="J552" t="e">
            <v>#N/A</v>
          </cell>
          <cell r="L552" t="e">
            <v>#N/A</v>
          </cell>
          <cell r="M552">
            <v>53</v>
          </cell>
          <cell r="N552" t="e">
            <v>#N/A</v>
          </cell>
          <cell r="O552" t="e">
            <v>#N/A</v>
          </cell>
          <cell r="P552" t="e">
            <v>#N/A</v>
          </cell>
          <cell r="Q552" t="e">
            <v>#N/A</v>
          </cell>
          <cell r="R552">
            <v>251.85</v>
          </cell>
          <cell r="S552" t="e">
            <v>#N/A</v>
          </cell>
          <cell r="V552">
            <v>0</v>
          </cell>
        </row>
        <row r="553">
          <cell r="A553">
            <v>46745</v>
          </cell>
          <cell r="B553" t="e">
            <v>#N/A</v>
          </cell>
          <cell r="D553" t="e">
            <v>#N/A</v>
          </cell>
          <cell r="F553">
            <v>0</v>
          </cell>
          <cell r="G553">
            <v>0</v>
          </cell>
          <cell r="H553">
            <v>379.8</v>
          </cell>
          <cell r="J553" t="e">
            <v>#N/A</v>
          </cell>
          <cell r="L553" t="e">
            <v>#N/A</v>
          </cell>
          <cell r="M553">
            <v>53</v>
          </cell>
          <cell r="N553" t="e">
            <v>#N/A</v>
          </cell>
          <cell r="O553" t="e">
            <v>#N/A</v>
          </cell>
          <cell r="P553" t="e">
            <v>#N/A</v>
          </cell>
          <cell r="Q553" t="e">
            <v>#N/A</v>
          </cell>
          <cell r="R553">
            <v>251.85</v>
          </cell>
          <cell r="S553" t="e">
            <v>#N/A</v>
          </cell>
          <cell r="V553">
            <v>0</v>
          </cell>
        </row>
        <row r="554">
          <cell r="A554">
            <v>46746</v>
          </cell>
          <cell r="B554" t="e">
            <v>#N/A</v>
          </cell>
          <cell r="D554" t="e">
            <v>#N/A</v>
          </cell>
          <cell r="F554">
            <v>0</v>
          </cell>
          <cell r="G554">
            <v>0</v>
          </cell>
          <cell r="H554">
            <v>379.8</v>
          </cell>
          <cell r="J554" t="e">
            <v>#N/A</v>
          </cell>
          <cell r="L554" t="e">
            <v>#N/A</v>
          </cell>
          <cell r="M554">
            <v>53</v>
          </cell>
          <cell r="N554" t="e">
            <v>#N/A</v>
          </cell>
          <cell r="O554" t="e">
            <v>#N/A</v>
          </cell>
          <cell r="P554" t="e">
            <v>#N/A</v>
          </cell>
          <cell r="Q554" t="e">
            <v>#N/A</v>
          </cell>
          <cell r="R554">
            <v>251.85</v>
          </cell>
          <cell r="S554" t="e">
            <v>#N/A</v>
          </cell>
          <cell r="V554">
            <v>0</v>
          </cell>
        </row>
        <row r="555">
          <cell r="A555">
            <v>46747</v>
          </cell>
          <cell r="B555" t="e">
            <v>#N/A</v>
          </cell>
          <cell r="D555" t="e">
            <v>#N/A</v>
          </cell>
          <cell r="F555">
            <v>0</v>
          </cell>
          <cell r="G555">
            <v>0</v>
          </cell>
          <cell r="H555">
            <v>379.8</v>
          </cell>
          <cell r="J555" t="e">
            <v>#N/A</v>
          </cell>
          <cell r="L555" t="e">
            <v>#N/A</v>
          </cell>
          <cell r="M555">
            <v>53</v>
          </cell>
          <cell r="N555" t="e">
            <v>#N/A</v>
          </cell>
          <cell r="O555" t="e">
            <v>#N/A</v>
          </cell>
          <cell r="P555" t="e">
            <v>#N/A</v>
          </cell>
          <cell r="Q555" t="e">
            <v>#N/A</v>
          </cell>
          <cell r="R555">
            <v>251.85</v>
          </cell>
          <cell r="S555" t="e">
            <v>#N/A</v>
          </cell>
          <cell r="V555">
            <v>0</v>
          </cell>
        </row>
        <row r="556">
          <cell r="A556">
            <v>46748</v>
          </cell>
          <cell r="B556" t="e">
            <v>#N/A</v>
          </cell>
          <cell r="D556" t="e">
            <v>#N/A</v>
          </cell>
          <cell r="F556">
            <v>0</v>
          </cell>
          <cell r="G556">
            <v>0</v>
          </cell>
          <cell r="H556">
            <v>379.8</v>
          </cell>
          <cell r="J556" t="e">
            <v>#N/A</v>
          </cell>
          <cell r="L556" t="e">
            <v>#N/A</v>
          </cell>
          <cell r="M556">
            <v>53</v>
          </cell>
          <cell r="N556" t="e">
            <v>#N/A</v>
          </cell>
          <cell r="O556" t="e">
            <v>#N/A</v>
          </cell>
          <cell r="P556" t="e">
            <v>#N/A</v>
          </cell>
          <cell r="Q556" t="e">
            <v>#N/A</v>
          </cell>
          <cell r="R556">
            <v>251.85</v>
          </cell>
          <cell r="S556" t="e">
            <v>#N/A</v>
          </cell>
          <cell r="V556">
            <v>0</v>
          </cell>
        </row>
        <row r="557">
          <cell r="A557">
            <v>46749</v>
          </cell>
          <cell r="B557" t="e">
            <v>#N/A</v>
          </cell>
          <cell r="D557" t="e">
            <v>#N/A</v>
          </cell>
          <cell r="F557">
            <v>0</v>
          </cell>
          <cell r="G557">
            <v>0</v>
          </cell>
          <cell r="H557">
            <v>379.8</v>
          </cell>
          <cell r="J557" t="e">
            <v>#N/A</v>
          </cell>
          <cell r="L557" t="e">
            <v>#N/A</v>
          </cell>
          <cell r="M557">
            <v>53</v>
          </cell>
          <cell r="N557" t="e">
            <v>#N/A</v>
          </cell>
          <cell r="O557" t="e">
            <v>#N/A</v>
          </cell>
          <cell r="P557" t="e">
            <v>#N/A</v>
          </cell>
          <cell r="Q557" t="e">
            <v>#N/A</v>
          </cell>
          <cell r="R557">
            <v>251.85</v>
          </cell>
          <cell r="S557" t="e">
            <v>#N/A</v>
          </cell>
          <cell r="V557">
            <v>0</v>
          </cell>
        </row>
        <row r="558">
          <cell r="A558">
            <v>46750</v>
          </cell>
          <cell r="B558" t="e">
            <v>#N/A</v>
          </cell>
          <cell r="D558" t="e">
            <v>#N/A</v>
          </cell>
          <cell r="F558">
            <v>0</v>
          </cell>
          <cell r="G558">
            <v>0</v>
          </cell>
          <cell r="H558">
            <v>379.8</v>
          </cell>
          <cell r="J558" t="e">
            <v>#N/A</v>
          </cell>
          <cell r="L558" t="e">
            <v>#N/A</v>
          </cell>
          <cell r="M558">
            <v>53</v>
          </cell>
          <cell r="N558" t="e">
            <v>#N/A</v>
          </cell>
          <cell r="O558" t="e">
            <v>#N/A</v>
          </cell>
          <cell r="P558" t="e">
            <v>#N/A</v>
          </cell>
          <cell r="Q558" t="e">
            <v>#N/A</v>
          </cell>
          <cell r="R558">
            <v>251.85</v>
          </cell>
          <cell r="S558" t="e">
            <v>#N/A</v>
          </cell>
          <cell r="V558">
            <v>0</v>
          </cell>
        </row>
        <row r="559">
          <cell r="A559">
            <v>46751</v>
          </cell>
          <cell r="B559" t="e">
            <v>#N/A</v>
          </cell>
          <cell r="D559" t="e">
            <v>#N/A</v>
          </cell>
          <cell r="F559">
            <v>0</v>
          </cell>
          <cell r="G559">
            <v>0</v>
          </cell>
          <cell r="H559">
            <v>379.8</v>
          </cell>
          <cell r="J559" t="e">
            <v>#N/A</v>
          </cell>
          <cell r="L559" t="e">
            <v>#N/A</v>
          </cell>
          <cell r="M559">
            <v>53</v>
          </cell>
          <cell r="N559" t="e">
            <v>#N/A</v>
          </cell>
          <cell r="O559" t="e">
            <v>#N/A</v>
          </cell>
          <cell r="P559" t="e">
            <v>#N/A</v>
          </cell>
          <cell r="Q559" t="e">
            <v>#N/A</v>
          </cell>
          <cell r="R559">
            <v>251.85</v>
          </cell>
          <cell r="S559" t="e">
            <v>#N/A</v>
          </cell>
          <cell r="V559">
            <v>0</v>
          </cell>
        </row>
        <row r="560">
          <cell r="A560">
            <v>46752</v>
          </cell>
          <cell r="B560" t="e">
            <v>#N/A</v>
          </cell>
          <cell r="D560" t="e">
            <v>#N/A</v>
          </cell>
          <cell r="F560">
            <v>0</v>
          </cell>
          <cell r="G560">
            <v>0</v>
          </cell>
          <cell r="H560">
            <v>379.8</v>
          </cell>
          <cell r="J560" t="e">
            <v>#N/A</v>
          </cell>
          <cell r="L560" t="e">
            <v>#N/A</v>
          </cell>
          <cell r="M560">
            <v>53</v>
          </cell>
          <cell r="N560" t="e">
            <v>#N/A</v>
          </cell>
          <cell r="O560" t="e">
            <v>#N/A</v>
          </cell>
          <cell r="P560" t="e">
            <v>#N/A</v>
          </cell>
          <cell r="Q560" t="e">
            <v>#N/A</v>
          </cell>
          <cell r="R560">
            <v>251.85</v>
          </cell>
          <cell r="S560" t="e">
            <v>#N/A</v>
          </cell>
          <cell r="V560">
            <v>0</v>
          </cell>
        </row>
        <row r="561">
          <cell r="A561">
            <v>46753</v>
          </cell>
          <cell r="B561" t="e">
            <v>#N/A</v>
          </cell>
          <cell r="D561" t="e">
            <v>#N/A</v>
          </cell>
          <cell r="F561">
            <v>0</v>
          </cell>
          <cell r="G561">
            <v>0</v>
          </cell>
          <cell r="H561">
            <v>379.8</v>
          </cell>
          <cell r="J561" t="e">
            <v>#N/A</v>
          </cell>
          <cell r="L561" t="e">
            <v>#N/A</v>
          </cell>
          <cell r="M561">
            <v>53</v>
          </cell>
          <cell r="N561" t="e">
            <v>#N/A</v>
          </cell>
          <cell r="O561" t="e">
            <v>#N/A</v>
          </cell>
          <cell r="P561" t="e">
            <v>#N/A</v>
          </cell>
          <cell r="Q561" t="e">
            <v>#N/A</v>
          </cell>
          <cell r="R561">
            <v>251.85</v>
          </cell>
          <cell r="S561" t="e">
            <v>#N/A</v>
          </cell>
          <cell r="V561">
            <v>0</v>
          </cell>
        </row>
        <row r="562">
          <cell r="A562">
            <v>46754</v>
          </cell>
          <cell r="B562" t="e">
            <v>#N/A</v>
          </cell>
          <cell r="D562" t="e">
            <v>#N/A</v>
          </cell>
          <cell r="F562">
            <v>0</v>
          </cell>
          <cell r="G562">
            <v>0</v>
          </cell>
          <cell r="H562">
            <v>379.8</v>
          </cell>
          <cell r="J562" t="e">
            <v>#N/A</v>
          </cell>
          <cell r="L562" t="e">
            <v>#N/A</v>
          </cell>
          <cell r="M562">
            <v>53</v>
          </cell>
          <cell r="N562" t="e">
            <v>#N/A</v>
          </cell>
          <cell r="O562" t="e">
            <v>#N/A</v>
          </cell>
          <cell r="P562" t="e">
            <v>#N/A</v>
          </cell>
          <cell r="Q562" t="e">
            <v>#N/A</v>
          </cell>
          <cell r="R562">
            <v>251.85</v>
          </cell>
          <cell r="S562" t="e">
            <v>#N/A</v>
          </cell>
          <cell r="V562">
            <v>0</v>
          </cell>
        </row>
        <row r="563">
          <cell r="A563">
            <v>46755</v>
          </cell>
          <cell r="B563" t="e">
            <v>#N/A</v>
          </cell>
          <cell r="D563" t="e">
            <v>#N/A</v>
          </cell>
          <cell r="F563">
            <v>0</v>
          </cell>
          <cell r="G563">
            <v>0</v>
          </cell>
          <cell r="H563">
            <v>379.8</v>
          </cell>
          <cell r="J563" t="e">
            <v>#N/A</v>
          </cell>
          <cell r="L563" t="e">
            <v>#N/A</v>
          </cell>
          <cell r="M563">
            <v>53</v>
          </cell>
          <cell r="N563" t="e">
            <v>#N/A</v>
          </cell>
          <cell r="O563" t="e">
            <v>#N/A</v>
          </cell>
          <cell r="P563" t="e">
            <v>#N/A</v>
          </cell>
          <cell r="Q563" t="e">
            <v>#N/A</v>
          </cell>
          <cell r="R563">
            <v>251.85</v>
          </cell>
          <cell r="S563" t="e">
            <v>#N/A</v>
          </cell>
          <cell r="V563">
            <v>0</v>
          </cell>
        </row>
        <row r="564">
          <cell r="A564">
            <v>46756</v>
          </cell>
          <cell r="B564" t="e">
            <v>#N/A</v>
          </cell>
          <cell r="D564" t="e">
            <v>#N/A</v>
          </cell>
          <cell r="F564">
            <v>0</v>
          </cell>
          <cell r="G564">
            <v>0</v>
          </cell>
          <cell r="H564">
            <v>379.8</v>
          </cell>
          <cell r="J564" t="e">
            <v>#N/A</v>
          </cell>
          <cell r="L564" t="e">
            <v>#N/A</v>
          </cell>
          <cell r="M564">
            <v>53</v>
          </cell>
          <cell r="N564" t="e">
            <v>#N/A</v>
          </cell>
          <cell r="O564" t="e">
            <v>#N/A</v>
          </cell>
          <cell r="P564" t="e">
            <v>#N/A</v>
          </cell>
          <cell r="Q564" t="e">
            <v>#N/A</v>
          </cell>
          <cell r="R564">
            <v>251.85</v>
          </cell>
          <cell r="S564" t="e">
            <v>#N/A</v>
          </cell>
          <cell r="V564">
            <v>0</v>
          </cell>
        </row>
        <row r="565">
          <cell r="A565">
            <v>46757</v>
          </cell>
          <cell r="B565" t="e">
            <v>#N/A</v>
          </cell>
          <cell r="D565" t="e">
            <v>#N/A</v>
          </cell>
          <cell r="F565">
            <v>0</v>
          </cell>
          <cell r="G565">
            <v>0</v>
          </cell>
          <cell r="H565">
            <v>379.8</v>
          </cell>
          <cell r="J565" t="e">
            <v>#N/A</v>
          </cell>
          <cell r="L565" t="e">
            <v>#N/A</v>
          </cell>
          <cell r="M565">
            <v>53</v>
          </cell>
          <cell r="N565" t="e">
            <v>#N/A</v>
          </cell>
          <cell r="O565" t="e">
            <v>#N/A</v>
          </cell>
          <cell r="P565" t="e">
            <v>#N/A</v>
          </cell>
          <cell r="Q565" t="e">
            <v>#N/A</v>
          </cell>
          <cell r="R565">
            <v>251.85</v>
          </cell>
          <cell r="S565" t="e">
            <v>#N/A</v>
          </cell>
          <cell r="V565">
            <v>0</v>
          </cell>
        </row>
        <row r="566">
          <cell r="A566">
            <v>46758</v>
          </cell>
          <cell r="B566" t="e">
            <v>#N/A</v>
          </cell>
          <cell r="D566" t="e">
            <v>#N/A</v>
          </cell>
          <cell r="F566">
            <v>0</v>
          </cell>
          <cell r="G566">
            <v>0</v>
          </cell>
          <cell r="H566">
            <v>379.8</v>
          </cell>
          <cell r="J566" t="e">
            <v>#N/A</v>
          </cell>
          <cell r="L566" t="e">
            <v>#N/A</v>
          </cell>
          <cell r="M566">
            <v>53</v>
          </cell>
          <cell r="N566" t="e">
            <v>#N/A</v>
          </cell>
          <cell r="O566" t="e">
            <v>#N/A</v>
          </cell>
          <cell r="P566" t="e">
            <v>#N/A</v>
          </cell>
          <cell r="Q566" t="e">
            <v>#N/A</v>
          </cell>
          <cell r="R566">
            <v>251.85</v>
          </cell>
          <cell r="S566" t="e">
            <v>#N/A</v>
          </cell>
          <cell r="V566">
            <v>0</v>
          </cell>
        </row>
        <row r="567">
          <cell r="A567">
            <v>46759</v>
          </cell>
          <cell r="B567" t="e">
            <v>#N/A</v>
          </cell>
          <cell r="D567" t="e">
            <v>#N/A</v>
          </cell>
          <cell r="F567">
            <v>0</v>
          </cell>
          <cell r="G567">
            <v>0</v>
          </cell>
          <cell r="H567">
            <v>379.8</v>
          </cell>
          <cell r="J567" t="e">
            <v>#N/A</v>
          </cell>
          <cell r="L567" t="e">
            <v>#N/A</v>
          </cell>
          <cell r="M567">
            <v>53</v>
          </cell>
          <cell r="N567" t="e">
            <v>#N/A</v>
          </cell>
          <cell r="O567" t="e">
            <v>#N/A</v>
          </cell>
          <cell r="P567" t="e">
            <v>#N/A</v>
          </cell>
          <cell r="Q567" t="e">
            <v>#N/A</v>
          </cell>
          <cell r="R567">
            <v>251.85</v>
          </cell>
          <cell r="S567" t="e">
            <v>#N/A</v>
          </cell>
          <cell r="V567">
            <v>0</v>
          </cell>
        </row>
        <row r="568">
          <cell r="A568">
            <v>46760</v>
          </cell>
          <cell r="B568" t="e">
            <v>#N/A</v>
          </cell>
          <cell r="D568" t="e">
            <v>#N/A</v>
          </cell>
          <cell r="F568">
            <v>0</v>
          </cell>
          <cell r="G568">
            <v>0</v>
          </cell>
          <cell r="H568">
            <v>379.8</v>
          </cell>
          <cell r="J568" t="e">
            <v>#N/A</v>
          </cell>
          <cell r="L568" t="e">
            <v>#N/A</v>
          </cell>
          <cell r="M568">
            <v>53</v>
          </cell>
          <cell r="N568" t="e">
            <v>#N/A</v>
          </cell>
          <cell r="O568" t="e">
            <v>#N/A</v>
          </cell>
          <cell r="P568" t="e">
            <v>#N/A</v>
          </cell>
          <cell r="Q568" t="e">
            <v>#N/A</v>
          </cell>
          <cell r="R568">
            <v>251.85</v>
          </cell>
          <cell r="S568" t="e">
            <v>#N/A</v>
          </cell>
          <cell r="V568">
            <v>0</v>
          </cell>
        </row>
        <row r="569">
          <cell r="A569">
            <v>46761</v>
          </cell>
          <cell r="B569" t="e">
            <v>#N/A</v>
          </cell>
          <cell r="D569" t="e">
            <v>#N/A</v>
          </cell>
          <cell r="F569">
            <v>0</v>
          </cell>
          <cell r="G569">
            <v>0</v>
          </cell>
          <cell r="H569">
            <v>379.8</v>
          </cell>
          <cell r="J569" t="e">
            <v>#N/A</v>
          </cell>
          <cell r="L569" t="e">
            <v>#N/A</v>
          </cell>
          <cell r="M569">
            <v>53</v>
          </cell>
          <cell r="N569" t="e">
            <v>#N/A</v>
          </cell>
          <cell r="O569" t="e">
            <v>#N/A</v>
          </cell>
          <cell r="P569" t="e">
            <v>#N/A</v>
          </cell>
          <cell r="Q569" t="e">
            <v>#N/A</v>
          </cell>
          <cell r="R569">
            <v>251.85</v>
          </cell>
          <cell r="S569" t="e">
            <v>#N/A</v>
          </cell>
          <cell r="V569">
            <v>0</v>
          </cell>
        </row>
        <row r="570">
          <cell r="A570">
            <v>46762</v>
          </cell>
          <cell r="B570" t="e">
            <v>#N/A</v>
          </cell>
          <cell r="D570" t="e">
            <v>#N/A</v>
          </cell>
          <cell r="F570">
            <v>0</v>
          </cell>
          <cell r="G570">
            <v>0</v>
          </cell>
          <cell r="H570">
            <v>379.8</v>
          </cell>
          <cell r="J570" t="e">
            <v>#N/A</v>
          </cell>
          <cell r="L570" t="e">
            <v>#N/A</v>
          </cell>
          <cell r="M570">
            <v>53</v>
          </cell>
          <cell r="N570" t="e">
            <v>#N/A</v>
          </cell>
          <cell r="O570" t="e">
            <v>#N/A</v>
          </cell>
          <cell r="P570" t="e">
            <v>#N/A</v>
          </cell>
          <cell r="Q570" t="e">
            <v>#N/A</v>
          </cell>
          <cell r="R570">
            <v>251.85</v>
          </cell>
          <cell r="S570" t="e">
            <v>#N/A</v>
          </cell>
          <cell r="V570">
            <v>0</v>
          </cell>
        </row>
        <row r="571">
          <cell r="A571">
            <v>46763</v>
          </cell>
          <cell r="B571" t="e">
            <v>#N/A</v>
          </cell>
          <cell r="D571" t="e">
            <v>#N/A</v>
          </cell>
          <cell r="F571">
            <v>0</v>
          </cell>
          <cell r="G571">
            <v>0</v>
          </cell>
          <cell r="H571">
            <v>379.8</v>
          </cell>
          <cell r="J571" t="e">
            <v>#N/A</v>
          </cell>
          <cell r="L571" t="e">
            <v>#N/A</v>
          </cell>
          <cell r="M571">
            <v>53</v>
          </cell>
          <cell r="N571" t="e">
            <v>#N/A</v>
          </cell>
          <cell r="O571" t="e">
            <v>#N/A</v>
          </cell>
          <cell r="P571" t="e">
            <v>#N/A</v>
          </cell>
          <cell r="Q571" t="e">
            <v>#N/A</v>
          </cell>
          <cell r="R571">
            <v>251.85</v>
          </cell>
          <cell r="S571" t="e">
            <v>#N/A</v>
          </cell>
          <cell r="V571">
            <v>0</v>
          </cell>
        </row>
        <row r="572">
          <cell r="A572">
            <v>46764</v>
          </cell>
          <cell r="B572" t="e">
            <v>#N/A</v>
          </cell>
          <cell r="D572" t="e">
            <v>#N/A</v>
          </cell>
          <cell r="F572">
            <v>0</v>
          </cell>
          <cell r="G572">
            <v>0</v>
          </cell>
          <cell r="H572">
            <v>379.8</v>
          </cell>
          <cell r="J572" t="e">
            <v>#N/A</v>
          </cell>
          <cell r="L572" t="e">
            <v>#N/A</v>
          </cell>
          <cell r="M572">
            <v>53</v>
          </cell>
          <cell r="N572" t="e">
            <v>#N/A</v>
          </cell>
          <cell r="O572" t="e">
            <v>#N/A</v>
          </cell>
          <cell r="P572" t="e">
            <v>#N/A</v>
          </cell>
          <cell r="Q572" t="e">
            <v>#N/A</v>
          </cell>
          <cell r="R572">
            <v>251.85</v>
          </cell>
          <cell r="S572" t="e">
            <v>#N/A</v>
          </cell>
          <cell r="V572">
            <v>0</v>
          </cell>
        </row>
        <row r="573">
          <cell r="A573">
            <v>46765</v>
          </cell>
          <cell r="B573" t="e">
            <v>#N/A</v>
          </cell>
          <cell r="D573" t="e">
            <v>#N/A</v>
          </cell>
          <cell r="F573">
            <v>0</v>
          </cell>
          <cell r="G573">
            <v>0</v>
          </cell>
          <cell r="H573">
            <v>379.8</v>
          </cell>
          <cell r="J573" t="e">
            <v>#N/A</v>
          </cell>
          <cell r="L573" t="e">
            <v>#N/A</v>
          </cell>
          <cell r="M573">
            <v>53</v>
          </cell>
          <cell r="N573" t="e">
            <v>#N/A</v>
          </cell>
          <cell r="O573" t="e">
            <v>#N/A</v>
          </cell>
          <cell r="P573" t="e">
            <v>#N/A</v>
          </cell>
          <cell r="Q573" t="e">
            <v>#N/A</v>
          </cell>
          <cell r="R573">
            <v>251.85</v>
          </cell>
          <cell r="S573" t="e">
            <v>#N/A</v>
          </cell>
          <cell r="V573">
            <v>0</v>
          </cell>
        </row>
        <row r="574">
          <cell r="A574">
            <v>46766</v>
          </cell>
          <cell r="B574" t="e">
            <v>#N/A</v>
          </cell>
          <cell r="D574" t="e">
            <v>#N/A</v>
          </cell>
          <cell r="F574">
            <v>0</v>
          </cell>
          <cell r="G574">
            <v>0</v>
          </cell>
          <cell r="H574">
            <v>379.8</v>
          </cell>
          <cell r="J574" t="e">
            <v>#N/A</v>
          </cell>
          <cell r="L574" t="e">
            <v>#N/A</v>
          </cell>
          <cell r="M574">
            <v>53</v>
          </cell>
          <cell r="N574" t="e">
            <v>#N/A</v>
          </cell>
          <cell r="O574" t="e">
            <v>#N/A</v>
          </cell>
          <cell r="P574" t="e">
            <v>#N/A</v>
          </cell>
          <cell r="Q574" t="e">
            <v>#N/A</v>
          </cell>
          <cell r="R574">
            <v>251.85</v>
          </cell>
          <cell r="S574" t="e">
            <v>#N/A</v>
          </cell>
          <cell r="V574">
            <v>0</v>
          </cell>
        </row>
        <row r="575">
          <cell r="A575">
            <v>46767</v>
          </cell>
          <cell r="B575" t="e">
            <v>#N/A</v>
          </cell>
          <cell r="D575" t="e">
            <v>#N/A</v>
          </cell>
          <cell r="F575">
            <v>0</v>
          </cell>
          <cell r="G575">
            <v>0</v>
          </cell>
          <cell r="H575">
            <v>379.8</v>
          </cell>
          <cell r="J575" t="e">
            <v>#N/A</v>
          </cell>
          <cell r="L575" t="e">
            <v>#N/A</v>
          </cell>
          <cell r="M575">
            <v>53</v>
          </cell>
          <cell r="N575" t="e">
            <v>#N/A</v>
          </cell>
          <cell r="O575" t="e">
            <v>#N/A</v>
          </cell>
          <cell r="P575" t="e">
            <v>#N/A</v>
          </cell>
          <cell r="Q575" t="e">
            <v>#N/A</v>
          </cell>
          <cell r="R575">
            <v>251.85</v>
          </cell>
          <cell r="S575" t="e">
            <v>#N/A</v>
          </cell>
          <cell r="V575">
            <v>0</v>
          </cell>
        </row>
        <row r="576">
          <cell r="A576">
            <v>46768</v>
          </cell>
          <cell r="B576" t="e">
            <v>#N/A</v>
          </cell>
          <cell r="D576" t="e">
            <v>#N/A</v>
          </cell>
          <cell r="F576">
            <v>0</v>
          </cell>
          <cell r="G576">
            <v>0</v>
          </cell>
          <cell r="H576">
            <v>379.8</v>
          </cell>
          <cell r="J576" t="e">
            <v>#N/A</v>
          </cell>
          <cell r="L576" t="e">
            <v>#N/A</v>
          </cell>
          <cell r="M576">
            <v>53</v>
          </cell>
          <cell r="N576" t="e">
            <v>#N/A</v>
          </cell>
          <cell r="O576" t="e">
            <v>#N/A</v>
          </cell>
          <cell r="P576" t="e">
            <v>#N/A</v>
          </cell>
          <cell r="Q576" t="e">
            <v>#N/A</v>
          </cell>
          <cell r="R576">
            <v>251.85</v>
          </cell>
          <cell r="S576" t="e">
            <v>#N/A</v>
          </cell>
          <cell r="V576">
            <v>0</v>
          </cell>
        </row>
        <row r="577">
          <cell r="A577">
            <v>46769</v>
          </cell>
          <cell r="B577" t="e">
            <v>#N/A</v>
          </cell>
          <cell r="D577" t="e">
            <v>#N/A</v>
          </cell>
          <cell r="F577">
            <v>0</v>
          </cell>
          <cell r="G577">
            <v>0</v>
          </cell>
          <cell r="H577">
            <v>379.8</v>
          </cell>
          <cell r="J577" t="e">
            <v>#N/A</v>
          </cell>
          <cell r="L577" t="e">
            <v>#N/A</v>
          </cell>
          <cell r="M577">
            <v>53</v>
          </cell>
          <cell r="N577" t="e">
            <v>#N/A</v>
          </cell>
          <cell r="O577" t="e">
            <v>#N/A</v>
          </cell>
          <cell r="P577" t="e">
            <v>#N/A</v>
          </cell>
          <cell r="Q577" t="e">
            <v>#N/A</v>
          </cell>
          <cell r="R577">
            <v>251.85</v>
          </cell>
          <cell r="S577" t="e">
            <v>#N/A</v>
          </cell>
          <cell r="V577">
            <v>0</v>
          </cell>
        </row>
        <row r="578">
          <cell r="A578">
            <v>46770</v>
          </cell>
          <cell r="B578" t="e">
            <v>#N/A</v>
          </cell>
          <cell r="D578" t="e">
            <v>#N/A</v>
          </cell>
          <cell r="F578">
            <v>0</v>
          </cell>
          <cell r="G578">
            <v>0</v>
          </cell>
          <cell r="H578">
            <v>379.8</v>
          </cell>
          <cell r="J578" t="e">
            <v>#N/A</v>
          </cell>
          <cell r="L578" t="e">
            <v>#N/A</v>
          </cell>
          <cell r="M578">
            <v>53</v>
          </cell>
          <cell r="N578" t="e">
            <v>#N/A</v>
          </cell>
          <cell r="O578" t="e">
            <v>#N/A</v>
          </cell>
          <cell r="P578" t="e">
            <v>#N/A</v>
          </cell>
          <cell r="Q578" t="e">
            <v>#N/A</v>
          </cell>
          <cell r="R578">
            <v>251.85</v>
          </cell>
          <cell r="S578" t="e">
            <v>#N/A</v>
          </cell>
          <cell r="V578">
            <v>0</v>
          </cell>
        </row>
        <row r="579">
          <cell r="A579">
            <v>46771</v>
          </cell>
          <cell r="B579" t="e">
            <v>#N/A</v>
          </cell>
          <cell r="D579" t="e">
            <v>#N/A</v>
          </cell>
          <cell r="F579">
            <v>0</v>
          </cell>
          <cell r="G579">
            <v>0</v>
          </cell>
          <cell r="H579">
            <v>379.8</v>
          </cell>
          <cell r="J579" t="e">
            <v>#N/A</v>
          </cell>
          <cell r="L579" t="e">
            <v>#N/A</v>
          </cell>
          <cell r="M579">
            <v>53</v>
          </cell>
          <cell r="N579" t="e">
            <v>#N/A</v>
          </cell>
          <cell r="O579" t="e">
            <v>#N/A</v>
          </cell>
          <cell r="P579" t="e">
            <v>#N/A</v>
          </cell>
          <cell r="Q579" t="e">
            <v>#N/A</v>
          </cell>
          <cell r="R579">
            <v>251.85</v>
          </cell>
          <cell r="S579" t="e">
            <v>#N/A</v>
          </cell>
          <cell r="V579">
            <v>0</v>
          </cell>
        </row>
        <row r="580">
          <cell r="A580">
            <v>46772</v>
          </cell>
          <cell r="B580" t="e">
            <v>#N/A</v>
          </cell>
          <cell r="D580" t="e">
            <v>#N/A</v>
          </cell>
          <cell r="F580">
            <v>0</v>
          </cell>
          <cell r="G580">
            <v>0</v>
          </cell>
          <cell r="H580">
            <v>379.8</v>
          </cell>
          <cell r="J580" t="e">
            <v>#N/A</v>
          </cell>
          <cell r="L580" t="e">
            <v>#N/A</v>
          </cell>
          <cell r="M580">
            <v>53</v>
          </cell>
          <cell r="N580" t="e">
            <v>#N/A</v>
          </cell>
          <cell r="O580" t="e">
            <v>#N/A</v>
          </cell>
          <cell r="P580" t="e">
            <v>#N/A</v>
          </cell>
          <cell r="Q580" t="e">
            <v>#N/A</v>
          </cell>
          <cell r="R580">
            <v>251.85</v>
          </cell>
          <cell r="S580" t="e">
            <v>#N/A</v>
          </cell>
          <cell r="V580">
            <v>0</v>
          </cell>
        </row>
        <row r="581">
          <cell r="A581">
            <v>46773</v>
          </cell>
          <cell r="B581" t="e">
            <v>#N/A</v>
          </cell>
          <cell r="D581" t="e">
            <v>#N/A</v>
          </cell>
          <cell r="F581">
            <v>0</v>
          </cell>
          <cell r="G581">
            <v>0</v>
          </cell>
          <cell r="H581">
            <v>379.8</v>
          </cell>
          <cell r="J581" t="e">
            <v>#N/A</v>
          </cell>
          <cell r="L581" t="e">
            <v>#N/A</v>
          </cell>
          <cell r="M581">
            <v>53</v>
          </cell>
          <cell r="N581" t="e">
            <v>#N/A</v>
          </cell>
          <cell r="O581" t="e">
            <v>#N/A</v>
          </cell>
          <cell r="P581" t="e">
            <v>#N/A</v>
          </cell>
          <cell r="Q581" t="e">
            <v>#N/A</v>
          </cell>
          <cell r="R581">
            <v>251.85</v>
          </cell>
          <cell r="S581" t="e">
            <v>#N/A</v>
          </cell>
          <cell r="V581">
            <v>0</v>
          </cell>
        </row>
        <row r="582">
          <cell r="A582">
            <v>46774</v>
          </cell>
          <cell r="B582" t="e">
            <v>#N/A</v>
          </cell>
          <cell r="D582" t="e">
            <v>#N/A</v>
          </cell>
          <cell r="F582">
            <v>0</v>
          </cell>
          <cell r="G582">
            <v>0</v>
          </cell>
          <cell r="H582">
            <v>379.8</v>
          </cell>
          <cell r="J582" t="e">
            <v>#N/A</v>
          </cell>
          <cell r="L582" t="e">
            <v>#N/A</v>
          </cell>
          <cell r="M582">
            <v>53</v>
          </cell>
          <cell r="N582" t="e">
            <v>#N/A</v>
          </cell>
          <cell r="O582" t="e">
            <v>#N/A</v>
          </cell>
          <cell r="P582" t="e">
            <v>#N/A</v>
          </cell>
          <cell r="Q582" t="e">
            <v>#N/A</v>
          </cell>
          <cell r="R582">
            <v>251.85</v>
          </cell>
          <cell r="S582" t="e">
            <v>#N/A</v>
          </cell>
          <cell r="V582">
            <v>0</v>
          </cell>
        </row>
        <row r="583">
          <cell r="A583">
            <v>46775</v>
          </cell>
          <cell r="B583" t="e">
            <v>#N/A</v>
          </cell>
          <cell r="D583" t="e">
            <v>#N/A</v>
          </cell>
          <cell r="F583">
            <v>0</v>
          </cell>
          <cell r="G583">
            <v>0</v>
          </cell>
          <cell r="H583">
            <v>379.8</v>
          </cell>
          <cell r="J583" t="e">
            <v>#N/A</v>
          </cell>
          <cell r="L583" t="e">
            <v>#N/A</v>
          </cell>
          <cell r="M583">
            <v>53</v>
          </cell>
          <cell r="N583" t="e">
            <v>#N/A</v>
          </cell>
          <cell r="O583" t="e">
            <v>#N/A</v>
          </cell>
          <cell r="P583" t="e">
            <v>#N/A</v>
          </cell>
          <cell r="Q583" t="e">
            <v>#N/A</v>
          </cell>
          <cell r="R583">
            <v>251.85</v>
          </cell>
          <cell r="S583" t="e">
            <v>#N/A</v>
          </cell>
          <cell r="V583">
            <v>0</v>
          </cell>
        </row>
        <row r="584">
          <cell r="A584">
            <v>46776</v>
          </cell>
          <cell r="B584" t="e">
            <v>#N/A</v>
          </cell>
          <cell r="D584" t="e">
            <v>#N/A</v>
          </cell>
          <cell r="F584">
            <v>0</v>
          </cell>
          <cell r="G584">
            <v>0</v>
          </cell>
          <cell r="H584">
            <v>379.8</v>
          </cell>
          <cell r="J584" t="e">
            <v>#N/A</v>
          </cell>
          <cell r="L584" t="e">
            <v>#N/A</v>
          </cell>
          <cell r="M584">
            <v>53</v>
          </cell>
          <cell r="N584" t="e">
            <v>#N/A</v>
          </cell>
          <cell r="O584" t="e">
            <v>#N/A</v>
          </cell>
          <cell r="P584" t="e">
            <v>#N/A</v>
          </cell>
          <cell r="Q584" t="e">
            <v>#N/A</v>
          </cell>
          <cell r="R584">
            <v>251.85</v>
          </cell>
          <cell r="S584" t="e">
            <v>#N/A</v>
          </cell>
          <cell r="V584">
            <v>0</v>
          </cell>
        </row>
        <row r="585">
          <cell r="A585">
            <v>46777</v>
          </cell>
          <cell r="B585" t="e">
            <v>#N/A</v>
          </cell>
          <cell r="D585" t="e">
            <v>#N/A</v>
          </cell>
          <cell r="F585">
            <v>0</v>
          </cell>
          <cell r="G585">
            <v>0</v>
          </cell>
          <cell r="H585">
            <v>379.8</v>
          </cell>
          <cell r="J585" t="e">
            <v>#N/A</v>
          </cell>
          <cell r="L585" t="e">
            <v>#N/A</v>
          </cell>
          <cell r="M585">
            <v>53</v>
          </cell>
          <cell r="N585" t="e">
            <v>#N/A</v>
          </cell>
          <cell r="O585" t="e">
            <v>#N/A</v>
          </cell>
          <cell r="P585" t="e">
            <v>#N/A</v>
          </cell>
          <cell r="Q585" t="e">
            <v>#N/A</v>
          </cell>
          <cell r="R585">
            <v>251.85</v>
          </cell>
          <cell r="S585" t="e">
            <v>#N/A</v>
          </cell>
          <cell r="V585">
            <v>0</v>
          </cell>
        </row>
        <row r="586">
          <cell r="A586">
            <v>46778</v>
          </cell>
          <cell r="B586" t="e">
            <v>#N/A</v>
          </cell>
          <cell r="D586" t="e">
            <v>#N/A</v>
          </cell>
          <cell r="F586">
            <v>0</v>
          </cell>
          <cell r="G586">
            <v>0</v>
          </cell>
          <cell r="H586">
            <v>379.8</v>
          </cell>
          <cell r="J586" t="e">
            <v>#N/A</v>
          </cell>
          <cell r="L586" t="e">
            <v>#N/A</v>
          </cell>
          <cell r="M586">
            <v>53</v>
          </cell>
          <cell r="N586" t="e">
            <v>#N/A</v>
          </cell>
          <cell r="O586" t="e">
            <v>#N/A</v>
          </cell>
          <cell r="P586" t="e">
            <v>#N/A</v>
          </cell>
          <cell r="Q586" t="e">
            <v>#N/A</v>
          </cell>
          <cell r="R586">
            <v>251.85</v>
          </cell>
          <cell r="S586" t="e">
            <v>#N/A</v>
          </cell>
          <cell r="V586">
            <v>0</v>
          </cell>
        </row>
        <row r="587">
          <cell r="A587">
            <v>46779</v>
          </cell>
          <cell r="B587" t="e">
            <v>#N/A</v>
          </cell>
          <cell r="D587" t="e">
            <v>#N/A</v>
          </cell>
          <cell r="F587">
            <v>0</v>
          </cell>
          <cell r="G587">
            <v>0</v>
          </cell>
          <cell r="H587">
            <v>379.8</v>
          </cell>
          <cell r="J587" t="e">
            <v>#N/A</v>
          </cell>
          <cell r="L587" t="e">
            <v>#N/A</v>
          </cell>
          <cell r="M587">
            <v>53</v>
          </cell>
          <cell r="N587" t="e">
            <v>#N/A</v>
          </cell>
          <cell r="O587" t="e">
            <v>#N/A</v>
          </cell>
          <cell r="P587" t="e">
            <v>#N/A</v>
          </cell>
          <cell r="Q587" t="e">
            <v>#N/A</v>
          </cell>
          <cell r="R587">
            <v>251.85</v>
          </cell>
          <cell r="S587" t="e">
            <v>#N/A</v>
          </cell>
          <cell r="V587">
            <v>0</v>
          </cell>
        </row>
        <row r="588">
          <cell r="A588">
            <v>46780</v>
          </cell>
          <cell r="B588" t="e">
            <v>#N/A</v>
          </cell>
          <cell r="D588" t="e">
            <v>#N/A</v>
          </cell>
          <cell r="F588">
            <v>0</v>
          </cell>
          <cell r="G588">
            <v>0</v>
          </cell>
          <cell r="H588">
            <v>379.8</v>
          </cell>
          <cell r="J588" t="e">
            <v>#N/A</v>
          </cell>
          <cell r="L588" t="e">
            <v>#N/A</v>
          </cell>
          <cell r="M588">
            <v>53</v>
          </cell>
          <cell r="N588" t="e">
            <v>#N/A</v>
          </cell>
          <cell r="O588" t="e">
            <v>#N/A</v>
          </cell>
          <cell r="P588" t="e">
            <v>#N/A</v>
          </cell>
          <cell r="Q588" t="e">
            <v>#N/A</v>
          </cell>
          <cell r="R588">
            <v>251.85</v>
          </cell>
          <cell r="S588" t="e">
            <v>#N/A</v>
          </cell>
          <cell r="V588">
            <v>0</v>
          </cell>
        </row>
        <row r="589">
          <cell r="A589">
            <v>46781</v>
          </cell>
          <cell r="B589" t="e">
            <v>#N/A</v>
          </cell>
          <cell r="D589" t="e">
            <v>#N/A</v>
          </cell>
          <cell r="F589">
            <v>0</v>
          </cell>
          <cell r="G589">
            <v>0</v>
          </cell>
          <cell r="H589">
            <v>379.8</v>
          </cell>
          <cell r="J589" t="e">
            <v>#N/A</v>
          </cell>
          <cell r="L589" t="e">
            <v>#N/A</v>
          </cell>
          <cell r="M589">
            <v>53</v>
          </cell>
          <cell r="N589" t="e">
            <v>#N/A</v>
          </cell>
          <cell r="O589" t="e">
            <v>#N/A</v>
          </cell>
          <cell r="P589" t="e">
            <v>#N/A</v>
          </cell>
          <cell r="Q589" t="e">
            <v>#N/A</v>
          </cell>
          <cell r="R589">
            <v>251.85</v>
          </cell>
          <cell r="S589" t="e">
            <v>#N/A</v>
          </cell>
          <cell r="V589">
            <v>0</v>
          </cell>
        </row>
        <row r="590">
          <cell r="A590">
            <v>46782</v>
          </cell>
          <cell r="B590" t="e">
            <v>#N/A</v>
          </cell>
          <cell r="D590" t="e">
            <v>#N/A</v>
          </cell>
          <cell r="F590">
            <v>0</v>
          </cell>
          <cell r="G590">
            <v>0</v>
          </cell>
          <cell r="H590">
            <v>379.8</v>
          </cell>
          <cell r="J590" t="e">
            <v>#N/A</v>
          </cell>
          <cell r="L590" t="e">
            <v>#N/A</v>
          </cell>
          <cell r="M590">
            <v>53</v>
          </cell>
          <cell r="N590" t="e">
            <v>#N/A</v>
          </cell>
          <cell r="O590" t="e">
            <v>#N/A</v>
          </cell>
          <cell r="P590" t="e">
            <v>#N/A</v>
          </cell>
          <cell r="Q590" t="e">
            <v>#N/A</v>
          </cell>
          <cell r="R590">
            <v>251.85</v>
          </cell>
          <cell r="S590" t="e">
            <v>#N/A</v>
          </cell>
          <cell r="V590">
            <v>0</v>
          </cell>
        </row>
        <row r="591">
          <cell r="A591">
            <v>46783</v>
          </cell>
          <cell r="B591" t="e">
            <v>#N/A</v>
          </cell>
          <cell r="D591" t="e">
            <v>#N/A</v>
          </cell>
          <cell r="F591">
            <v>0</v>
          </cell>
          <cell r="G591">
            <v>0</v>
          </cell>
          <cell r="H591">
            <v>379.8</v>
          </cell>
          <cell r="J591" t="e">
            <v>#N/A</v>
          </cell>
          <cell r="L591" t="e">
            <v>#N/A</v>
          </cell>
          <cell r="M591">
            <v>53</v>
          </cell>
          <cell r="N591" t="e">
            <v>#N/A</v>
          </cell>
          <cell r="O591" t="e">
            <v>#N/A</v>
          </cell>
          <cell r="P591" t="e">
            <v>#N/A</v>
          </cell>
          <cell r="Q591" t="e">
            <v>#N/A</v>
          </cell>
          <cell r="R591">
            <v>251.85</v>
          </cell>
          <cell r="S591" t="e">
            <v>#N/A</v>
          </cell>
          <cell r="V591">
            <v>0</v>
          </cell>
        </row>
        <row r="592">
          <cell r="A592">
            <v>46784</v>
          </cell>
          <cell r="B592" t="e">
            <v>#N/A</v>
          </cell>
          <cell r="D592" t="e">
            <v>#N/A</v>
          </cell>
          <cell r="F592">
            <v>0</v>
          </cell>
          <cell r="G592">
            <v>0</v>
          </cell>
          <cell r="H592">
            <v>379.8</v>
          </cell>
          <cell r="J592" t="e">
            <v>#N/A</v>
          </cell>
          <cell r="L592" t="e">
            <v>#N/A</v>
          </cell>
          <cell r="M592">
            <v>53</v>
          </cell>
          <cell r="N592" t="e">
            <v>#N/A</v>
          </cell>
          <cell r="O592" t="e">
            <v>#N/A</v>
          </cell>
          <cell r="P592" t="e">
            <v>#N/A</v>
          </cell>
          <cell r="Q592" t="e">
            <v>#N/A</v>
          </cell>
          <cell r="R592">
            <v>251.85</v>
          </cell>
          <cell r="S592" t="e">
            <v>#N/A</v>
          </cell>
          <cell r="V592">
            <v>0</v>
          </cell>
        </row>
        <row r="593">
          <cell r="A593">
            <v>46785</v>
          </cell>
          <cell r="B593" t="e">
            <v>#N/A</v>
          </cell>
          <cell r="D593" t="e">
            <v>#N/A</v>
          </cell>
          <cell r="F593">
            <v>0</v>
          </cell>
          <cell r="G593">
            <v>0</v>
          </cell>
          <cell r="H593">
            <v>379.8</v>
          </cell>
          <cell r="J593" t="e">
            <v>#N/A</v>
          </cell>
          <cell r="L593" t="e">
            <v>#N/A</v>
          </cell>
          <cell r="M593">
            <v>53</v>
          </cell>
          <cell r="N593" t="e">
            <v>#N/A</v>
          </cell>
          <cell r="O593" t="e">
            <v>#N/A</v>
          </cell>
          <cell r="P593" t="e">
            <v>#N/A</v>
          </cell>
          <cell r="Q593" t="e">
            <v>#N/A</v>
          </cell>
          <cell r="R593">
            <v>251.85</v>
          </cell>
          <cell r="S593" t="e">
            <v>#N/A</v>
          </cell>
          <cell r="V593">
            <v>0</v>
          </cell>
        </row>
        <row r="594">
          <cell r="A594">
            <v>46786</v>
          </cell>
          <cell r="B594" t="e">
            <v>#N/A</v>
          </cell>
          <cell r="D594" t="e">
            <v>#N/A</v>
          </cell>
          <cell r="F594">
            <v>0</v>
          </cell>
          <cell r="G594">
            <v>0</v>
          </cell>
          <cell r="H594">
            <v>379.8</v>
          </cell>
          <cell r="J594" t="e">
            <v>#N/A</v>
          </cell>
          <cell r="L594" t="e">
            <v>#N/A</v>
          </cell>
          <cell r="M594">
            <v>53</v>
          </cell>
          <cell r="N594" t="e">
            <v>#N/A</v>
          </cell>
          <cell r="O594" t="e">
            <v>#N/A</v>
          </cell>
          <cell r="P594" t="e">
            <v>#N/A</v>
          </cell>
          <cell r="Q594" t="e">
            <v>#N/A</v>
          </cell>
          <cell r="R594">
            <v>251.85</v>
          </cell>
          <cell r="S594" t="e">
            <v>#N/A</v>
          </cell>
          <cell r="V594">
            <v>0</v>
          </cell>
        </row>
        <row r="595">
          <cell r="A595">
            <v>46787</v>
          </cell>
          <cell r="B595" t="e">
            <v>#N/A</v>
          </cell>
          <cell r="D595" t="e">
            <v>#N/A</v>
          </cell>
          <cell r="F595">
            <v>0</v>
          </cell>
          <cell r="G595">
            <v>0</v>
          </cell>
          <cell r="H595">
            <v>379.8</v>
          </cell>
          <cell r="J595" t="e">
            <v>#N/A</v>
          </cell>
          <cell r="L595" t="e">
            <v>#N/A</v>
          </cell>
          <cell r="M595">
            <v>53</v>
          </cell>
          <cell r="N595" t="e">
            <v>#N/A</v>
          </cell>
          <cell r="O595" t="e">
            <v>#N/A</v>
          </cell>
          <cell r="P595" t="e">
            <v>#N/A</v>
          </cell>
          <cell r="Q595" t="e">
            <v>#N/A</v>
          </cell>
          <cell r="R595">
            <v>251.85</v>
          </cell>
          <cell r="S595" t="e">
            <v>#N/A</v>
          </cell>
          <cell r="V595">
            <v>0</v>
          </cell>
        </row>
        <row r="596">
          <cell r="A596">
            <v>46788</v>
          </cell>
          <cell r="B596" t="e">
            <v>#N/A</v>
          </cell>
          <cell r="D596" t="e">
            <v>#N/A</v>
          </cell>
          <cell r="F596">
            <v>0</v>
          </cell>
          <cell r="G596">
            <v>0</v>
          </cell>
          <cell r="H596">
            <v>379.8</v>
          </cell>
          <cell r="J596" t="e">
            <v>#N/A</v>
          </cell>
          <cell r="L596" t="e">
            <v>#N/A</v>
          </cell>
          <cell r="M596">
            <v>53</v>
          </cell>
          <cell r="N596" t="e">
            <v>#N/A</v>
          </cell>
          <cell r="O596" t="e">
            <v>#N/A</v>
          </cell>
          <cell r="P596" t="e">
            <v>#N/A</v>
          </cell>
          <cell r="Q596" t="e">
            <v>#N/A</v>
          </cell>
          <cell r="R596">
            <v>251.85</v>
          </cell>
          <cell r="S596" t="e">
            <v>#N/A</v>
          </cell>
          <cell r="V596">
            <v>0</v>
          </cell>
        </row>
        <row r="597">
          <cell r="A597">
            <v>46789</v>
          </cell>
          <cell r="B597" t="e">
            <v>#N/A</v>
          </cell>
          <cell r="D597" t="e">
            <v>#N/A</v>
          </cell>
          <cell r="F597">
            <v>0</v>
          </cell>
          <cell r="G597">
            <v>0</v>
          </cell>
          <cell r="H597">
            <v>379.8</v>
          </cell>
          <cell r="J597" t="e">
            <v>#N/A</v>
          </cell>
          <cell r="L597" t="e">
            <v>#N/A</v>
          </cell>
          <cell r="M597">
            <v>53</v>
          </cell>
          <cell r="N597" t="e">
            <v>#N/A</v>
          </cell>
          <cell r="O597" t="e">
            <v>#N/A</v>
          </cell>
          <cell r="P597" t="e">
            <v>#N/A</v>
          </cell>
          <cell r="Q597" t="e">
            <v>#N/A</v>
          </cell>
          <cell r="R597">
            <v>251.85</v>
          </cell>
          <cell r="S597" t="e">
            <v>#N/A</v>
          </cell>
          <cell r="V597">
            <v>0</v>
          </cell>
        </row>
        <row r="598">
          <cell r="A598">
            <v>46790</v>
          </cell>
          <cell r="B598" t="e">
            <v>#N/A</v>
          </cell>
          <cell r="D598" t="e">
            <v>#N/A</v>
          </cell>
          <cell r="F598">
            <v>0</v>
          </cell>
          <cell r="G598">
            <v>0</v>
          </cell>
          <cell r="H598">
            <v>379.8</v>
          </cell>
          <cell r="J598" t="e">
            <v>#N/A</v>
          </cell>
          <cell r="L598" t="e">
            <v>#N/A</v>
          </cell>
          <cell r="M598">
            <v>53</v>
          </cell>
          <cell r="N598" t="e">
            <v>#N/A</v>
          </cell>
          <cell r="O598" t="e">
            <v>#N/A</v>
          </cell>
          <cell r="P598" t="e">
            <v>#N/A</v>
          </cell>
          <cell r="Q598" t="e">
            <v>#N/A</v>
          </cell>
          <cell r="R598">
            <v>251.85</v>
          </cell>
          <cell r="S598" t="e">
            <v>#N/A</v>
          </cell>
          <cell r="V598">
            <v>0</v>
          </cell>
        </row>
        <row r="599">
          <cell r="A599">
            <v>46791</v>
          </cell>
          <cell r="B599" t="e">
            <v>#N/A</v>
          </cell>
          <cell r="D599" t="e">
            <v>#N/A</v>
          </cell>
          <cell r="F599">
            <v>0</v>
          </cell>
          <cell r="G599">
            <v>0</v>
          </cell>
          <cell r="H599">
            <v>379.8</v>
          </cell>
          <cell r="J599" t="e">
            <v>#N/A</v>
          </cell>
          <cell r="L599" t="e">
            <v>#N/A</v>
          </cell>
          <cell r="M599">
            <v>53</v>
          </cell>
          <cell r="N599" t="e">
            <v>#N/A</v>
          </cell>
          <cell r="O599" t="e">
            <v>#N/A</v>
          </cell>
          <cell r="P599" t="e">
            <v>#N/A</v>
          </cell>
          <cell r="Q599" t="e">
            <v>#N/A</v>
          </cell>
          <cell r="R599">
            <v>251.85</v>
          </cell>
          <cell r="S599" t="e">
            <v>#N/A</v>
          </cell>
          <cell r="V599">
            <v>0</v>
          </cell>
        </row>
        <row r="600">
          <cell r="A600">
            <v>46792</v>
          </cell>
          <cell r="B600" t="e">
            <v>#N/A</v>
          </cell>
          <cell r="D600" t="e">
            <v>#N/A</v>
          </cell>
          <cell r="F600">
            <v>0</v>
          </cell>
          <cell r="G600">
            <v>0</v>
          </cell>
          <cell r="H600">
            <v>379.8</v>
          </cell>
          <cell r="J600" t="e">
            <v>#N/A</v>
          </cell>
          <cell r="L600" t="e">
            <v>#N/A</v>
          </cell>
          <cell r="M600">
            <v>53</v>
          </cell>
          <cell r="N600" t="e">
            <v>#N/A</v>
          </cell>
          <cell r="O600" t="e">
            <v>#N/A</v>
          </cell>
          <cell r="P600" t="e">
            <v>#N/A</v>
          </cell>
          <cell r="Q600" t="e">
            <v>#N/A</v>
          </cell>
          <cell r="R600">
            <v>251.85</v>
          </cell>
          <cell r="S600" t="e">
            <v>#N/A</v>
          </cell>
          <cell r="V600">
            <v>0</v>
          </cell>
        </row>
        <row r="601">
          <cell r="A601">
            <v>46793</v>
          </cell>
          <cell r="B601" t="e">
            <v>#N/A</v>
          </cell>
          <cell r="D601" t="e">
            <v>#N/A</v>
          </cell>
          <cell r="F601">
            <v>0</v>
          </cell>
          <cell r="G601">
            <v>0</v>
          </cell>
          <cell r="H601">
            <v>379.8</v>
          </cell>
          <cell r="J601" t="e">
            <v>#N/A</v>
          </cell>
          <cell r="L601" t="e">
            <v>#N/A</v>
          </cell>
          <cell r="M601">
            <v>53</v>
          </cell>
          <cell r="N601" t="e">
            <v>#N/A</v>
          </cell>
          <cell r="O601" t="e">
            <v>#N/A</v>
          </cell>
          <cell r="P601" t="e">
            <v>#N/A</v>
          </cell>
          <cell r="Q601" t="e">
            <v>#N/A</v>
          </cell>
          <cell r="R601">
            <v>251.85</v>
          </cell>
          <cell r="S601" t="e">
            <v>#N/A</v>
          </cell>
          <cell r="V601">
            <v>0</v>
          </cell>
        </row>
        <row r="602">
          <cell r="A602">
            <v>46794</v>
          </cell>
          <cell r="B602" t="e">
            <v>#N/A</v>
          </cell>
          <cell r="D602" t="e">
            <v>#N/A</v>
          </cell>
          <cell r="F602">
            <v>0</v>
          </cell>
          <cell r="G602">
            <v>0</v>
          </cell>
          <cell r="H602">
            <v>379.8</v>
          </cell>
          <cell r="J602" t="e">
            <v>#N/A</v>
          </cell>
          <cell r="L602" t="e">
            <v>#N/A</v>
          </cell>
          <cell r="M602">
            <v>53</v>
          </cell>
          <cell r="N602" t="e">
            <v>#N/A</v>
          </cell>
          <cell r="O602" t="e">
            <v>#N/A</v>
          </cell>
          <cell r="P602" t="e">
            <v>#N/A</v>
          </cell>
          <cell r="Q602" t="e">
            <v>#N/A</v>
          </cell>
          <cell r="R602">
            <v>251.85</v>
          </cell>
          <cell r="S602" t="e">
            <v>#N/A</v>
          </cell>
          <cell r="V602">
            <v>0</v>
          </cell>
        </row>
        <row r="603">
          <cell r="A603">
            <v>46795</v>
          </cell>
          <cell r="B603" t="e">
            <v>#N/A</v>
          </cell>
          <cell r="D603" t="e">
            <v>#N/A</v>
          </cell>
          <cell r="F603">
            <v>0</v>
          </cell>
          <cell r="G603">
            <v>0</v>
          </cell>
          <cell r="H603">
            <v>379.8</v>
          </cell>
          <cell r="J603" t="e">
            <v>#N/A</v>
          </cell>
          <cell r="L603" t="e">
            <v>#N/A</v>
          </cell>
          <cell r="M603">
            <v>53</v>
          </cell>
          <cell r="N603" t="e">
            <v>#N/A</v>
          </cell>
          <cell r="O603" t="e">
            <v>#N/A</v>
          </cell>
          <cell r="P603" t="e">
            <v>#N/A</v>
          </cell>
          <cell r="Q603" t="e">
            <v>#N/A</v>
          </cell>
          <cell r="R603">
            <v>251.85</v>
          </cell>
          <cell r="S603" t="e">
            <v>#N/A</v>
          </cell>
          <cell r="V603">
            <v>0</v>
          </cell>
        </row>
        <row r="604">
          <cell r="A604">
            <v>46796</v>
          </cell>
          <cell r="B604" t="e">
            <v>#N/A</v>
          </cell>
          <cell r="D604" t="e">
            <v>#N/A</v>
          </cell>
          <cell r="F604">
            <v>0</v>
          </cell>
          <cell r="G604">
            <v>0</v>
          </cell>
          <cell r="H604">
            <v>379.8</v>
          </cell>
          <cell r="J604" t="e">
            <v>#N/A</v>
          </cell>
          <cell r="L604" t="e">
            <v>#N/A</v>
          </cell>
          <cell r="M604">
            <v>53</v>
          </cell>
          <cell r="N604" t="e">
            <v>#N/A</v>
          </cell>
          <cell r="O604" t="e">
            <v>#N/A</v>
          </cell>
          <cell r="P604" t="e">
            <v>#N/A</v>
          </cell>
          <cell r="Q604" t="e">
            <v>#N/A</v>
          </cell>
          <cell r="R604">
            <v>251.85</v>
          </cell>
          <cell r="S604" t="e">
            <v>#N/A</v>
          </cell>
          <cell r="V604">
            <v>0</v>
          </cell>
        </row>
        <row r="605">
          <cell r="A605">
            <v>46797</v>
          </cell>
          <cell r="B605" t="e">
            <v>#N/A</v>
          </cell>
          <cell r="D605" t="e">
            <v>#N/A</v>
          </cell>
          <cell r="F605">
            <v>0</v>
          </cell>
          <cell r="G605">
            <v>0</v>
          </cell>
          <cell r="H605">
            <v>379.8</v>
          </cell>
          <cell r="J605" t="e">
            <v>#N/A</v>
          </cell>
          <cell r="L605" t="e">
            <v>#N/A</v>
          </cell>
          <cell r="M605">
            <v>53</v>
          </cell>
          <cell r="N605" t="e">
            <v>#N/A</v>
          </cell>
          <cell r="O605" t="e">
            <v>#N/A</v>
          </cell>
          <cell r="P605" t="e">
            <v>#N/A</v>
          </cell>
          <cell r="Q605" t="e">
            <v>#N/A</v>
          </cell>
          <cell r="R605">
            <v>251.85</v>
          </cell>
          <cell r="S605" t="e">
            <v>#N/A</v>
          </cell>
          <cell r="V605">
            <v>0</v>
          </cell>
        </row>
        <row r="606">
          <cell r="A606">
            <v>46798</v>
          </cell>
          <cell r="B606" t="e">
            <v>#N/A</v>
          </cell>
          <cell r="D606" t="e">
            <v>#N/A</v>
          </cell>
          <cell r="F606">
            <v>0</v>
          </cell>
          <cell r="G606">
            <v>0</v>
          </cell>
          <cell r="H606">
            <v>379.8</v>
          </cell>
          <cell r="J606" t="e">
            <v>#N/A</v>
          </cell>
          <cell r="L606" t="e">
            <v>#N/A</v>
          </cell>
          <cell r="M606">
            <v>53</v>
          </cell>
          <cell r="N606" t="e">
            <v>#N/A</v>
          </cell>
          <cell r="O606" t="e">
            <v>#N/A</v>
          </cell>
          <cell r="P606" t="e">
            <v>#N/A</v>
          </cell>
          <cell r="Q606" t="e">
            <v>#N/A</v>
          </cell>
          <cell r="R606">
            <v>251.85</v>
          </cell>
          <cell r="S606" t="e">
            <v>#N/A</v>
          </cell>
          <cell r="V606">
            <v>0</v>
          </cell>
        </row>
        <row r="607">
          <cell r="A607">
            <v>46799</v>
          </cell>
          <cell r="B607" t="e">
            <v>#N/A</v>
          </cell>
          <cell r="D607" t="e">
            <v>#N/A</v>
          </cell>
          <cell r="F607">
            <v>0</v>
          </cell>
          <cell r="G607">
            <v>0</v>
          </cell>
          <cell r="H607">
            <v>379.8</v>
          </cell>
          <cell r="J607" t="e">
            <v>#N/A</v>
          </cell>
          <cell r="L607" t="e">
            <v>#N/A</v>
          </cell>
          <cell r="M607">
            <v>53</v>
          </cell>
          <cell r="N607" t="e">
            <v>#N/A</v>
          </cell>
          <cell r="O607" t="e">
            <v>#N/A</v>
          </cell>
          <cell r="P607" t="e">
            <v>#N/A</v>
          </cell>
          <cell r="Q607" t="e">
            <v>#N/A</v>
          </cell>
          <cell r="R607">
            <v>251.85</v>
          </cell>
          <cell r="S607" t="e">
            <v>#N/A</v>
          </cell>
          <cell r="V607">
            <v>0</v>
          </cell>
        </row>
        <row r="608">
          <cell r="A608">
            <v>46800</v>
          </cell>
          <cell r="B608" t="e">
            <v>#N/A</v>
          </cell>
          <cell r="D608" t="e">
            <v>#N/A</v>
          </cell>
          <cell r="F608">
            <v>0</v>
          </cell>
          <cell r="G608">
            <v>0</v>
          </cell>
          <cell r="H608">
            <v>379.8</v>
          </cell>
          <cell r="J608" t="e">
            <v>#N/A</v>
          </cell>
          <cell r="L608" t="e">
            <v>#N/A</v>
          </cell>
          <cell r="M608">
            <v>53</v>
          </cell>
          <cell r="N608" t="e">
            <v>#N/A</v>
          </cell>
          <cell r="O608" t="e">
            <v>#N/A</v>
          </cell>
          <cell r="P608" t="e">
            <v>#N/A</v>
          </cell>
          <cell r="Q608" t="e">
            <v>#N/A</v>
          </cell>
          <cell r="R608">
            <v>251.85</v>
          </cell>
          <cell r="S608" t="e">
            <v>#N/A</v>
          </cell>
          <cell r="V608">
            <v>0</v>
          </cell>
        </row>
        <row r="609">
          <cell r="A609">
            <v>46801</v>
          </cell>
          <cell r="B609" t="e">
            <v>#N/A</v>
          </cell>
          <cell r="D609" t="e">
            <v>#N/A</v>
          </cell>
          <cell r="F609">
            <v>0</v>
          </cell>
          <cell r="G609">
            <v>0</v>
          </cell>
          <cell r="H609">
            <v>379.8</v>
          </cell>
          <cell r="J609" t="e">
            <v>#N/A</v>
          </cell>
          <cell r="L609" t="e">
            <v>#N/A</v>
          </cell>
          <cell r="M609">
            <v>53</v>
          </cell>
          <cell r="N609" t="e">
            <v>#N/A</v>
          </cell>
          <cell r="O609" t="e">
            <v>#N/A</v>
          </cell>
          <cell r="P609" t="e">
            <v>#N/A</v>
          </cell>
          <cell r="Q609" t="e">
            <v>#N/A</v>
          </cell>
          <cell r="R609">
            <v>251.85</v>
          </cell>
          <cell r="S609" t="e">
            <v>#N/A</v>
          </cell>
          <cell r="V609">
            <v>0</v>
          </cell>
        </row>
        <row r="610">
          <cell r="A610">
            <v>46802</v>
          </cell>
          <cell r="B610" t="e">
            <v>#N/A</v>
          </cell>
          <cell r="D610" t="e">
            <v>#N/A</v>
          </cell>
          <cell r="F610">
            <v>0</v>
          </cell>
          <cell r="G610">
            <v>0</v>
          </cell>
          <cell r="H610">
            <v>379.8</v>
          </cell>
          <cell r="J610" t="e">
            <v>#N/A</v>
          </cell>
          <cell r="L610" t="e">
            <v>#N/A</v>
          </cell>
          <cell r="M610">
            <v>53</v>
          </cell>
          <cell r="N610" t="e">
            <v>#N/A</v>
          </cell>
          <cell r="O610" t="e">
            <v>#N/A</v>
          </cell>
          <cell r="P610" t="e">
            <v>#N/A</v>
          </cell>
          <cell r="Q610" t="e">
            <v>#N/A</v>
          </cell>
          <cell r="R610">
            <v>251.85</v>
          </cell>
          <cell r="S610" t="e">
            <v>#N/A</v>
          </cell>
          <cell r="V610">
            <v>0</v>
          </cell>
        </row>
        <row r="611">
          <cell r="A611">
            <v>46803</v>
          </cell>
          <cell r="B611" t="e">
            <v>#N/A</v>
          </cell>
          <cell r="D611" t="e">
            <v>#N/A</v>
          </cell>
          <cell r="F611">
            <v>0</v>
          </cell>
          <cell r="G611">
            <v>0</v>
          </cell>
          <cell r="H611">
            <v>379.8</v>
          </cell>
          <cell r="J611" t="e">
            <v>#N/A</v>
          </cell>
          <cell r="L611" t="e">
            <v>#N/A</v>
          </cell>
          <cell r="M611">
            <v>53</v>
          </cell>
          <cell r="N611" t="e">
            <v>#N/A</v>
          </cell>
          <cell r="O611" t="e">
            <v>#N/A</v>
          </cell>
          <cell r="P611" t="e">
            <v>#N/A</v>
          </cell>
          <cell r="Q611" t="e">
            <v>#N/A</v>
          </cell>
          <cell r="R611">
            <v>251.85</v>
          </cell>
          <cell r="S611" t="e">
            <v>#N/A</v>
          </cell>
          <cell r="V611">
            <v>0</v>
          </cell>
        </row>
      </sheetData>
      <sheetData sheetId="4">
        <row r="13">
          <cell r="A13">
            <v>46204</v>
          </cell>
          <cell r="B13">
            <v>84.932000000000002</v>
          </cell>
          <cell r="C13">
            <v>84.932000000000002</v>
          </cell>
          <cell r="D13">
            <v>182125.86751976001</v>
          </cell>
          <cell r="E13">
            <v>1980.029</v>
          </cell>
          <cell r="F13">
            <v>0</v>
          </cell>
          <cell r="G13">
            <v>0</v>
          </cell>
          <cell r="H13">
            <v>2008</v>
          </cell>
          <cell r="I13">
            <v>3988.029</v>
          </cell>
          <cell r="J13">
            <v>26</v>
          </cell>
          <cell r="K13" t="str">
            <v>XFILL_PMG50%</v>
          </cell>
          <cell r="L13">
            <v>10</v>
          </cell>
          <cell r="M13" t="str">
            <v>TA</v>
          </cell>
          <cell r="N13">
            <v>3343.1528849100982</v>
          </cell>
          <cell r="O13">
            <v>721.72979754571782</v>
          </cell>
          <cell r="P13">
            <v>159</v>
          </cell>
          <cell r="Q13">
            <v>0</v>
          </cell>
          <cell r="S13">
            <v>0</v>
          </cell>
          <cell r="T13">
            <v>251.15740740740699</v>
          </cell>
          <cell r="V13">
            <v>0</v>
          </cell>
          <cell r="W13">
            <v>0</v>
          </cell>
          <cell r="X13">
            <v>4475.0400898632233</v>
          </cell>
          <cell r="Y13">
            <v>-42.077758164182498</v>
          </cell>
          <cell r="Z13">
            <v>182083.78976159584</v>
          </cell>
          <cell r="AA13">
            <v>84.92275388887056</v>
          </cell>
          <cell r="AD13">
            <v>56.05971121177803</v>
          </cell>
        </row>
        <row r="14">
          <cell r="A14">
            <v>46205</v>
          </cell>
          <cell r="B14">
            <v>84.912000000000006</v>
          </cell>
          <cell r="C14">
            <v>84.912000000000006</v>
          </cell>
          <cell r="D14">
            <v>182034.85641856003</v>
          </cell>
          <cell r="E14">
            <v>1752.4649999999999</v>
          </cell>
          <cell r="F14">
            <v>0</v>
          </cell>
          <cell r="G14">
            <v>0</v>
          </cell>
          <cell r="H14">
            <v>2008</v>
          </cell>
          <cell r="I14">
            <v>3760.4650000000001</v>
          </cell>
          <cell r="J14">
            <v>26</v>
          </cell>
          <cell r="K14" t="str">
            <v>XFILL_PMG50%</v>
          </cell>
          <cell r="L14">
            <v>10</v>
          </cell>
          <cell r="M14" t="str">
            <v>TA+CCL50%</v>
          </cell>
          <cell r="N14">
            <v>3099.2597083683213</v>
          </cell>
          <cell r="O14">
            <v>716.75282950275539</v>
          </cell>
          <cell r="P14">
            <v>159</v>
          </cell>
          <cell r="Q14">
            <v>0</v>
          </cell>
          <cell r="S14">
            <v>0</v>
          </cell>
          <cell r="T14">
            <v>251.15740740740699</v>
          </cell>
          <cell r="V14">
            <v>0</v>
          </cell>
          <cell r="W14">
            <v>0</v>
          </cell>
          <cell r="X14">
            <v>4226.1699452784833</v>
          </cell>
          <cell r="Y14">
            <v>-40.236907272060947</v>
          </cell>
          <cell r="Z14">
            <v>181994.61951128798</v>
          </cell>
          <cell r="AA14">
            <v>84.90315621230333</v>
          </cell>
          <cell r="AD14">
            <v>49.616789354473383</v>
          </cell>
        </row>
        <row r="15">
          <cell r="A15">
            <v>46206</v>
          </cell>
          <cell r="B15">
            <v>84.882999999999996</v>
          </cell>
          <cell r="C15">
            <v>84.882999999999996</v>
          </cell>
          <cell r="D15">
            <v>181902.93062848496</v>
          </cell>
          <cell r="E15">
            <v>1489.5889999999999</v>
          </cell>
          <cell r="F15">
            <v>0</v>
          </cell>
          <cell r="G15">
            <v>0</v>
          </cell>
          <cell r="H15">
            <v>2008</v>
          </cell>
          <cell r="I15">
            <v>3497.5889999999999</v>
          </cell>
          <cell r="J15">
            <v>26</v>
          </cell>
          <cell r="K15" t="str">
            <v>XFILL_PMG50%</v>
          </cell>
          <cell r="L15">
            <v>10</v>
          </cell>
          <cell r="M15" t="str">
            <v>TA+CCL50%</v>
          </cell>
          <cell r="N15">
            <v>3096.5967310334709</v>
          </cell>
          <cell r="O15">
            <v>695.98280199791509</v>
          </cell>
          <cell r="P15">
            <v>159</v>
          </cell>
          <cell r="Q15">
            <v>0</v>
          </cell>
          <cell r="S15">
            <v>0</v>
          </cell>
          <cell r="T15">
            <v>251.15740740740699</v>
          </cell>
          <cell r="V15">
            <v>0</v>
          </cell>
          <cell r="W15">
            <v>0</v>
          </cell>
          <cell r="X15">
            <v>4202.7369404387928</v>
          </cell>
          <cell r="Y15">
            <v>-60.924782053911699</v>
          </cell>
          <cell r="Z15">
            <v>181842.00584643104</v>
          </cell>
          <cell r="AA15">
            <v>84.869603939550871</v>
          </cell>
          <cell r="AD15">
            <v>42.174093997734992</v>
          </cell>
        </row>
        <row r="16">
          <cell r="A16">
            <v>46207</v>
          </cell>
          <cell r="B16">
            <v>84.903000000000006</v>
          </cell>
          <cell r="C16">
            <v>84.903000000000006</v>
          </cell>
          <cell r="D16">
            <v>181993.90882628501</v>
          </cell>
          <cell r="E16">
            <v>3304.3629999999998</v>
          </cell>
          <cell r="F16">
            <v>0</v>
          </cell>
          <cell r="G16">
            <v>0</v>
          </cell>
          <cell r="H16">
            <v>2008</v>
          </cell>
          <cell r="I16">
            <v>5312.3629999999994</v>
          </cell>
          <cell r="J16">
            <v>26</v>
          </cell>
          <cell r="K16" t="str">
            <v>XFILL_PMG50%</v>
          </cell>
          <cell r="L16">
            <v>10</v>
          </cell>
          <cell r="M16" t="str">
            <v>TA+CCL50%</v>
          </cell>
          <cell r="N16">
            <v>3098.4332671264715</v>
          </cell>
          <cell r="O16">
            <v>473.88420654651298</v>
          </cell>
          <cell r="P16">
            <v>159</v>
          </cell>
          <cell r="Q16">
            <v>0</v>
          </cell>
          <cell r="S16">
            <v>0</v>
          </cell>
          <cell r="T16">
            <v>251.15740740740699</v>
          </cell>
          <cell r="V16">
            <v>0</v>
          </cell>
          <cell r="W16">
            <v>0</v>
          </cell>
          <cell r="X16">
            <v>3982.4748810803912</v>
          </cell>
          <cell r="Y16">
            <v>114.90233347465414</v>
          </cell>
          <cell r="Z16">
            <v>182108.81115975967</v>
          </cell>
          <cell r="AA16">
            <v>84.928252186368766</v>
          </cell>
          <cell r="AD16">
            <v>93.555011325028303</v>
          </cell>
        </row>
        <row r="17">
          <cell r="A17">
            <v>46208</v>
          </cell>
          <cell r="B17">
            <v>84.87</v>
          </cell>
          <cell r="C17">
            <v>84.87</v>
          </cell>
          <cell r="D17">
            <v>181843.80696850002</v>
          </cell>
          <cell r="E17">
            <v>2267.9760000000001</v>
          </cell>
          <cell r="F17">
            <v>0</v>
          </cell>
          <cell r="G17">
            <v>0</v>
          </cell>
          <cell r="H17">
            <v>2008</v>
          </cell>
          <cell r="I17">
            <v>4275.9760000000006</v>
          </cell>
          <cell r="J17">
            <v>26</v>
          </cell>
          <cell r="K17" t="str">
            <v>XFILL_PMG50%</v>
          </cell>
          <cell r="L17">
            <v>10</v>
          </cell>
          <cell r="M17" t="str">
            <v>TA+CCL50%</v>
          </cell>
          <cell r="N17">
            <v>3095.4029825730217</v>
          </cell>
          <cell r="O17">
            <v>239.23126643502914</v>
          </cell>
          <cell r="P17">
            <v>159</v>
          </cell>
          <cell r="Q17">
            <v>0</v>
          </cell>
          <cell r="S17">
            <v>0</v>
          </cell>
          <cell r="T17">
            <v>252.161</v>
          </cell>
          <cell r="V17">
            <v>0</v>
          </cell>
          <cell r="W17">
            <v>0</v>
          </cell>
          <cell r="X17">
            <v>3745.7952490080511</v>
          </cell>
          <cell r="Y17">
            <v>45.807616885704434</v>
          </cell>
          <cell r="Z17">
            <v>181889.61458538572</v>
          </cell>
          <cell r="AA17">
            <v>84.880072277215689</v>
          </cell>
          <cell r="AD17">
            <v>64.212231030577584</v>
          </cell>
        </row>
        <row r="18">
          <cell r="A18">
            <v>46209</v>
          </cell>
          <cell r="B18">
            <v>84.869</v>
          </cell>
          <cell r="C18">
            <v>84.869</v>
          </cell>
          <cell r="D18">
            <v>181839.25939176499</v>
          </cell>
          <cell r="E18">
            <v>1540.028</v>
          </cell>
          <cell r="F18">
            <v>0</v>
          </cell>
          <cell r="G18">
            <v>0</v>
          </cell>
          <cell r="H18">
            <v>2008</v>
          </cell>
          <cell r="I18">
            <v>3548.0280000000002</v>
          </cell>
          <cell r="J18">
            <v>26</v>
          </cell>
          <cell r="K18" t="str">
            <v>XFILL_PMG50%</v>
          </cell>
          <cell r="L18">
            <v>10</v>
          </cell>
          <cell r="M18" t="str">
            <v>TA+CCL50%</v>
          </cell>
          <cell r="N18">
            <v>3095.3111557683715</v>
          </cell>
          <cell r="O18">
            <v>83.421971929528027</v>
          </cell>
          <cell r="P18">
            <v>159</v>
          </cell>
          <cell r="Q18">
            <v>0</v>
          </cell>
          <cell r="S18">
            <v>0</v>
          </cell>
          <cell r="T18">
            <v>252.161</v>
          </cell>
          <cell r="V18">
            <v>0</v>
          </cell>
          <cell r="W18">
            <v>0</v>
          </cell>
          <cell r="X18">
            <v>3589.8941276978994</v>
          </cell>
          <cell r="Y18">
            <v>-3.6172334330984883</v>
          </cell>
          <cell r="Z18">
            <v>181835.6421583319</v>
          </cell>
          <cell r="AA18">
            <v>84.868204571103917</v>
          </cell>
          <cell r="AD18">
            <v>43.602151755379388</v>
          </cell>
        </row>
        <row r="19">
          <cell r="A19">
            <v>46210</v>
          </cell>
          <cell r="B19">
            <v>84.828999999999994</v>
          </cell>
          <cell r="C19">
            <v>84.828999999999994</v>
          </cell>
          <cell r="D19">
            <v>181657.40284096496</v>
          </cell>
          <cell r="E19">
            <v>1503.63</v>
          </cell>
          <cell r="F19">
            <v>0</v>
          </cell>
          <cell r="G19">
            <v>0</v>
          </cell>
          <cell r="H19">
            <v>2008</v>
          </cell>
          <cell r="I19">
            <v>3511.63</v>
          </cell>
          <cell r="J19">
            <v>26</v>
          </cell>
          <cell r="K19" t="str">
            <v>XFILL_PMG50%</v>
          </cell>
          <cell r="L19">
            <v>10</v>
          </cell>
          <cell r="M19" t="str">
            <v>TA+CCL50%</v>
          </cell>
          <cell r="N19">
            <v>3091.638083582372</v>
          </cell>
          <cell r="O19">
            <v>504.89037735189243</v>
          </cell>
          <cell r="P19">
            <v>159</v>
          </cell>
          <cell r="Q19">
            <v>0</v>
          </cell>
          <cell r="S19">
            <v>0</v>
          </cell>
          <cell r="T19">
            <v>252.161</v>
          </cell>
          <cell r="V19">
            <v>0</v>
          </cell>
          <cell r="W19">
            <v>0</v>
          </cell>
          <cell r="X19">
            <v>4007.6894609342644</v>
          </cell>
          <cell r="Y19">
            <v>-42.859537424720429</v>
          </cell>
          <cell r="Z19">
            <v>181614.54330354024</v>
          </cell>
          <cell r="AA19">
            <v>84.819569983011931</v>
          </cell>
          <cell r="AD19">
            <v>42.57163080407701</v>
          </cell>
        </row>
        <row r="20">
          <cell r="A20">
            <v>46211</v>
          </cell>
          <cell r="B20">
            <v>84.792000000000002</v>
          </cell>
          <cell r="C20">
            <v>84.792000000000002</v>
          </cell>
          <cell r="D20">
            <v>181489.26634336001</v>
          </cell>
          <cell r="E20">
            <v>1312.5440000000001</v>
          </cell>
          <cell r="F20">
            <v>0</v>
          </cell>
          <cell r="G20">
            <v>0</v>
          </cell>
          <cell r="H20">
            <v>2008</v>
          </cell>
          <cell r="I20">
            <v>3320.5439999999999</v>
          </cell>
          <cell r="J20">
            <v>26</v>
          </cell>
          <cell r="K20" t="str">
            <v>XFILL_PMG50%</v>
          </cell>
          <cell r="L20">
            <v>10</v>
          </cell>
          <cell r="M20" t="str">
            <v>TA+CCL50%</v>
          </cell>
          <cell r="N20">
            <v>3088.2404918103248</v>
          </cell>
          <cell r="O20">
            <v>591.76717416501754</v>
          </cell>
          <cell r="P20">
            <v>159</v>
          </cell>
          <cell r="Q20">
            <v>0</v>
          </cell>
          <cell r="S20">
            <v>0</v>
          </cell>
          <cell r="T20">
            <v>252.161</v>
          </cell>
          <cell r="V20">
            <v>0</v>
          </cell>
          <cell r="W20">
            <v>0</v>
          </cell>
          <cell r="X20">
            <v>4091.1686659753423</v>
          </cell>
          <cell r="Y20">
            <v>-66.581971140269587</v>
          </cell>
          <cell r="Z20">
            <v>181422.68437221975</v>
          </cell>
          <cell r="AA20">
            <v>84.777343292112903</v>
          </cell>
          <cell r="AD20">
            <v>37.161494903737264</v>
          </cell>
        </row>
        <row r="21">
          <cell r="A21">
            <v>46212</v>
          </cell>
          <cell r="B21">
            <v>84.816000000000003</v>
          </cell>
          <cell r="C21">
            <v>84.816000000000003</v>
          </cell>
          <cell r="D21">
            <v>181598.31900543999</v>
          </cell>
          <cell r="E21">
            <v>1284.336</v>
          </cell>
          <cell r="F21">
            <v>0</v>
          </cell>
          <cell r="G21">
            <v>0</v>
          </cell>
          <cell r="H21">
            <v>2008</v>
          </cell>
          <cell r="I21">
            <v>3292.3360000000002</v>
          </cell>
          <cell r="J21">
            <v>26</v>
          </cell>
          <cell r="K21" t="str">
            <v>XFILL_PMG50%</v>
          </cell>
          <cell r="L21">
            <v>10</v>
          </cell>
          <cell r="M21" t="str">
            <v>TA+CCL50%</v>
          </cell>
          <cell r="N21">
            <v>3090.4443351219234</v>
          </cell>
          <cell r="O21">
            <v>1597.7987454674387</v>
          </cell>
          <cell r="P21">
            <v>159</v>
          </cell>
          <cell r="Q21">
            <v>0</v>
          </cell>
          <cell r="S21">
            <v>0</v>
          </cell>
          <cell r="T21">
            <v>252.161</v>
          </cell>
          <cell r="V21">
            <v>0</v>
          </cell>
          <cell r="W21">
            <v>0</v>
          </cell>
          <cell r="X21">
            <v>5099.4040805893619</v>
          </cell>
          <cell r="Y21">
            <v>-156.13068216292083</v>
          </cell>
          <cell r="Z21">
            <v>181442.18832327708</v>
          </cell>
          <cell r="AA21">
            <v>84.781636980131978</v>
          </cell>
          <cell r="AD21">
            <v>36.36285390713477</v>
          </cell>
        </row>
        <row r="22">
          <cell r="A22">
            <v>46213</v>
          </cell>
          <cell r="B22">
            <v>84.787999999999997</v>
          </cell>
          <cell r="C22">
            <v>84.787999999999997</v>
          </cell>
          <cell r="D22">
            <v>181471.09407656</v>
          </cell>
          <cell r="E22">
            <v>1179.693</v>
          </cell>
          <cell r="F22">
            <v>0</v>
          </cell>
          <cell r="G22">
            <v>0</v>
          </cell>
          <cell r="H22">
            <v>2029</v>
          </cell>
          <cell r="I22">
            <v>3208.6930000000002</v>
          </cell>
          <cell r="J22">
            <v>26</v>
          </cell>
          <cell r="K22" t="str">
            <v>XFILL_PMG50%</v>
          </cell>
          <cell r="L22">
            <v>10</v>
          </cell>
          <cell r="M22" t="str">
            <v>TA+CCL50%</v>
          </cell>
          <cell r="N22">
            <v>3087.8731845917237</v>
          </cell>
          <cell r="O22">
            <v>409.79956599023268</v>
          </cell>
          <cell r="P22">
            <v>159</v>
          </cell>
          <cell r="Q22">
            <v>0</v>
          </cell>
          <cell r="S22">
            <v>0</v>
          </cell>
          <cell r="T22">
            <v>252.161</v>
          </cell>
          <cell r="V22">
            <v>0</v>
          </cell>
          <cell r="W22">
            <v>0</v>
          </cell>
          <cell r="X22">
            <v>3908.8337505819563</v>
          </cell>
          <cell r="Y22">
            <v>-60.492160850281003</v>
          </cell>
          <cell r="Z22">
            <v>181410.6019157097</v>
          </cell>
          <cell r="AA22">
            <v>84.774683289975727</v>
          </cell>
          <cell r="AD22">
            <v>33.400141562853904</v>
          </cell>
        </row>
        <row r="23">
          <cell r="A23">
            <v>46214</v>
          </cell>
          <cell r="B23">
            <v>84.766000000000005</v>
          </cell>
          <cell r="C23">
            <v>84.766000000000005</v>
          </cell>
          <cell r="D23">
            <v>181371.16283394</v>
          </cell>
          <cell r="E23">
            <v>842.59</v>
          </cell>
          <cell r="F23">
            <v>0</v>
          </cell>
          <cell r="G23">
            <v>0</v>
          </cell>
          <cell r="H23">
            <v>2029</v>
          </cell>
          <cell r="I23">
            <v>2871.59</v>
          </cell>
          <cell r="J23">
            <v>26</v>
          </cell>
          <cell r="K23" t="str">
            <v>InnerGate</v>
          </cell>
          <cell r="L23">
            <v>10</v>
          </cell>
          <cell r="M23" t="str">
            <v>TA+CCL50%</v>
          </cell>
          <cell r="N23">
            <v>3358.9047197962959</v>
          </cell>
          <cell r="O23">
            <v>868.67237423210361</v>
          </cell>
          <cell r="P23">
            <v>159</v>
          </cell>
          <cell r="Q23">
            <v>0</v>
          </cell>
          <cell r="S23">
            <v>0</v>
          </cell>
          <cell r="T23">
            <v>252.161</v>
          </cell>
          <cell r="V23">
            <v>0</v>
          </cell>
          <cell r="W23">
            <v>0</v>
          </cell>
          <cell r="X23">
            <v>4638.7380940283992</v>
          </cell>
          <cell r="Y23">
            <v>-152.68159532405366</v>
          </cell>
          <cell r="Z23">
            <v>181218.48123861596</v>
          </cell>
          <cell r="AA23">
            <v>84.732375257882012</v>
          </cell>
          <cell r="AD23">
            <v>23.855889014722539</v>
          </cell>
        </row>
        <row r="24">
          <cell r="A24">
            <v>46215</v>
          </cell>
          <cell r="B24">
            <v>84.774000000000001</v>
          </cell>
          <cell r="C24">
            <v>84.774000000000001</v>
          </cell>
          <cell r="D24">
            <v>181407.49829074001</v>
          </cell>
          <cell r="E24">
            <v>950.49099999999999</v>
          </cell>
          <cell r="F24">
            <v>0</v>
          </cell>
          <cell r="G24">
            <v>0</v>
          </cell>
          <cell r="H24">
            <v>2029</v>
          </cell>
          <cell r="I24">
            <v>2979.491</v>
          </cell>
          <cell r="J24">
            <v>26</v>
          </cell>
          <cell r="K24" t="str">
            <v>XFILL_PMG50%</v>
          </cell>
          <cell r="L24">
            <v>10</v>
          </cell>
          <cell r="M24" t="str">
            <v>TA+CCL50%</v>
          </cell>
          <cell r="N24">
            <v>3086.5876093266252</v>
          </cell>
          <cell r="O24">
            <v>567.33713484176212</v>
          </cell>
          <cell r="P24">
            <v>159</v>
          </cell>
          <cell r="Q24">
            <v>0</v>
          </cell>
          <cell r="S24">
            <v>0</v>
          </cell>
          <cell r="T24">
            <v>252.161</v>
          </cell>
          <cell r="V24">
            <v>0</v>
          </cell>
          <cell r="W24">
            <v>0</v>
          </cell>
          <cell r="X24">
            <v>4065.0857441683875</v>
          </cell>
          <cell r="Y24">
            <v>-93.795385896148673</v>
          </cell>
          <cell r="Z24">
            <v>181313.70290484387</v>
          </cell>
          <cell r="AA24">
            <v>84.753347379951521</v>
          </cell>
          <cell r="AD24">
            <v>26.910843714609285</v>
          </cell>
        </row>
        <row r="25">
          <cell r="A25">
            <v>46216</v>
          </cell>
          <cell r="B25">
            <v>84.778999999999996</v>
          </cell>
          <cell r="C25">
            <v>84.778999999999996</v>
          </cell>
          <cell r="D25">
            <v>181430.20979496496</v>
          </cell>
          <cell r="E25">
            <v>1701.96</v>
          </cell>
          <cell r="F25">
            <v>0</v>
          </cell>
          <cell r="G25">
            <v>0</v>
          </cell>
          <cell r="H25">
            <v>2029</v>
          </cell>
          <cell r="I25">
            <v>3730.96</v>
          </cell>
          <cell r="J25">
            <v>26</v>
          </cell>
          <cell r="K25" t="str">
            <v>InnerGate</v>
          </cell>
          <cell r="L25">
            <v>10</v>
          </cell>
          <cell r="M25" t="str">
            <v>TA+CCL50%</v>
          </cell>
          <cell r="N25">
            <v>3360.2156864334893</v>
          </cell>
          <cell r="O25">
            <v>604.03633473310447</v>
          </cell>
          <cell r="P25">
            <v>159</v>
          </cell>
          <cell r="Q25">
            <v>0</v>
          </cell>
          <cell r="S25">
            <v>0</v>
          </cell>
          <cell r="T25">
            <v>252.161</v>
          </cell>
          <cell r="V25">
            <v>0</v>
          </cell>
          <cell r="W25">
            <v>0</v>
          </cell>
          <cell r="X25">
            <v>4375.4130211665943</v>
          </cell>
          <cell r="Y25">
            <v>-55.680741028793733</v>
          </cell>
          <cell r="Z25">
            <v>181374.52905393616</v>
          </cell>
          <cell r="AA25">
            <v>84.766741176338115</v>
          </cell>
          <cell r="AD25">
            <v>48.186862967157417</v>
          </cell>
        </row>
        <row r="26">
          <cell r="A26">
            <v>46217</v>
          </cell>
          <cell r="B26">
            <v>84.763000000000005</v>
          </cell>
          <cell r="C26">
            <v>84.763000000000005</v>
          </cell>
          <cell r="D26">
            <v>181357.53797368502</v>
          </cell>
          <cell r="E26">
            <v>1479.3579999999999</v>
          </cell>
          <cell r="F26">
            <v>0</v>
          </cell>
          <cell r="G26">
            <v>0</v>
          </cell>
          <cell r="H26">
            <v>2029</v>
          </cell>
          <cell r="I26">
            <v>3508.3580000000002</v>
          </cell>
          <cell r="J26">
            <v>26</v>
          </cell>
          <cell r="K26" t="str">
            <v>XFILL_PMG50%</v>
          </cell>
          <cell r="L26">
            <v>10</v>
          </cell>
          <cell r="M26" t="str">
            <v>TA+CCL50%</v>
          </cell>
          <cell r="N26">
            <v>3085.5775144754753</v>
          </cell>
          <cell r="O26">
            <v>462.78306378510808</v>
          </cell>
          <cell r="P26">
            <v>159</v>
          </cell>
          <cell r="Q26">
            <v>0</v>
          </cell>
          <cell r="S26">
            <v>0</v>
          </cell>
          <cell r="T26">
            <v>252.161</v>
          </cell>
          <cell r="V26">
            <v>0</v>
          </cell>
          <cell r="W26">
            <v>0</v>
          </cell>
          <cell r="X26">
            <v>3959.5215782605833</v>
          </cell>
          <cell r="Y26">
            <v>-38.980533161714376</v>
          </cell>
          <cell r="Z26">
            <v>181318.55744052329</v>
          </cell>
          <cell r="AA26">
            <v>84.754416421293897</v>
          </cell>
          <cell r="AD26">
            <v>41.884428086070216</v>
          </cell>
        </row>
        <row r="27">
          <cell r="A27">
            <v>46218</v>
          </cell>
          <cell r="B27">
            <v>84.727999999999994</v>
          </cell>
          <cell r="C27">
            <v>84.727999999999994</v>
          </cell>
          <cell r="D27">
            <v>181198.61899615996</v>
          </cell>
          <cell r="E27">
            <v>2571.4540000000002</v>
          </cell>
          <cell r="F27">
            <v>0</v>
          </cell>
          <cell r="G27">
            <v>0</v>
          </cell>
          <cell r="H27">
            <v>2029</v>
          </cell>
          <cell r="I27">
            <v>4600.4539999999997</v>
          </cell>
          <cell r="J27">
            <v>26</v>
          </cell>
          <cell r="K27" t="str">
            <v>InnerGate</v>
          </cell>
          <cell r="L27">
            <v>10</v>
          </cell>
          <cell r="M27" t="str">
            <v>TA+CCL50%</v>
          </cell>
          <cell r="N27">
            <v>3355.07266347219</v>
          </cell>
          <cell r="O27">
            <v>608.65658279253591</v>
          </cell>
          <cell r="P27">
            <v>159</v>
          </cell>
          <cell r="Q27">
            <v>0</v>
          </cell>
          <cell r="S27">
            <v>0</v>
          </cell>
          <cell r="T27">
            <v>252.161</v>
          </cell>
          <cell r="V27">
            <v>0</v>
          </cell>
          <cell r="W27">
            <v>0</v>
          </cell>
          <cell r="X27">
            <v>4374.8902462647256</v>
          </cell>
          <cell r="Y27">
            <v>19.488708322727682</v>
          </cell>
          <cell r="Z27">
            <v>181218.10770448268</v>
          </cell>
          <cell r="AA27">
            <v>84.732292977931621</v>
          </cell>
          <cell r="AD27">
            <v>72.804473386183474</v>
          </cell>
        </row>
        <row r="28">
          <cell r="A28">
            <v>46219</v>
          </cell>
          <cell r="B28">
            <v>84.691999999999993</v>
          </cell>
          <cell r="C28">
            <v>84.691999999999993</v>
          </cell>
          <cell r="D28">
            <v>181035.23197735997</v>
          </cell>
          <cell r="E28">
            <v>842.92399999999998</v>
          </cell>
          <cell r="F28">
            <v>0</v>
          </cell>
          <cell r="G28">
            <v>0</v>
          </cell>
          <cell r="H28">
            <v>2029</v>
          </cell>
          <cell r="I28">
            <v>2871.924</v>
          </cell>
          <cell r="J28">
            <v>26</v>
          </cell>
          <cell r="K28" t="str">
            <v>XFILL_PMG50%</v>
          </cell>
          <cell r="L28">
            <v>10</v>
          </cell>
          <cell r="M28" t="str">
            <v>TA+CCL50%</v>
          </cell>
          <cell r="N28">
            <v>3079.0578113453262</v>
          </cell>
          <cell r="O28">
            <v>763.17443131113384</v>
          </cell>
          <cell r="P28">
            <v>159</v>
          </cell>
          <cell r="Q28">
            <v>0</v>
          </cell>
          <cell r="S28">
            <v>0</v>
          </cell>
          <cell r="T28">
            <v>252.161</v>
          </cell>
          <cell r="V28">
            <v>0</v>
          </cell>
          <cell r="W28">
            <v>0</v>
          </cell>
          <cell r="X28">
            <v>4253.3932426564597</v>
          </cell>
          <cell r="Y28">
            <v>-119.35894256551812</v>
          </cell>
          <cell r="Z28">
            <v>180915.87303479447</v>
          </cell>
          <cell r="AA28">
            <v>84.665690713424581</v>
          </cell>
          <cell r="AD28">
            <v>23.865345413363531</v>
          </cell>
        </row>
        <row r="29">
          <cell r="A29">
            <v>46220</v>
          </cell>
          <cell r="B29">
            <v>84.641999999999996</v>
          </cell>
          <cell r="C29">
            <v>84.641999999999996</v>
          </cell>
          <cell r="D29">
            <v>180808.42753185995</v>
          </cell>
          <cell r="E29">
            <v>638.25</v>
          </cell>
          <cell r="F29">
            <v>0</v>
          </cell>
          <cell r="G29">
            <v>0</v>
          </cell>
          <cell r="H29">
            <v>2029</v>
          </cell>
          <cell r="I29">
            <v>2667.25</v>
          </cell>
          <cell r="J29">
            <v>24</v>
          </cell>
          <cell r="K29" t="str">
            <v>InnerGate</v>
          </cell>
          <cell r="L29">
            <v>10</v>
          </cell>
          <cell r="M29" t="str">
            <v>TA+CCL50%</v>
          </cell>
          <cell r="N29">
            <v>3196.8895929203036</v>
          </cell>
          <cell r="O29">
            <v>265.15254766205419</v>
          </cell>
          <cell r="P29">
            <v>159</v>
          </cell>
          <cell r="Q29">
            <v>0</v>
          </cell>
          <cell r="S29">
            <v>0</v>
          </cell>
          <cell r="T29">
            <v>252.161</v>
          </cell>
          <cell r="V29">
            <v>0</v>
          </cell>
          <cell r="W29">
            <v>0</v>
          </cell>
          <cell r="X29">
            <v>3873.2031405823577</v>
          </cell>
          <cell r="Y29">
            <v>-104.1943513463157</v>
          </cell>
          <cell r="Z29">
            <v>180704.23318051363</v>
          </cell>
          <cell r="AA29">
            <v>84.619019426788043</v>
          </cell>
          <cell r="AD29">
            <v>18.070498301245753</v>
          </cell>
        </row>
        <row r="30">
          <cell r="A30">
            <v>46221</v>
          </cell>
          <cell r="B30">
            <v>84.608999999999995</v>
          </cell>
          <cell r="C30">
            <v>84.608999999999995</v>
          </cell>
          <cell r="D30">
            <v>180658.81428956497</v>
          </cell>
          <cell r="E30">
            <v>955.27200000000005</v>
          </cell>
          <cell r="F30">
            <v>0</v>
          </cell>
          <cell r="G30">
            <v>0</v>
          </cell>
          <cell r="H30">
            <v>2029</v>
          </cell>
          <cell r="I30">
            <v>2984.2719999999999</v>
          </cell>
          <cell r="J30">
            <v>24</v>
          </cell>
          <cell r="K30" t="str">
            <v>XFILL_PMG50%</v>
          </cell>
          <cell r="L30">
            <v>10</v>
          </cell>
          <cell r="M30" t="str">
            <v>TA+CCL50%</v>
          </cell>
          <cell r="N30">
            <v>2942.9964844460055</v>
          </cell>
          <cell r="O30">
            <v>656.10621928939941</v>
          </cell>
          <cell r="P30">
            <v>159</v>
          </cell>
          <cell r="Q30">
            <v>0</v>
          </cell>
          <cell r="S30">
            <v>0</v>
          </cell>
          <cell r="T30">
            <v>252.161</v>
          </cell>
          <cell r="V30">
            <v>0</v>
          </cell>
          <cell r="W30">
            <v>0</v>
          </cell>
          <cell r="X30">
            <v>4010.2637037354052</v>
          </cell>
          <cell r="Y30">
            <v>-88.645683202739022</v>
          </cell>
          <cell r="Z30">
            <v>180570.16860636222</v>
          </cell>
          <cell r="AA30">
            <v>84.589441104347415</v>
          </cell>
          <cell r="AD30">
            <v>27.04620611551529</v>
          </cell>
        </row>
        <row r="31">
          <cell r="A31">
            <v>46222</v>
          </cell>
          <cell r="B31">
            <v>84.608000000000004</v>
          </cell>
          <cell r="C31">
            <v>84.608000000000004</v>
          </cell>
          <cell r="D31">
            <v>180654.28151936003</v>
          </cell>
          <cell r="E31">
            <v>638.50400000000002</v>
          </cell>
          <cell r="F31">
            <v>0</v>
          </cell>
          <cell r="G31">
            <v>0</v>
          </cell>
          <cell r="H31">
            <v>2029</v>
          </cell>
          <cell r="I31">
            <v>2667.5039999999999</v>
          </cell>
          <cell r="J31">
            <v>24</v>
          </cell>
          <cell r="K31" t="str">
            <v>InnerGate</v>
          </cell>
          <cell r="L31">
            <v>10</v>
          </cell>
          <cell r="M31" t="str">
            <v>TA+CCL50%</v>
          </cell>
          <cell r="N31">
            <v>3193.6419723506779</v>
          </cell>
          <cell r="O31">
            <v>657.48948641203162</v>
          </cell>
          <cell r="P31">
            <v>159</v>
          </cell>
          <cell r="Q31">
            <v>0</v>
          </cell>
          <cell r="S31">
            <v>0</v>
          </cell>
          <cell r="T31">
            <v>252.161</v>
          </cell>
          <cell r="V31">
            <v>0</v>
          </cell>
          <cell r="W31">
            <v>0</v>
          </cell>
          <cell r="X31">
            <v>4262.2924587627094</v>
          </cell>
          <cell r="Y31">
            <v>-137.78972283709808</v>
          </cell>
          <cell r="Z31">
            <v>180516.49179652293</v>
          </cell>
          <cell r="AA31">
            <v>84.57759545693628</v>
          </cell>
          <cell r="AD31">
            <v>18.077689694224237</v>
          </cell>
        </row>
        <row r="32">
          <cell r="A32">
            <v>46223</v>
          </cell>
          <cell r="B32">
            <v>84.656999999999996</v>
          </cell>
          <cell r="C32">
            <v>84.656999999999996</v>
          </cell>
          <cell r="D32">
            <v>180876.45397388499</v>
          </cell>
          <cell r="E32">
            <v>1765.0709999999999</v>
          </cell>
          <cell r="F32">
            <v>0</v>
          </cell>
          <cell r="G32">
            <v>0</v>
          </cell>
          <cell r="H32">
            <v>2029</v>
          </cell>
          <cell r="I32">
            <v>3794.0709999999999</v>
          </cell>
          <cell r="J32">
            <v>24</v>
          </cell>
          <cell r="K32" t="str">
            <v>XFILL_PMG50%</v>
          </cell>
          <cell r="L32">
            <v>10</v>
          </cell>
          <cell r="M32" t="str">
            <v>TA+CCL50%</v>
          </cell>
          <cell r="N32">
            <v>2947.1818477052198</v>
          </cell>
          <cell r="O32">
            <v>543.34914761521338</v>
          </cell>
          <cell r="P32">
            <v>159</v>
          </cell>
          <cell r="Q32">
            <v>0</v>
          </cell>
          <cell r="S32">
            <v>0</v>
          </cell>
          <cell r="T32">
            <v>252.161</v>
          </cell>
          <cell r="V32">
            <v>0</v>
          </cell>
          <cell r="W32">
            <v>0</v>
          </cell>
          <cell r="X32">
            <v>3901.6919953204333</v>
          </cell>
          <cell r="Y32">
            <v>-9.2984539956854455</v>
          </cell>
          <cell r="Z32">
            <v>180867.15551988929</v>
          </cell>
          <cell r="AA32">
            <v>84.654949833774708</v>
          </cell>
          <cell r="AD32">
            <v>49.973697621744051</v>
          </cell>
        </row>
        <row r="33">
          <cell r="A33">
            <v>46224</v>
          </cell>
          <cell r="B33">
            <v>84.631</v>
          </cell>
          <cell r="C33">
            <v>84.631</v>
          </cell>
          <cell r="D33">
            <v>180758.54958676497</v>
          </cell>
          <cell r="E33">
            <v>1801.9670000000001</v>
          </cell>
          <cell r="F33">
            <v>0</v>
          </cell>
          <cell r="G33">
            <v>0</v>
          </cell>
          <cell r="H33">
            <v>2029</v>
          </cell>
          <cell r="I33">
            <v>3830.9670000000001</v>
          </cell>
          <cell r="J33">
            <v>24</v>
          </cell>
          <cell r="K33" t="str">
            <v>InnerGate</v>
          </cell>
          <cell r="L33">
            <v>10</v>
          </cell>
          <cell r="M33" t="str">
            <v>TA+CCL50%</v>
          </cell>
          <cell r="N33">
            <v>3195.8388921477772</v>
          </cell>
          <cell r="O33">
            <v>638.54530093492031</v>
          </cell>
          <cell r="P33">
            <v>159</v>
          </cell>
          <cell r="Q33">
            <v>0</v>
          </cell>
          <cell r="S33">
            <v>0</v>
          </cell>
          <cell r="T33">
            <v>252.161</v>
          </cell>
          <cell r="V33">
            <v>0</v>
          </cell>
          <cell r="W33">
            <v>0</v>
          </cell>
          <cell r="X33">
            <v>4245.5451930826976</v>
          </cell>
          <cell r="Y33">
            <v>-35.819555882345057</v>
          </cell>
          <cell r="Z33">
            <v>180722.73003088264</v>
          </cell>
          <cell r="AA33">
            <v>84.623099479935192</v>
          </cell>
          <cell r="AD33">
            <v>51.018318233295588</v>
          </cell>
        </row>
        <row r="34">
          <cell r="A34">
            <v>46225</v>
          </cell>
          <cell r="B34">
            <v>84.662000000000006</v>
          </cell>
          <cell r="C34">
            <v>84.662000000000006</v>
          </cell>
          <cell r="D34">
            <v>180899.13229106003</v>
          </cell>
          <cell r="E34">
            <v>804.53700000000003</v>
          </cell>
          <cell r="F34">
            <v>0</v>
          </cell>
          <cell r="G34">
            <v>0</v>
          </cell>
          <cell r="H34">
            <v>2029</v>
          </cell>
          <cell r="I34">
            <v>2833.5370000000003</v>
          </cell>
          <cell r="J34">
            <v>24</v>
          </cell>
          <cell r="K34" t="str">
            <v>XFILL_PMG50%</v>
          </cell>
          <cell r="L34">
            <v>10</v>
          </cell>
          <cell r="M34" t="str">
            <v>TA+CCL50%</v>
          </cell>
          <cell r="N34">
            <v>2947.6178230447222</v>
          </cell>
          <cell r="O34">
            <v>533.16659524481497</v>
          </cell>
          <cell r="P34">
            <v>159</v>
          </cell>
          <cell r="Q34">
            <v>0</v>
          </cell>
          <cell r="S34">
            <v>0</v>
          </cell>
          <cell r="T34">
            <v>252.161</v>
          </cell>
          <cell r="V34">
            <v>0</v>
          </cell>
          <cell r="W34">
            <v>0</v>
          </cell>
          <cell r="X34">
            <v>3891.945418289537</v>
          </cell>
          <cell r="Y34">
            <v>-91.446487340215967</v>
          </cell>
          <cell r="Z34">
            <v>180807.68580371983</v>
          </cell>
          <cell r="AA34">
            <v>84.641836431583542</v>
          </cell>
          <cell r="AD34">
            <v>22.778510758776896</v>
          </cell>
        </row>
        <row r="35">
          <cell r="A35">
            <v>46226</v>
          </cell>
          <cell r="B35">
            <v>84.897000000000006</v>
          </cell>
          <cell r="C35">
            <v>84.897000000000006</v>
          </cell>
          <cell r="D35">
            <v>181966.61298428502</v>
          </cell>
          <cell r="E35">
            <v>622.51499999999999</v>
          </cell>
          <cell r="F35">
            <v>0</v>
          </cell>
          <cell r="G35">
            <v>0</v>
          </cell>
          <cell r="H35">
            <v>2029</v>
          </cell>
          <cell r="I35">
            <v>2651.5149999999999</v>
          </cell>
          <cell r="J35">
            <v>24</v>
          </cell>
          <cell r="K35" t="str">
            <v>InnerGate</v>
          </cell>
          <cell r="L35">
            <v>10</v>
          </cell>
          <cell r="M35" t="str">
            <v>TA+CCL50%</v>
          </cell>
          <cell r="N35">
            <v>3221.2467471924956</v>
          </cell>
          <cell r="O35">
            <v>529.24730892940943</v>
          </cell>
          <cell r="P35">
            <v>159</v>
          </cell>
          <cell r="Q35">
            <v>0</v>
          </cell>
          <cell r="S35">
            <v>0</v>
          </cell>
          <cell r="T35">
            <v>252.161</v>
          </cell>
          <cell r="V35">
            <v>0</v>
          </cell>
          <cell r="W35">
            <v>0</v>
          </cell>
          <cell r="X35">
            <v>4161.6550561219046</v>
          </cell>
          <cell r="Y35">
            <v>-130.47610084893256</v>
          </cell>
          <cell r="Z35">
            <v>181836.13688343609</v>
          </cell>
          <cell r="AA35">
            <v>84.868313361519611</v>
          </cell>
          <cell r="AD35">
            <v>17.625</v>
          </cell>
        </row>
        <row r="36">
          <cell r="A36">
            <v>46227</v>
          </cell>
          <cell r="B36">
            <v>84.960999999999999</v>
          </cell>
          <cell r="C36">
            <v>84.960999999999999</v>
          </cell>
          <cell r="D36">
            <v>182257.87392316497</v>
          </cell>
          <cell r="E36">
            <v>636.04399999999998</v>
          </cell>
          <cell r="F36">
            <v>0</v>
          </cell>
          <cell r="G36">
            <v>0</v>
          </cell>
          <cell r="H36">
            <v>296</v>
          </cell>
          <cell r="I36">
            <v>932.04399999999998</v>
          </cell>
          <cell r="J36">
            <v>24</v>
          </cell>
          <cell r="K36" t="str">
            <v>XFILL_PMG50%</v>
          </cell>
          <cell r="L36">
            <v>10</v>
          </cell>
          <cell r="M36" t="str">
            <v>TA+CCL50%</v>
          </cell>
          <cell r="N36">
            <v>2973.689148346908</v>
          </cell>
          <cell r="O36">
            <v>346.95262697437857</v>
          </cell>
          <cell r="P36">
            <v>159</v>
          </cell>
          <cell r="Q36">
            <v>0</v>
          </cell>
          <cell r="S36">
            <v>0</v>
          </cell>
          <cell r="T36">
            <v>252.161</v>
          </cell>
          <cell r="V36">
            <v>0</v>
          </cell>
          <cell r="W36">
            <v>0</v>
          </cell>
          <cell r="X36">
            <v>3731.8027753212868</v>
          </cell>
          <cell r="Y36">
            <v>-241.89915818775921</v>
          </cell>
          <cell r="Z36">
            <v>182015.9747649772</v>
          </cell>
          <cell r="AA36">
            <v>84.907850067499282</v>
          </cell>
          <cell r="AD36">
            <v>18.008040770101925</v>
          </cell>
        </row>
        <row r="37">
          <cell r="A37">
            <v>46228</v>
          </cell>
          <cell r="B37">
            <v>84.927999999999997</v>
          </cell>
          <cell r="C37">
            <v>84.927999999999997</v>
          </cell>
          <cell r="D37">
            <v>182107.66348416</v>
          </cell>
          <cell r="E37">
            <v>1121.8810000000001</v>
          </cell>
          <cell r="F37">
            <v>0</v>
          </cell>
          <cell r="G37">
            <v>0</v>
          </cell>
          <cell r="H37">
            <v>296</v>
          </cell>
          <cell r="I37">
            <v>1417.8810000000001</v>
          </cell>
          <cell r="J37">
            <v>24</v>
          </cell>
          <cell r="K37" t="str">
            <v>InnerGate</v>
          </cell>
          <cell r="L37">
            <v>10</v>
          </cell>
          <cell r="M37" t="str">
            <v>TA+CCL50%</v>
          </cell>
          <cell r="N37">
            <v>3224.2078130059781</v>
          </cell>
          <cell r="O37">
            <v>158.62924317212062</v>
          </cell>
          <cell r="P37">
            <v>159</v>
          </cell>
          <cell r="Q37">
            <v>0</v>
          </cell>
          <cell r="S37">
            <v>0</v>
          </cell>
          <cell r="T37">
            <v>252.161</v>
          </cell>
          <cell r="V37">
            <v>0</v>
          </cell>
          <cell r="W37">
            <v>0</v>
          </cell>
          <cell r="X37">
            <v>3793.998056178099</v>
          </cell>
          <cell r="Y37">
            <v>-205.29651365378777</v>
          </cell>
          <cell r="Z37">
            <v>181902.36697050621</v>
          </cell>
          <cell r="AA37">
            <v>84.882876073887729</v>
          </cell>
          <cell r="AD37">
            <v>31.763335220838055</v>
          </cell>
        </row>
        <row r="38">
          <cell r="A38">
            <v>46229</v>
          </cell>
          <cell r="B38">
            <v>84.887</v>
          </cell>
          <cell r="C38">
            <v>84.887</v>
          </cell>
          <cell r="D38">
            <v>181921.12445268498</v>
          </cell>
          <cell r="E38">
            <v>1073.1980000000001</v>
          </cell>
          <cell r="F38">
            <v>0</v>
          </cell>
          <cell r="G38">
            <v>0</v>
          </cell>
          <cell r="H38">
            <v>296</v>
          </cell>
          <cell r="I38">
            <v>1369.1980000000001</v>
          </cell>
          <cell r="J38">
            <v>24</v>
          </cell>
          <cell r="K38" t="str">
            <v>XFILL_PMG50%</v>
          </cell>
          <cell r="L38">
            <v>10</v>
          </cell>
          <cell r="M38" t="str">
            <v>TA+CCL50%</v>
          </cell>
          <cell r="N38">
            <v>2967.2367133222865</v>
          </cell>
          <cell r="O38">
            <v>491.59054739403604</v>
          </cell>
          <cell r="P38">
            <v>159</v>
          </cell>
          <cell r="Q38">
            <v>0</v>
          </cell>
          <cell r="S38">
            <v>0</v>
          </cell>
          <cell r="T38">
            <v>252.161</v>
          </cell>
          <cell r="V38">
            <v>0</v>
          </cell>
          <cell r="W38">
            <v>0</v>
          </cell>
          <cell r="X38">
            <v>3869.9882607163227</v>
          </cell>
          <cell r="Y38">
            <v>-216.06827852589026</v>
          </cell>
          <cell r="Z38">
            <v>181705.05617415908</v>
          </cell>
          <cell r="AA38">
            <v>84.839483451955303</v>
          </cell>
          <cell r="AD38">
            <v>30.384994337485846</v>
          </cell>
        </row>
        <row r="39">
          <cell r="A39">
            <v>46230</v>
          </cell>
          <cell r="B39">
            <v>84.864000000000004</v>
          </cell>
          <cell r="C39">
            <v>84.864000000000004</v>
          </cell>
          <cell r="D39">
            <v>181816.52235904001</v>
          </cell>
          <cell r="E39">
            <v>839.423</v>
          </cell>
          <cell r="F39">
            <v>0</v>
          </cell>
          <cell r="G39">
            <v>0</v>
          </cell>
          <cell r="H39">
            <v>296</v>
          </cell>
          <cell r="I39">
            <v>1135.423</v>
          </cell>
          <cell r="J39">
            <v>24</v>
          </cell>
          <cell r="K39" t="str">
            <v>InnerGate</v>
          </cell>
          <cell r="L39">
            <v>10</v>
          </cell>
          <cell r="M39" t="str">
            <v>TA+CCL50%</v>
          </cell>
          <cell r="N39">
            <v>3218.0946448749182</v>
          </cell>
          <cell r="O39">
            <v>333.53444781923503</v>
          </cell>
          <cell r="P39">
            <v>159</v>
          </cell>
          <cell r="Q39">
            <v>0</v>
          </cell>
          <cell r="S39">
            <v>0</v>
          </cell>
          <cell r="T39">
            <v>252.161</v>
          </cell>
          <cell r="V39">
            <v>0</v>
          </cell>
          <cell r="W39">
            <v>0</v>
          </cell>
          <cell r="X39">
            <v>3962.7900926941534</v>
          </cell>
          <cell r="Y39">
            <v>-244.28451680877484</v>
          </cell>
          <cell r="Z39">
            <v>181572.23784223123</v>
          </cell>
          <cell r="AA39">
            <v>84.810260785938823</v>
          </cell>
          <cell r="AD39">
            <v>23.766223103057758</v>
          </cell>
        </row>
        <row r="40">
          <cell r="A40">
            <v>46231</v>
          </cell>
          <cell r="B40">
            <v>84.811999999999998</v>
          </cell>
          <cell r="C40">
            <v>84.811999999999998</v>
          </cell>
          <cell r="D40">
            <v>181580.14129256</v>
          </cell>
          <cell r="E40">
            <v>2723.377</v>
          </cell>
          <cell r="F40">
            <v>0</v>
          </cell>
          <cell r="G40">
            <v>0</v>
          </cell>
          <cell r="H40">
            <v>296</v>
          </cell>
          <cell r="I40">
            <v>3019.377</v>
          </cell>
          <cell r="J40">
            <v>24</v>
          </cell>
          <cell r="K40" t="str">
            <v>XFILL_PMG50%</v>
          </cell>
          <cell r="L40">
            <v>10</v>
          </cell>
          <cell r="M40" t="str">
            <v>TA+CCL50%</v>
          </cell>
          <cell r="N40">
            <v>2960.6970832297652</v>
          </cell>
          <cell r="O40">
            <v>256.19455287680154</v>
          </cell>
          <cell r="P40">
            <v>159</v>
          </cell>
          <cell r="Q40">
            <v>0</v>
          </cell>
          <cell r="S40">
            <v>0</v>
          </cell>
          <cell r="T40">
            <v>252.161</v>
          </cell>
          <cell r="V40">
            <v>0</v>
          </cell>
          <cell r="W40">
            <v>0</v>
          </cell>
          <cell r="X40">
            <v>3628.0526361065668</v>
          </cell>
          <cell r="Y40">
            <v>-52.589574959607376</v>
          </cell>
          <cell r="Z40">
            <v>181527.55171760041</v>
          </cell>
          <cell r="AA40">
            <v>84.800426555580714</v>
          </cell>
          <cell r="AD40">
            <v>77.105804077010191</v>
          </cell>
        </row>
        <row r="41">
          <cell r="A41">
            <v>46232</v>
          </cell>
          <cell r="B41">
            <v>84.747</v>
          </cell>
          <cell r="C41">
            <v>84.747</v>
          </cell>
          <cell r="D41">
            <v>181284.88067528501</v>
          </cell>
          <cell r="E41">
            <v>1781.4</v>
          </cell>
          <cell r="F41">
            <v>0</v>
          </cell>
          <cell r="G41">
            <v>0</v>
          </cell>
          <cell r="H41">
            <v>296</v>
          </cell>
          <cell r="I41">
            <v>2077.4</v>
          </cell>
          <cell r="J41">
            <v>24</v>
          </cell>
          <cell r="K41" t="str">
            <v>InnerGate</v>
          </cell>
          <cell r="L41">
            <v>10</v>
          </cell>
          <cell r="M41" t="str">
            <v>TA+CCL50%</v>
          </cell>
          <cell r="N41">
            <v>3206.919009385324</v>
          </cell>
          <cell r="O41">
            <v>464.09773206502507</v>
          </cell>
          <cell r="P41">
            <v>159</v>
          </cell>
          <cell r="Q41">
            <v>0</v>
          </cell>
          <cell r="S41">
            <v>0</v>
          </cell>
          <cell r="T41">
            <v>252.161</v>
          </cell>
          <cell r="V41">
            <v>0</v>
          </cell>
          <cell r="W41">
            <v>0</v>
          </cell>
          <cell r="X41">
            <v>4082.177741450349</v>
          </cell>
          <cell r="Y41">
            <v>-173.21279686131015</v>
          </cell>
          <cell r="Z41">
            <v>181111.6678784237</v>
          </cell>
          <cell r="AA41">
            <v>84.708843577551505</v>
          </cell>
          <cell r="AD41">
            <v>50.43601359003398</v>
          </cell>
        </row>
        <row r="42">
          <cell r="A42">
            <v>46233</v>
          </cell>
          <cell r="B42">
            <v>84.715999999999994</v>
          </cell>
          <cell r="C42">
            <v>84.715999999999994</v>
          </cell>
          <cell r="D42">
            <v>181144.14848743993</v>
          </cell>
          <cell r="E42">
            <v>1582.0039999999999</v>
          </cell>
          <cell r="F42">
            <v>0</v>
          </cell>
          <cell r="G42">
            <v>0</v>
          </cell>
          <cell r="H42">
            <v>296</v>
          </cell>
          <cell r="I42">
            <v>1878.0039999999999</v>
          </cell>
          <cell r="J42">
            <v>24</v>
          </cell>
          <cell r="K42" t="str">
            <v>XFILL_PMG50%</v>
          </cell>
          <cell r="L42">
            <v>10</v>
          </cell>
          <cell r="M42" t="str">
            <v>TA+CCL50%</v>
          </cell>
          <cell r="N42">
            <v>2952.3263567113372</v>
          </cell>
          <cell r="O42">
            <v>421.66878786881927</v>
          </cell>
          <cell r="P42">
            <v>159</v>
          </cell>
          <cell r="Q42">
            <v>0</v>
          </cell>
          <cell r="S42">
            <v>0</v>
          </cell>
          <cell r="T42">
            <v>252.161</v>
          </cell>
          <cell r="V42">
            <v>0</v>
          </cell>
          <cell r="W42">
            <v>0</v>
          </cell>
          <cell r="X42">
            <v>3785.1561445801567</v>
          </cell>
          <cell r="Y42">
            <v>-164.77794529172556</v>
          </cell>
          <cell r="Z42">
            <v>180979.37054214822</v>
          </cell>
          <cell r="AA42">
            <v>84.679688011731557</v>
          </cell>
          <cell r="AD42">
            <v>44.790600226500565</v>
          </cell>
        </row>
        <row r="43">
          <cell r="A43">
            <v>46234</v>
          </cell>
          <cell r="B43">
            <v>84.653000000000006</v>
          </cell>
          <cell r="C43">
            <v>84.653000000000006</v>
          </cell>
          <cell r="D43">
            <v>180858.312341285</v>
          </cell>
          <cell r="E43">
            <v>1351.6659999999999</v>
          </cell>
          <cell r="F43">
            <v>0</v>
          </cell>
          <cell r="G43">
            <v>0</v>
          </cell>
          <cell r="H43">
            <v>0</v>
          </cell>
          <cell r="I43">
            <v>1351.6659999999999</v>
          </cell>
          <cell r="J43">
            <v>24</v>
          </cell>
          <cell r="K43" t="str">
            <v>InnerGate</v>
          </cell>
          <cell r="L43">
            <v>10</v>
          </cell>
          <cell r="M43" t="str">
            <v>TA+CCL50%</v>
          </cell>
          <cell r="N43">
            <v>3197.9402936928304</v>
          </cell>
          <cell r="O43">
            <v>629.16772515601951</v>
          </cell>
          <cell r="P43">
            <v>159</v>
          </cell>
          <cell r="Q43">
            <v>0</v>
          </cell>
          <cell r="S43">
            <v>0</v>
          </cell>
          <cell r="T43">
            <v>252.161</v>
          </cell>
          <cell r="V43">
            <v>0</v>
          </cell>
          <cell r="W43">
            <v>0</v>
          </cell>
          <cell r="X43">
            <v>4238.2690188488505</v>
          </cell>
          <cell r="Y43">
            <v>-249.40250082854067</v>
          </cell>
          <cell r="Z43">
            <v>180608.90984045644</v>
          </cell>
          <cell r="AA43">
            <v>84.597989608298136</v>
          </cell>
          <cell r="AD43">
            <v>38.269139297848241</v>
          </cell>
        </row>
        <row r="44">
          <cell r="A44">
            <v>46235</v>
          </cell>
          <cell r="B44">
            <v>84.594999999999999</v>
          </cell>
          <cell r="C44">
            <v>84.594999999999999</v>
          </cell>
          <cell r="D44">
            <v>180595.36066912499</v>
          </cell>
          <cell r="E44">
            <v>2338.67</v>
          </cell>
          <cell r="F44">
            <v>0</v>
          </cell>
          <cell r="G44">
            <v>0</v>
          </cell>
          <cell r="H44">
            <v>0</v>
          </cell>
          <cell r="I44">
            <v>2338.67</v>
          </cell>
          <cell r="J44">
            <v>24</v>
          </cell>
          <cell r="K44" t="str">
            <v>XFILL_PMG100%</v>
          </cell>
          <cell r="L44">
            <v>10</v>
          </cell>
          <cell r="M44" t="str">
            <v>TA+CCL100%</v>
          </cell>
          <cell r="N44">
            <v>2513.5436836868826</v>
          </cell>
          <cell r="O44">
            <v>591.22371249355899</v>
          </cell>
          <cell r="P44">
            <v>159</v>
          </cell>
          <cell r="Q44">
            <v>0</v>
          </cell>
          <cell r="S44">
            <v>0</v>
          </cell>
          <cell r="T44">
            <v>252.161</v>
          </cell>
          <cell r="V44">
            <v>0</v>
          </cell>
          <cell r="W44">
            <v>0</v>
          </cell>
          <cell r="X44">
            <v>3515.9283961804417</v>
          </cell>
          <cell r="Y44">
            <v>-101.71512542999015</v>
          </cell>
          <cell r="Z44">
            <v>180493.64554369499</v>
          </cell>
          <cell r="AA44">
            <v>84.572553106826931</v>
          </cell>
          <cell r="AD44">
            <v>66.213759909399769</v>
          </cell>
        </row>
        <row r="45">
          <cell r="A45">
            <v>46236</v>
          </cell>
          <cell r="B45">
            <v>84.548000000000002</v>
          </cell>
          <cell r="C45">
            <v>84.548000000000002</v>
          </cell>
          <cell r="D45">
            <v>180382.41912296001</v>
          </cell>
          <cell r="E45">
            <v>1628.4949999999999</v>
          </cell>
          <cell r="F45">
            <v>0</v>
          </cell>
          <cell r="G45">
            <v>0</v>
          </cell>
          <cell r="H45">
            <v>0</v>
          </cell>
          <cell r="I45">
            <v>1628.4949999999999</v>
          </cell>
          <cell r="J45">
            <v>24</v>
          </cell>
          <cell r="K45" t="str">
            <v>XFILL_PMG100%</v>
          </cell>
          <cell r="L45">
            <v>10</v>
          </cell>
          <cell r="M45" t="str">
            <v>TA+CCL100%</v>
          </cell>
          <cell r="N45">
            <v>2509.988960543119</v>
          </cell>
          <cell r="O45">
            <v>593.63633720282076</v>
          </cell>
          <cell r="P45">
            <v>159</v>
          </cell>
          <cell r="Q45">
            <v>0</v>
          </cell>
          <cell r="S45">
            <v>0</v>
          </cell>
          <cell r="T45">
            <v>252.161</v>
          </cell>
          <cell r="V45">
            <v>0</v>
          </cell>
          <cell r="W45">
            <v>0</v>
          </cell>
          <cell r="X45">
            <v>3514.7862977459399</v>
          </cell>
          <cell r="Y45">
            <v>-162.9755681252492</v>
          </cell>
          <cell r="Z45">
            <v>180219.44355483475</v>
          </cell>
          <cell r="AA45">
            <v>84.512009683544974</v>
          </cell>
          <cell r="AD45">
            <v>46.106879954699885</v>
          </cell>
        </row>
        <row r="46">
          <cell r="A46">
            <v>46237</v>
          </cell>
          <cell r="B46">
            <v>84.513000000000005</v>
          </cell>
          <cell r="C46">
            <v>84.513000000000005</v>
          </cell>
          <cell r="D46">
            <v>180223.92703868501</v>
          </cell>
          <cell r="E46">
            <v>1146.501</v>
          </cell>
          <cell r="F46">
            <v>0</v>
          </cell>
          <cell r="G46">
            <v>0</v>
          </cell>
          <cell r="H46">
            <v>0</v>
          </cell>
          <cell r="I46">
            <v>1146.501</v>
          </cell>
          <cell r="J46">
            <v>24</v>
          </cell>
          <cell r="K46" t="str">
            <v>XFILL_PMG100%</v>
          </cell>
          <cell r="L46">
            <v>10</v>
          </cell>
          <cell r="M46" t="str">
            <v>TA+CCL100%</v>
          </cell>
          <cell r="N46">
            <v>2507.3418262871264</v>
          </cell>
          <cell r="O46">
            <v>548.58927566814157</v>
          </cell>
          <cell r="P46">
            <v>159</v>
          </cell>
          <cell r="Q46">
            <v>0</v>
          </cell>
          <cell r="S46">
            <v>0</v>
          </cell>
          <cell r="T46">
            <v>252.161</v>
          </cell>
          <cell r="V46">
            <v>0</v>
          </cell>
          <cell r="W46">
            <v>0</v>
          </cell>
          <cell r="X46">
            <v>3467.0921019552679</v>
          </cell>
          <cell r="Y46">
            <v>-200.49907120893511</v>
          </cell>
          <cell r="Z46">
            <v>180023.42796747608</v>
          </cell>
          <cell r="AA46">
            <v>84.468701542169484</v>
          </cell>
          <cell r="AD46">
            <v>32.460390713476784</v>
          </cell>
        </row>
        <row r="47">
          <cell r="A47">
            <v>46238</v>
          </cell>
          <cell r="B47">
            <v>84.492999999999995</v>
          </cell>
          <cell r="C47">
            <v>84.492999999999995</v>
          </cell>
          <cell r="D47">
            <v>180133.39133488497</v>
          </cell>
          <cell r="E47">
            <v>1122.4010000000001</v>
          </cell>
          <cell r="F47">
            <v>0</v>
          </cell>
          <cell r="G47">
            <v>0</v>
          </cell>
          <cell r="H47">
            <v>0</v>
          </cell>
          <cell r="I47">
            <v>1122.4010000000001</v>
          </cell>
          <cell r="J47">
            <v>24</v>
          </cell>
          <cell r="K47" t="str">
            <v>XFILL_PMG100%</v>
          </cell>
          <cell r="L47">
            <v>10</v>
          </cell>
          <cell r="M47" t="str">
            <v>TA+CCL100%</v>
          </cell>
          <cell r="N47">
            <v>2505.8291781408429</v>
          </cell>
          <cell r="O47">
            <v>516.33980488887028</v>
          </cell>
          <cell r="P47">
            <v>159</v>
          </cell>
          <cell r="Q47">
            <v>0</v>
          </cell>
          <cell r="S47">
            <v>0</v>
          </cell>
          <cell r="T47">
            <v>252.161</v>
          </cell>
          <cell r="V47">
            <v>0</v>
          </cell>
          <cell r="W47">
            <v>0</v>
          </cell>
          <cell r="X47">
            <v>3433.3299830297133</v>
          </cell>
          <cell r="Y47">
            <v>-199.66426413376718</v>
          </cell>
          <cell r="Z47">
            <v>179933.72707075122</v>
          </cell>
          <cell r="AA47">
            <v>84.448874971962027</v>
          </cell>
          <cell r="AD47">
            <v>31.778057757644397</v>
          </cell>
        </row>
        <row r="48">
          <cell r="A48">
            <v>46239</v>
          </cell>
          <cell r="B48">
            <v>84.507999999999996</v>
          </cell>
          <cell r="C48">
            <v>84.507999999999996</v>
          </cell>
          <cell r="D48">
            <v>180201.29098535998</v>
          </cell>
          <cell r="E48">
            <v>995.87699999999995</v>
          </cell>
          <cell r="F48">
            <v>0</v>
          </cell>
          <cell r="G48">
            <v>0</v>
          </cell>
          <cell r="H48">
            <v>0</v>
          </cell>
          <cell r="I48">
            <v>995.87699999999995</v>
          </cell>
          <cell r="J48">
            <v>24</v>
          </cell>
          <cell r="K48" t="str">
            <v>XFILL_PMG100%</v>
          </cell>
          <cell r="L48">
            <v>10</v>
          </cell>
          <cell r="M48" t="str">
            <v>TA+CCL100%</v>
          </cell>
          <cell r="N48">
            <v>2506.9636642505548</v>
          </cell>
          <cell r="O48">
            <v>727.38835183084973</v>
          </cell>
          <cell r="P48">
            <v>159</v>
          </cell>
          <cell r="Q48">
            <v>0</v>
          </cell>
          <cell r="S48">
            <v>0</v>
          </cell>
          <cell r="T48">
            <v>252.161</v>
          </cell>
          <cell r="V48">
            <v>0</v>
          </cell>
          <cell r="W48">
            <v>0</v>
          </cell>
          <cell r="X48">
            <v>3645.5130160814047</v>
          </cell>
          <cell r="Y48">
            <v>-228.92855178943336</v>
          </cell>
          <cell r="Z48">
            <v>179972.36243357055</v>
          </cell>
          <cell r="AA48">
            <v>84.457415142328458</v>
          </cell>
          <cell r="AD48">
            <v>28.19583805209513</v>
          </cell>
        </row>
        <row r="49">
          <cell r="A49">
            <v>46240</v>
          </cell>
          <cell r="B49">
            <v>84.512</v>
          </cell>
          <cell r="C49">
            <v>84.512</v>
          </cell>
          <cell r="D49">
            <v>180219.39971455999</v>
          </cell>
          <cell r="E49">
            <v>977.2</v>
          </cell>
          <cell r="F49">
            <v>0</v>
          </cell>
          <cell r="G49">
            <v>0</v>
          </cell>
          <cell r="H49">
            <v>0</v>
          </cell>
          <cell r="I49">
            <v>977.2</v>
          </cell>
          <cell r="J49">
            <v>24</v>
          </cell>
          <cell r="K49" t="str">
            <v>XFILL_PMG100%</v>
          </cell>
          <cell r="L49">
            <v>10</v>
          </cell>
          <cell r="M49" t="str">
            <v>TA+CCL100%</v>
          </cell>
          <cell r="N49">
            <v>2507.266193879811</v>
          </cell>
          <cell r="O49">
            <v>662.0553261556795</v>
          </cell>
          <cell r="P49">
            <v>159</v>
          </cell>
          <cell r="Q49">
            <v>0</v>
          </cell>
          <cell r="S49">
            <v>0</v>
          </cell>
          <cell r="T49">
            <v>252.161</v>
          </cell>
          <cell r="V49">
            <v>0</v>
          </cell>
          <cell r="W49">
            <v>0</v>
          </cell>
          <cell r="X49">
            <v>3580.4825200354908</v>
          </cell>
          <cell r="Y49">
            <v>-224.92360973106639</v>
          </cell>
          <cell r="Z49">
            <v>179994.47610482891</v>
          </cell>
          <cell r="AA49">
            <v>84.462302856780994</v>
          </cell>
          <cell r="AD49">
            <v>27.66704416761042</v>
          </cell>
        </row>
        <row r="50">
          <cell r="A50">
            <v>46241</v>
          </cell>
          <cell r="B50">
            <v>84.483000000000004</v>
          </cell>
          <cell r="C50">
            <v>84.483000000000004</v>
          </cell>
          <cell r="D50">
            <v>180088.13199248502</v>
          </cell>
          <cell r="E50">
            <v>907.91399999999999</v>
          </cell>
          <cell r="F50">
            <v>0</v>
          </cell>
          <cell r="G50">
            <v>0</v>
          </cell>
          <cell r="H50">
            <v>0</v>
          </cell>
          <cell r="I50">
            <v>907.91399999999999</v>
          </cell>
          <cell r="J50">
            <v>24</v>
          </cell>
          <cell r="K50" t="str">
            <v>XFILL_PMG100%</v>
          </cell>
          <cell r="L50">
            <v>10</v>
          </cell>
          <cell r="M50" t="str">
            <v>TA+CCL100%</v>
          </cell>
          <cell r="N50">
            <v>2505.0728540677019</v>
          </cell>
          <cell r="O50">
            <v>542.13154175588647</v>
          </cell>
          <cell r="P50">
            <v>159</v>
          </cell>
          <cell r="Q50">
            <v>0</v>
          </cell>
          <cell r="S50">
            <v>0</v>
          </cell>
          <cell r="T50">
            <v>252.161</v>
          </cell>
          <cell r="V50">
            <v>0</v>
          </cell>
          <cell r="W50">
            <v>0</v>
          </cell>
          <cell r="X50">
            <v>3458.3653958235882</v>
          </cell>
          <cell r="Y50">
            <v>-220.35900059915804</v>
          </cell>
          <cell r="Z50">
            <v>179867.77299188587</v>
          </cell>
          <cell r="AA50">
            <v>84.434294010496174</v>
          </cell>
          <cell r="AD50">
            <v>25.70537938844847</v>
          </cell>
        </row>
        <row r="51">
          <cell r="A51">
            <v>46242</v>
          </cell>
          <cell r="B51">
            <v>84.427999999999997</v>
          </cell>
          <cell r="C51">
            <v>84.427999999999997</v>
          </cell>
          <cell r="D51">
            <v>179839.30701415997</v>
          </cell>
          <cell r="E51">
            <v>1091.203</v>
          </cell>
          <cell r="F51">
            <v>0</v>
          </cell>
          <cell r="G51">
            <v>0</v>
          </cell>
          <cell r="H51">
            <v>0</v>
          </cell>
          <cell r="I51">
            <v>1091.203</v>
          </cell>
          <cell r="J51">
            <v>24</v>
          </cell>
          <cell r="K51" t="str">
            <v>XFILL_PMG100%</v>
          </cell>
          <cell r="L51">
            <v>10</v>
          </cell>
          <cell r="M51" t="str">
            <v>TA+CCL100%</v>
          </cell>
          <cell r="N51">
            <v>2500.9130716654263</v>
          </cell>
          <cell r="O51">
            <v>732.05408554447797</v>
          </cell>
          <cell r="P51">
            <v>159</v>
          </cell>
          <cell r="Q51">
            <v>0</v>
          </cell>
          <cell r="S51">
            <v>0</v>
          </cell>
          <cell r="T51">
            <v>252.161</v>
          </cell>
          <cell r="V51">
            <v>0</v>
          </cell>
          <cell r="W51">
            <v>0</v>
          </cell>
          <cell r="X51">
            <v>3644.1281572099042</v>
          </cell>
          <cell r="Y51">
            <v>-220.57273358293571</v>
          </cell>
          <cell r="Z51">
            <v>179618.73428057705</v>
          </cell>
          <cell r="AA51">
            <v>84.379213098552157</v>
          </cell>
          <cell r="AD51">
            <v>30.894762174405436</v>
          </cell>
        </row>
        <row r="52">
          <cell r="A52">
            <v>46243</v>
          </cell>
          <cell r="B52">
            <v>84.4</v>
          </cell>
          <cell r="C52">
            <v>84.4</v>
          </cell>
          <cell r="D52">
            <v>179712.69840000002</v>
          </cell>
          <cell r="E52">
            <v>1289.846</v>
          </cell>
          <cell r="F52">
            <v>0</v>
          </cell>
          <cell r="G52">
            <v>0</v>
          </cell>
          <cell r="H52">
            <v>0</v>
          </cell>
          <cell r="I52">
            <v>1289.846</v>
          </cell>
          <cell r="J52">
            <v>24</v>
          </cell>
          <cell r="K52" t="str">
            <v>XFILL_PMG100%</v>
          </cell>
          <cell r="L52">
            <v>10</v>
          </cell>
          <cell r="M52" t="str">
            <v>TA+CCL100%</v>
          </cell>
          <cell r="N52">
            <v>2498.7953642606317</v>
          </cell>
          <cell r="O52">
            <v>597.25044952092662</v>
          </cell>
          <cell r="P52">
            <v>159</v>
          </cell>
          <cell r="Q52">
            <v>0</v>
          </cell>
          <cell r="S52">
            <v>0</v>
          </cell>
          <cell r="T52">
            <v>252.161</v>
          </cell>
          <cell r="V52">
            <v>0</v>
          </cell>
          <cell r="W52">
            <v>0</v>
          </cell>
          <cell r="X52">
            <v>3507.2068137815586</v>
          </cell>
          <cell r="Y52">
            <v>-191.57997431072664</v>
          </cell>
          <cell r="Z52">
            <v>179521.11842568929</v>
          </cell>
          <cell r="AA52">
            <v>84.357612608733049</v>
          </cell>
          <cell r="AD52">
            <v>36.518856172140431</v>
          </cell>
        </row>
        <row r="53">
          <cell r="A53">
            <v>46244</v>
          </cell>
          <cell r="B53">
            <v>84.328000000000003</v>
          </cell>
          <cell r="C53">
            <v>84.328000000000003</v>
          </cell>
          <cell r="D53">
            <v>179387.33762016002</v>
          </cell>
          <cell r="E53">
            <v>2484.681</v>
          </cell>
          <cell r="F53">
            <v>0</v>
          </cell>
          <cell r="G53">
            <v>0</v>
          </cell>
          <cell r="H53">
            <v>0</v>
          </cell>
          <cell r="I53">
            <v>2484.681</v>
          </cell>
          <cell r="J53">
            <v>24</v>
          </cell>
          <cell r="K53" t="str">
            <v>XFILL_PMG100%</v>
          </cell>
          <cell r="L53">
            <v>10</v>
          </cell>
          <cell r="M53" t="str">
            <v>TA+CCL100%</v>
          </cell>
          <cell r="N53">
            <v>2493.3498309340157</v>
          </cell>
          <cell r="O53">
            <v>527.48528314883981</v>
          </cell>
          <cell r="P53">
            <v>159</v>
          </cell>
          <cell r="Q53">
            <v>0</v>
          </cell>
          <cell r="S53">
            <v>0</v>
          </cell>
          <cell r="T53">
            <v>252.161</v>
          </cell>
          <cell r="V53">
            <v>0</v>
          </cell>
          <cell r="W53">
            <v>0</v>
          </cell>
          <cell r="X53">
            <v>3431.9961140828555</v>
          </cell>
          <cell r="Y53">
            <v>-81.84802585675871</v>
          </cell>
          <cell r="Z53">
            <v>179305.48959430325</v>
          </cell>
          <cell r="AA53">
            <v>84.309877368755963</v>
          </cell>
          <cell r="AD53">
            <v>70.347706681766709</v>
          </cell>
        </row>
        <row r="54">
          <cell r="A54">
            <v>46245</v>
          </cell>
          <cell r="B54">
            <v>84.268000000000001</v>
          </cell>
          <cell r="C54">
            <v>84.268000000000001</v>
          </cell>
          <cell r="D54">
            <v>179116.42828775998</v>
          </cell>
          <cell r="E54">
            <v>2130.7440000000001</v>
          </cell>
          <cell r="F54">
            <v>0</v>
          </cell>
          <cell r="G54">
            <v>0</v>
          </cell>
          <cell r="H54">
            <v>0</v>
          </cell>
          <cell r="I54">
            <v>2130.7440000000001</v>
          </cell>
          <cell r="J54">
            <v>24</v>
          </cell>
          <cell r="K54" t="str">
            <v>XFILL_PMG100%</v>
          </cell>
          <cell r="L54">
            <v>10</v>
          </cell>
          <cell r="M54" t="str">
            <v>TA+CCL100%</v>
          </cell>
          <cell r="N54">
            <v>2488.8118864951693</v>
          </cell>
          <cell r="O54">
            <v>552.83838894327403</v>
          </cell>
          <cell r="P54">
            <v>159</v>
          </cell>
          <cell r="Q54">
            <v>0</v>
          </cell>
          <cell r="S54">
            <v>0</v>
          </cell>
          <cell r="T54">
            <v>252.161</v>
          </cell>
          <cell r="V54">
            <v>0</v>
          </cell>
          <cell r="W54">
            <v>0</v>
          </cell>
          <cell r="X54">
            <v>3452.8112754384433</v>
          </cell>
          <cell r="Y54">
            <v>-114.22661259788148</v>
          </cell>
          <cell r="Z54">
            <v>179002.2016751621</v>
          </cell>
          <cell r="AA54">
            <v>84.242687945159261</v>
          </cell>
          <cell r="AD54">
            <v>60.326840317100796</v>
          </cell>
        </row>
        <row r="55">
          <cell r="A55">
            <v>46246</v>
          </cell>
          <cell r="B55">
            <v>84.218000000000004</v>
          </cell>
          <cell r="C55">
            <v>84.218000000000004</v>
          </cell>
          <cell r="D55">
            <v>178890.82651826</v>
          </cell>
          <cell r="E55">
            <v>3867.1750000000002</v>
          </cell>
          <cell r="F55">
            <v>0</v>
          </cell>
          <cell r="G55">
            <v>0</v>
          </cell>
          <cell r="H55">
            <v>0</v>
          </cell>
          <cell r="I55">
            <v>3867.1750000000002</v>
          </cell>
          <cell r="J55">
            <v>24</v>
          </cell>
          <cell r="K55" t="str">
            <v>XFILL_PMG100%</v>
          </cell>
          <cell r="L55">
            <v>10</v>
          </cell>
          <cell r="M55" t="str">
            <v>TA+CCL100%</v>
          </cell>
          <cell r="N55">
            <v>2485.0302661294636</v>
          </cell>
          <cell r="O55">
            <v>662.3289014599311</v>
          </cell>
          <cell r="P55">
            <v>159</v>
          </cell>
          <cell r="Q55">
            <v>0</v>
          </cell>
          <cell r="S55">
            <v>0</v>
          </cell>
          <cell r="T55">
            <v>252.161</v>
          </cell>
          <cell r="V55">
            <v>0</v>
          </cell>
          <cell r="W55">
            <v>0</v>
          </cell>
          <cell r="X55">
            <v>3558.520167589395</v>
          </cell>
          <cell r="Y55">
            <v>26.667777520276289</v>
          </cell>
          <cell r="Z55">
            <v>178917.49429578029</v>
          </cell>
          <cell r="AA55">
            <v>84.223912003897709</v>
          </cell>
          <cell r="AD55">
            <v>109.48966591166479</v>
          </cell>
        </row>
        <row r="56">
          <cell r="A56">
            <v>46247</v>
          </cell>
          <cell r="B56">
            <v>84.168999999999997</v>
          </cell>
          <cell r="C56">
            <v>84.168999999999997</v>
          </cell>
          <cell r="D56">
            <v>178669.87438276497</v>
          </cell>
          <cell r="E56">
            <v>1118.816</v>
          </cell>
          <cell r="F56">
            <v>0</v>
          </cell>
          <cell r="G56">
            <v>0</v>
          </cell>
          <cell r="H56">
            <v>0</v>
          </cell>
          <cell r="I56">
            <v>1118.816</v>
          </cell>
          <cell r="J56">
            <v>24</v>
          </cell>
          <cell r="K56" t="str">
            <v>XFILL_PMG100%</v>
          </cell>
          <cell r="L56">
            <v>10</v>
          </cell>
          <cell r="M56" t="str">
            <v>TA+CCL100%</v>
          </cell>
          <cell r="N56">
            <v>2481.3242781710715</v>
          </cell>
          <cell r="O56">
            <v>882.71659560772389</v>
          </cell>
          <cell r="P56">
            <v>159</v>
          </cell>
          <cell r="Q56">
            <v>0</v>
          </cell>
          <cell r="S56">
            <v>0</v>
          </cell>
          <cell r="T56">
            <v>252.161</v>
          </cell>
          <cell r="V56">
            <v>0</v>
          </cell>
          <cell r="W56">
            <v>0</v>
          </cell>
          <cell r="X56">
            <v>3775.2018737787953</v>
          </cell>
          <cell r="Y56">
            <v>-229.5117394944879</v>
          </cell>
          <cell r="Z56">
            <v>178440.36264327049</v>
          </cell>
          <cell r="AA56">
            <v>84.118069743122845</v>
          </cell>
          <cell r="AD56">
            <v>31.67655719139298</v>
          </cell>
        </row>
        <row r="57">
          <cell r="A57">
            <v>46248</v>
          </cell>
          <cell r="B57">
            <v>84.123000000000005</v>
          </cell>
          <cell r="C57">
            <v>84.123000000000005</v>
          </cell>
          <cell r="D57">
            <v>178462.57388408502</v>
          </cell>
          <cell r="E57">
            <v>793.38400000000001</v>
          </cell>
          <cell r="F57">
            <v>0</v>
          </cell>
          <cell r="G57">
            <v>0</v>
          </cell>
          <cell r="H57">
            <v>0</v>
          </cell>
          <cell r="I57">
            <v>793.38400000000001</v>
          </cell>
          <cell r="J57">
            <v>24</v>
          </cell>
          <cell r="K57" t="str">
            <v>XFILL_PMG100%</v>
          </cell>
          <cell r="L57">
            <v>10</v>
          </cell>
          <cell r="M57" t="str">
            <v>TA+CCL100%</v>
          </cell>
          <cell r="N57">
            <v>2477.8451874346238</v>
          </cell>
          <cell r="O57">
            <v>841.01160548389555</v>
          </cell>
          <cell r="P57">
            <v>159</v>
          </cell>
          <cell r="Q57">
            <v>0</v>
          </cell>
          <cell r="S57">
            <v>0</v>
          </cell>
          <cell r="T57">
            <v>252.161</v>
          </cell>
          <cell r="V57">
            <v>0</v>
          </cell>
          <cell r="W57">
            <v>0</v>
          </cell>
          <cell r="X57">
            <v>3730.0177929185193</v>
          </cell>
          <cell r="Y57">
            <v>-253.72515970816005</v>
          </cell>
          <cell r="Z57">
            <v>178208.84872437688</v>
          </cell>
          <cell r="AA57">
            <v>84.066662074157392</v>
          </cell>
          <cell r="AD57">
            <v>22.462740656851643</v>
          </cell>
        </row>
        <row r="58">
          <cell r="A58">
            <v>46249</v>
          </cell>
          <cell r="B58">
            <v>84.063000000000002</v>
          </cell>
          <cell r="C58">
            <v>84.063000000000002</v>
          </cell>
          <cell r="D58">
            <v>178192.36233068499</v>
          </cell>
          <cell r="E58">
            <v>1600.626</v>
          </cell>
          <cell r="F58">
            <v>0</v>
          </cell>
          <cell r="G58">
            <v>0</v>
          </cell>
          <cell r="H58">
            <v>0</v>
          </cell>
          <cell r="I58">
            <v>1600.626</v>
          </cell>
          <cell r="J58">
            <v>24</v>
          </cell>
          <cell r="K58" t="str">
            <v>XFILL_PMG100%</v>
          </cell>
          <cell r="L58">
            <v>10</v>
          </cell>
          <cell r="M58" t="str">
            <v>TA+CCL100%</v>
          </cell>
          <cell r="N58">
            <v>2473.3072429957765</v>
          </cell>
          <cell r="O58">
            <v>738.15798017016493</v>
          </cell>
          <cell r="P58">
            <v>159</v>
          </cell>
          <cell r="Q58">
            <v>0</v>
          </cell>
          <cell r="S58">
            <v>0</v>
          </cell>
          <cell r="T58">
            <v>252.161</v>
          </cell>
          <cell r="V58">
            <v>0</v>
          </cell>
          <cell r="W58">
            <v>0</v>
          </cell>
          <cell r="X58">
            <v>3622.6262231659416</v>
          </cell>
          <cell r="Y58">
            <v>-174.70081928153735</v>
          </cell>
          <cell r="Z58">
            <v>178017.66151140345</v>
          </cell>
          <cell r="AA58">
            <v>84.024183831915536</v>
          </cell>
          <cell r="AD58">
            <v>45.317836919592295</v>
          </cell>
        </row>
        <row r="59">
          <cell r="A59">
            <v>46250</v>
          </cell>
          <cell r="B59">
            <v>84.024000000000001</v>
          </cell>
          <cell r="C59">
            <v>84.024000000000001</v>
          </cell>
          <cell r="D59">
            <v>178016.83433824001</v>
          </cell>
          <cell r="E59">
            <v>939.63400000000001</v>
          </cell>
          <cell r="F59">
            <v>0</v>
          </cell>
          <cell r="G59">
            <v>0</v>
          </cell>
          <cell r="H59">
            <v>0</v>
          </cell>
          <cell r="I59">
            <v>939.63400000000001</v>
          </cell>
          <cell r="J59">
            <v>24</v>
          </cell>
          <cell r="K59" t="str">
            <v>XFILL_PMG100%</v>
          </cell>
          <cell r="L59">
            <v>10</v>
          </cell>
          <cell r="M59" t="str">
            <v>TA+CCL100%</v>
          </cell>
          <cell r="N59">
            <v>2470.3575791105259</v>
          </cell>
          <cell r="O59">
            <v>796.63112091964865</v>
          </cell>
          <cell r="P59">
            <v>159</v>
          </cell>
          <cell r="Q59">
            <v>0</v>
          </cell>
          <cell r="S59">
            <v>0</v>
          </cell>
          <cell r="T59">
            <v>252.161</v>
          </cell>
          <cell r="V59">
            <v>0</v>
          </cell>
          <cell r="W59">
            <v>0</v>
          </cell>
          <cell r="X59">
            <v>3678.1497000301747</v>
          </cell>
          <cell r="Y59">
            <v>-236.60775648260707</v>
          </cell>
          <cell r="Z59">
            <v>177780.22658175739</v>
          </cell>
          <cell r="AA59">
            <v>83.971398516737693</v>
          </cell>
          <cell r="AD59">
            <v>26.603454133635335</v>
          </cell>
        </row>
        <row r="60">
          <cell r="A60">
            <v>46251</v>
          </cell>
          <cell r="B60">
            <v>84.138000000000005</v>
          </cell>
          <cell r="C60">
            <v>84.138000000000005</v>
          </cell>
          <cell r="D60">
            <v>178530.15868306003</v>
          </cell>
          <cell r="E60">
            <v>3355.1509999999998</v>
          </cell>
          <cell r="F60">
            <v>0</v>
          </cell>
          <cell r="G60">
            <v>0</v>
          </cell>
          <cell r="H60">
            <v>0</v>
          </cell>
          <cell r="I60">
            <v>3355.1509999999998</v>
          </cell>
          <cell r="J60">
            <v>24</v>
          </cell>
          <cell r="K60" t="str">
            <v>XFILL_PMG100%</v>
          </cell>
          <cell r="L60">
            <v>10</v>
          </cell>
          <cell r="M60" t="str">
            <v>TA+CCL100%</v>
          </cell>
          <cell r="N60">
            <v>2478.9796735443351</v>
          </cell>
          <cell r="O60">
            <v>616.26433306077138</v>
          </cell>
          <cell r="P60">
            <v>159</v>
          </cell>
          <cell r="Q60">
            <v>0</v>
          </cell>
          <cell r="S60">
            <v>0</v>
          </cell>
          <cell r="T60">
            <v>252.161</v>
          </cell>
          <cell r="V60">
            <v>0</v>
          </cell>
          <cell r="W60">
            <v>0</v>
          </cell>
          <cell r="X60">
            <v>3506.4050066051068</v>
          </cell>
          <cell r="Y60">
            <v>-13.06834617068124</v>
          </cell>
          <cell r="Z60">
            <v>178517.09033688935</v>
          </cell>
          <cell r="AA60">
            <v>84.135099787751329</v>
          </cell>
          <cell r="AD60">
            <v>94.992950169875414</v>
          </cell>
        </row>
        <row r="61">
          <cell r="A61">
            <v>46252</v>
          </cell>
          <cell r="B61">
            <v>84.135999999999996</v>
          </cell>
          <cell r="C61">
            <v>84.135999999999996</v>
          </cell>
          <cell r="D61">
            <v>178521.14663903997</v>
          </cell>
          <cell r="E61">
            <v>3434.2620000000002</v>
          </cell>
          <cell r="F61">
            <v>0</v>
          </cell>
          <cell r="G61">
            <v>0</v>
          </cell>
          <cell r="H61">
            <v>0</v>
          </cell>
          <cell r="I61">
            <v>3434.2620000000002</v>
          </cell>
          <cell r="J61">
            <v>24</v>
          </cell>
          <cell r="K61" t="str">
            <v>XFILL_PMG100%</v>
          </cell>
          <cell r="L61">
            <v>10</v>
          </cell>
          <cell r="M61" t="str">
            <v>TA+CCL100%</v>
          </cell>
          <cell r="N61">
            <v>2478.828408729707</v>
          </cell>
          <cell r="O61">
            <v>349.45455428073308</v>
          </cell>
          <cell r="P61">
            <v>159</v>
          </cell>
          <cell r="Q61">
            <v>0</v>
          </cell>
          <cell r="S61">
            <v>0</v>
          </cell>
          <cell r="T61">
            <v>252.161</v>
          </cell>
          <cell r="V61">
            <v>0</v>
          </cell>
          <cell r="W61">
            <v>0</v>
          </cell>
          <cell r="X61">
            <v>3239.4439630104403</v>
          </cell>
          <cell r="Y61">
            <v>16.832278395897976</v>
          </cell>
          <cell r="Z61">
            <v>178537.97891743586</v>
          </cell>
          <cell r="AA61">
            <v>84.139735466554427</v>
          </cell>
          <cell r="AD61">
            <v>97.232785956964904</v>
          </cell>
        </row>
        <row r="62">
          <cell r="A62">
            <v>46253</v>
          </cell>
          <cell r="B62">
            <v>84.094999999999999</v>
          </cell>
          <cell r="C62">
            <v>84.094999999999999</v>
          </cell>
          <cell r="D62">
            <v>178336.44974412498</v>
          </cell>
          <cell r="E62">
            <v>1295.633</v>
          </cell>
          <cell r="F62">
            <v>0</v>
          </cell>
          <cell r="G62">
            <v>0</v>
          </cell>
          <cell r="H62">
            <v>0</v>
          </cell>
          <cell r="I62">
            <v>1295.633</v>
          </cell>
          <cell r="J62">
            <v>24</v>
          </cell>
          <cell r="K62" t="str">
            <v>XFILL_PMG100%</v>
          </cell>
          <cell r="L62">
            <v>10</v>
          </cell>
          <cell r="M62" t="str">
            <v>TA+CCL100%</v>
          </cell>
          <cell r="N62">
            <v>2475.7274800298283</v>
          </cell>
          <cell r="O62">
            <v>690.37784963267131</v>
          </cell>
          <cell r="P62">
            <v>159</v>
          </cell>
          <cell r="Q62">
            <v>0</v>
          </cell>
          <cell r="S62">
            <v>0</v>
          </cell>
          <cell r="T62">
            <v>252.161</v>
          </cell>
          <cell r="V62">
            <v>0</v>
          </cell>
          <cell r="W62">
            <v>0</v>
          </cell>
          <cell r="X62">
            <v>3577.2663296624996</v>
          </cell>
          <cell r="Y62">
            <v>-197.13311968283998</v>
          </cell>
          <cell r="Z62">
            <v>178139.31662444214</v>
          </cell>
          <cell r="AA62">
            <v>84.051215966412187</v>
          </cell>
          <cell r="AD62">
            <v>36.682701019252548</v>
          </cell>
        </row>
        <row r="63">
          <cell r="A63">
            <v>46254</v>
          </cell>
          <cell r="B63">
            <v>84.051000000000002</v>
          </cell>
          <cell r="C63">
            <v>84.051000000000002</v>
          </cell>
          <cell r="D63">
            <v>178138.344527365</v>
          </cell>
          <cell r="E63">
            <v>905.35299999999995</v>
          </cell>
          <cell r="F63">
            <v>0</v>
          </cell>
          <cell r="G63">
            <v>0</v>
          </cell>
          <cell r="H63">
            <v>0</v>
          </cell>
          <cell r="I63">
            <v>905.35299999999995</v>
          </cell>
          <cell r="J63">
            <v>24</v>
          </cell>
          <cell r="K63" t="str">
            <v>XFILL_PMG100%</v>
          </cell>
          <cell r="L63">
            <v>10</v>
          </cell>
          <cell r="M63" t="str">
            <v>TA+CCL100%</v>
          </cell>
          <cell r="N63">
            <v>2472.3996541080078</v>
          </cell>
          <cell r="O63">
            <v>952.43407453303382</v>
          </cell>
          <cell r="P63">
            <v>159</v>
          </cell>
          <cell r="Q63">
            <v>0</v>
          </cell>
          <cell r="S63">
            <v>0</v>
          </cell>
          <cell r="T63">
            <v>252.161</v>
          </cell>
          <cell r="V63">
            <v>0</v>
          </cell>
          <cell r="W63">
            <v>0</v>
          </cell>
          <cell r="X63">
            <v>3835.9947286410415</v>
          </cell>
          <cell r="Y63">
            <v>-253.20744535458596</v>
          </cell>
          <cell r="Z63">
            <v>177885.13708201042</v>
          </cell>
          <cell r="AA63">
            <v>83.99472601412549</v>
          </cell>
          <cell r="AD63">
            <v>25.632870894677236</v>
          </cell>
        </row>
        <row r="64">
          <cell r="A64">
            <v>46255</v>
          </cell>
          <cell r="B64">
            <v>83.991</v>
          </cell>
          <cell r="C64">
            <v>83.991</v>
          </cell>
          <cell r="D64">
            <v>177868.37804756497</v>
          </cell>
          <cell r="E64">
            <v>934.36</v>
          </cell>
          <cell r="F64">
            <v>0</v>
          </cell>
          <cell r="G64">
            <v>0</v>
          </cell>
          <cell r="H64">
            <v>300</v>
          </cell>
          <cell r="I64">
            <v>1234.3600000000001</v>
          </cell>
          <cell r="J64">
            <v>24</v>
          </cell>
          <cell r="K64" t="str">
            <v>XFILL_PMG100%</v>
          </cell>
          <cell r="L64">
            <v>10</v>
          </cell>
          <cell r="M64" t="str">
            <v>TA+CCL100%</v>
          </cell>
          <cell r="N64">
            <v>2467.8617096691605</v>
          </cell>
          <cell r="O64">
            <v>829.32868863949068</v>
          </cell>
          <cell r="P64">
            <v>159</v>
          </cell>
          <cell r="Q64">
            <v>0</v>
          </cell>
          <cell r="S64">
            <v>0</v>
          </cell>
          <cell r="T64">
            <v>252.161</v>
          </cell>
          <cell r="V64">
            <v>0</v>
          </cell>
          <cell r="W64">
            <v>0</v>
          </cell>
          <cell r="X64">
            <v>3708.3513983086514</v>
          </cell>
          <cell r="Y64">
            <v>-213.75285681386745</v>
          </cell>
          <cell r="Z64">
            <v>177654.6251907511</v>
          </cell>
          <cell r="AA64">
            <v>83.943461238992654</v>
          </cell>
          <cell r="AD64">
            <v>26.454133635334088</v>
          </cell>
        </row>
        <row r="65">
          <cell r="A65">
            <v>46256</v>
          </cell>
          <cell r="B65">
            <v>83.971000000000004</v>
          </cell>
          <cell r="C65">
            <v>83.971000000000004</v>
          </cell>
          <cell r="D65">
            <v>177778.434604965</v>
          </cell>
          <cell r="E65">
            <v>1131.1880000000001</v>
          </cell>
          <cell r="F65">
            <v>0</v>
          </cell>
          <cell r="G65">
            <v>0</v>
          </cell>
          <cell r="H65">
            <v>300</v>
          </cell>
          <cell r="I65">
            <v>1431.1880000000001</v>
          </cell>
          <cell r="J65">
            <v>24</v>
          </cell>
          <cell r="K65" t="str">
            <v>XFILL_PMG100%</v>
          </cell>
          <cell r="L65">
            <v>10</v>
          </cell>
          <cell r="M65" t="str">
            <v>TA+CCL100%</v>
          </cell>
          <cell r="N65">
            <v>2466.3490615228789</v>
          </cell>
          <cell r="O65">
            <v>852.20373792150463</v>
          </cell>
          <cell r="P65">
            <v>159</v>
          </cell>
          <cell r="Q65">
            <v>0</v>
          </cell>
          <cell r="S65">
            <v>0</v>
          </cell>
          <cell r="T65">
            <v>252.161</v>
          </cell>
          <cell r="V65">
            <v>0</v>
          </cell>
          <cell r="W65">
            <v>0</v>
          </cell>
          <cell r="X65">
            <v>3729.7137994443838</v>
          </cell>
          <cell r="Y65">
            <v>-198.59262907199474</v>
          </cell>
          <cell r="Z65">
            <v>177579.84197589301</v>
          </cell>
          <cell r="AA65">
            <v>83.926822671827637</v>
          </cell>
          <cell r="AD65">
            <v>32.026840317100799</v>
          </cell>
        </row>
        <row r="66">
          <cell r="A66">
            <v>46257</v>
          </cell>
          <cell r="B66">
            <v>83.929000000000002</v>
          </cell>
          <cell r="C66">
            <v>83.929000000000002</v>
          </cell>
          <cell r="D66">
            <v>177589.627237965</v>
          </cell>
          <cell r="E66">
            <v>1061.816</v>
          </cell>
          <cell r="F66">
            <v>0</v>
          </cell>
          <cell r="G66">
            <v>0</v>
          </cell>
          <cell r="H66">
            <v>300</v>
          </cell>
          <cell r="I66">
            <v>1361.816</v>
          </cell>
          <cell r="J66">
            <v>24</v>
          </cell>
          <cell r="K66" t="str">
            <v>XFILL_PMG100%</v>
          </cell>
          <cell r="L66">
            <v>10</v>
          </cell>
          <cell r="M66" t="str">
            <v>TA+CCL100%</v>
          </cell>
          <cell r="N66">
            <v>2463.1725004156865</v>
          </cell>
          <cell r="O66">
            <v>759.16655123785824</v>
          </cell>
          <cell r="P66">
            <v>159</v>
          </cell>
          <cell r="Q66">
            <v>0</v>
          </cell>
          <cell r="S66">
            <v>0</v>
          </cell>
          <cell r="T66">
            <v>252.161</v>
          </cell>
          <cell r="V66">
            <v>0</v>
          </cell>
          <cell r="W66">
            <v>0</v>
          </cell>
          <cell r="X66">
            <v>3633.5000516535447</v>
          </cell>
          <cell r="Y66">
            <v>-196.27350206286627</v>
          </cell>
          <cell r="Z66">
            <v>177393.35373590214</v>
          </cell>
          <cell r="AA66">
            <v>83.885315548173921</v>
          </cell>
          <cell r="AD66">
            <v>30.062740656851641</v>
          </cell>
        </row>
        <row r="67">
          <cell r="A67">
            <v>46258</v>
          </cell>
          <cell r="B67">
            <v>83.869</v>
          </cell>
          <cell r="C67">
            <v>83.869</v>
          </cell>
          <cell r="D67">
            <v>177320.07602176498</v>
          </cell>
          <cell r="E67">
            <v>831.85299999999995</v>
          </cell>
          <cell r="F67">
            <v>0</v>
          </cell>
          <cell r="G67">
            <v>0</v>
          </cell>
          <cell r="H67">
            <v>300</v>
          </cell>
          <cell r="I67">
            <v>1131.8530000000001</v>
          </cell>
          <cell r="J67">
            <v>24</v>
          </cell>
          <cell r="K67" t="str">
            <v>XFILL_PMG100%</v>
          </cell>
          <cell r="L67">
            <v>10</v>
          </cell>
          <cell r="M67" t="str">
            <v>TA+CCL100%</v>
          </cell>
          <cell r="N67">
            <v>2458.6345559768397</v>
          </cell>
          <cell r="O67">
            <v>676.29074914519992</v>
          </cell>
          <cell r="P67">
            <v>159</v>
          </cell>
          <cell r="Q67">
            <v>0</v>
          </cell>
          <cell r="S67">
            <v>0</v>
          </cell>
          <cell r="T67">
            <v>252.161</v>
          </cell>
          <cell r="V67">
            <v>0</v>
          </cell>
          <cell r="W67">
            <v>0</v>
          </cell>
          <cell r="X67">
            <v>3546.0863051220394</v>
          </cell>
          <cell r="Y67">
            <v>-208.58975756254421</v>
          </cell>
          <cell r="Z67">
            <v>177111.48626420242</v>
          </cell>
          <cell r="AA67">
            <v>83.822538314943529</v>
          </cell>
          <cell r="AD67">
            <v>23.551896942242355</v>
          </cell>
        </row>
        <row r="68">
          <cell r="A68">
            <v>46259</v>
          </cell>
          <cell r="B68">
            <v>83.844999999999999</v>
          </cell>
          <cell r="C68">
            <v>83.844999999999999</v>
          </cell>
          <cell r="D68">
            <v>177212.31271912501</v>
          </cell>
          <cell r="E68">
            <v>2685.0790000000002</v>
          </cell>
          <cell r="F68">
            <v>0</v>
          </cell>
          <cell r="G68">
            <v>0</v>
          </cell>
          <cell r="H68">
            <v>300</v>
          </cell>
          <cell r="I68">
            <v>2985.0790000000002</v>
          </cell>
          <cell r="J68">
            <v>24</v>
          </cell>
          <cell r="K68" t="str">
            <v>XFILL_PMG100%</v>
          </cell>
          <cell r="L68">
            <v>10</v>
          </cell>
          <cell r="M68" t="str">
            <v>TA+CCL100%</v>
          </cell>
          <cell r="N68">
            <v>2456.8193782013013</v>
          </cell>
          <cell r="O68">
            <v>532.9626550706048</v>
          </cell>
          <cell r="P68">
            <v>159</v>
          </cell>
          <cell r="Q68">
            <v>0</v>
          </cell>
          <cell r="S68">
            <v>0</v>
          </cell>
          <cell r="T68">
            <v>252.161</v>
          </cell>
          <cell r="V68">
            <v>0</v>
          </cell>
          <cell r="W68">
            <v>0</v>
          </cell>
          <cell r="X68">
            <v>3400.9430332719062</v>
          </cell>
          <cell r="Y68">
            <v>-35.930652474692678</v>
          </cell>
          <cell r="Z68">
            <v>177176.38206665032</v>
          </cell>
          <cell r="AA68">
            <v>83.836996254617105</v>
          </cell>
          <cell r="AD68">
            <v>76.021489241223108</v>
          </cell>
        </row>
        <row r="69">
          <cell r="A69">
            <v>46260</v>
          </cell>
          <cell r="B69">
            <v>83.8</v>
          </cell>
          <cell r="C69">
            <v>83.8</v>
          </cell>
          <cell r="D69">
            <v>177010.34459999998</v>
          </cell>
          <cell r="E69">
            <v>1758.4659999999999</v>
          </cell>
          <cell r="F69">
            <v>0</v>
          </cell>
          <cell r="G69">
            <v>0</v>
          </cell>
          <cell r="H69">
            <v>300</v>
          </cell>
          <cell r="I69">
            <v>2058.4659999999999</v>
          </cell>
          <cell r="J69">
            <v>24</v>
          </cell>
          <cell r="K69" t="str">
            <v>XFILL_PMG100%</v>
          </cell>
          <cell r="L69">
            <v>10</v>
          </cell>
          <cell r="M69" t="str">
            <v>TA+CCL100%</v>
          </cell>
          <cell r="N69">
            <v>2453.4159198721663</v>
          </cell>
          <cell r="O69">
            <v>218.44045585827354</v>
          </cell>
          <cell r="P69">
            <v>159</v>
          </cell>
          <cell r="Q69">
            <v>0</v>
          </cell>
          <cell r="S69">
            <v>0</v>
          </cell>
          <cell r="T69">
            <v>252.161</v>
          </cell>
          <cell r="V69">
            <v>0</v>
          </cell>
          <cell r="W69">
            <v>0</v>
          </cell>
          <cell r="X69">
            <v>3083.0173757304401</v>
          </cell>
          <cell r="Y69">
            <v>-88.521238863110028</v>
          </cell>
          <cell r="Z69">
            <v>176921.82336113686</v>
          </cell>
          <cell r="AA69">
            <v>83.780268737195527</v>
          </cell>
          <cell r="AD69">
            <v>49.786693091732722</v>
          </cell>
        </row>
        <row r="70">
          <cell r="A70">
            <v>46261</v>
          </cell>
          <cell r="B70">
            <v>83.843000000000004</v>
          </cell>
          <cell r="C70">
            <v>83.843000000000004</v>
          </cell>
          <cell r="D70">
            <v>177203.33391888501</v>
          </cell>
          <cell r="E70">
            <v>1562.3219999999999</v>
          </cell>
          <cell r="F70">
            <v>0</v>
          </cell>
          <cell r="G70">
            <v>0</v>
          </cell>
          <cell r="H70">
            <v>300</v>
          </cell>
          <cell r="I70">
            <v>1862.3219999999999</v>
          </cell>
          <cell r="J70">
            <v>24</v>
          </cell>
          <cell r="K70" t="str">
            <v>XFILL_PMG100%</v>
          </cell>
          <cell r="L70">
            <v>10</v>
          </cell>
          <cell r="M70" t="str">
            <v>TA+CCL100%</v>
          </cell>
          <cell r="N70">
            <v>2456.6681133866732</v>
          </cell>
          <cell r="O70">
            <v>181.54208259773173</v>
          </cell>
          <cell r="P70">
            <v>159</v>
          </cell>
          <cell r="Q70">
            <v>0</v>
          </cell>
          <cell r="S70">
            <v>0</v>
          </cell>
          <cell r="T70">
            <v>252.161</v>
          </cell>
          <cell r="V70">
            <v>0</v>
          </cell>
          <cell r="W70">
            <v>0</v>
          </cell>
          <cell r="X70">
            <v>3049.3711959844049</v>
          </cell>
          <cell r="Y70">
            <v>-102.56105053305259</v>
          </cell>
          <cell r="Z70">
            <v>177100.77286835195</v>
          </cell>
          <cell r="AA70">
            <v>83.820151255763051</v>
          </cell>
          <cell r="AD70">
            <v>44.233352208380516</v>
          </cell>
        </row>
        <row r="71">
          <cell r="A71">
            <v>46262</v>
          </cell>
          <cell r="B71">
            <v>83.882000000000005</v>
          </cell>
          <cell r="C71">
            <v>83.882000000000005</v>
          </cell>
          <cell r="D71">
            <v>177378.46145426002</v>
          </cell>
          <cell r="E71">
            <v>1335.741</v>
          </cell>
          <cell r="F71">
            <v>0</v>
          </cell>
          <cell r="G71">
            <v>0</v>
          </cell>
          <cell r="H71">
            <v>300</v>
          </cell>
          <cell r="I71">
            <v>1635.741</v>
          </cell>
          <cell r="J71">
            <v>24</v>
          </cell>
          <cell r="K71" t="str">
            <v>XFILL_PMG100%</v>
          </cell>
          <cell r="L71">
            <v>10</v>
          </cell>
          <cell r="M71" t="str">
            <v>TA+CCL100%</v>
          </cell>
          <cell r="N71">
            <v>2459.6177772719238</v>
          </cell>
          <cell r="O71">
            <v>505.61202120000945</v>
          </cell>
          <cell r="P71">
            <v>159</v>
          </cell>
          <cell r="Q71">
            <v>0</v>
          </cell>
          <cell r="S71">
            <v>0</v>
          </cell>
          <cell r="T71">
            <v>252.161</v>
          </cell>
          <cell r="V71">
            <v>0</v>
          </cell>
          <cell r="W71">
            <v>0</v>
          </cell>
          <cell r="X71">
            <v>3376.3907984719335</v>
          </cell>
          <cell r="Y71">
            <v>-150.39214258797506</v>
          </cell>
          <cell r="Z71">
            <v>177228.06931167204</v>
          </cell>
          <cell r="AA71">
            <v>83.848509610113538</v>
          </cell>
          <cell r="AD71">
            <v>37.818261608154017</v>
          </cell>
        </row>
        <row r="72">
          <cell r="A72">
            <v>46263</v>
          </cell>
          <cell r="B72">
            <v>84.01</v>
          </cell>
          <cell r="C72">
            <v>84.01</v>
          </cell>
          <cell r="D72">
            <v>177953.8453365</v>
          </cell>
          <cell r="E72">
            <v>2858.4940000000001</v>
          </cell>
          <cell r="F72">
            <v>0</v>
          </cell>
          <cell r="G72">
            <v>0</v>
          </cell>
          <cell r="H72">
            <v>300</v>
          </cell>
          <cell r="I72">
            <v>3158.4940000000001</v>
          </cell>
          <cell r="J72">
            <v>24</v>
          </cell>
          <cell r="K72" t="str">
            <v>XFILL_PMG100%</v>
          </cell>
          <cell r="L72">
            <v>10</v>
          </cell>
          <cell r="M72" t="str">
            <v>TA+CCL100%</v>
          </cell>
          <cell r="N72">
            <v>2469.2987254081295</v>
          </cell>
          <cell r="O72">
            <v>457.04662412707273</v>
          </cell>
          <cell r="P72">
            <v>159</v>
          </cell>
          <cell r="Q72">
            <v>0</v>
          </cell>
          <cell r="S72">
            <v>0</v>
          </cell>
          <cell r="T72">
            <v>252.161</v>
          </cell>
          <cell r="V72">
            <v>0</v>
          </cell>
          <cell r="W72">
            <v>0</v>
          </cell>
          <cell r="X72">
            <v>3337.5063495352024</v>
          </cell>
          <cell r="Y72">
            <v>-15.466666999841472</v>
          </cell>
          <cell r="Z72">
            <v>177938.37866950015</v>
          </cell>
          <cell r="AA72">
            <v>84.006561984797059</v>
          </cell>
          <cell r="AD72">
            <v>80.93131370328426</v>
          </cell>
        </row>
        <row r="73">
          <cell r="A73">
            <v>46264</v>
          </cell>
          <cell r="B73">
            <v>84.087999999999994</v>
          </cell>
          <cell r="C73">
            <v>84.087999999999994</v>
          </cell>
          <cell r="D73">
            <v>178304.92565855998</v>
          </cell>
          <cell r="E73">
            <v>1978.8409999999999</v>
          </cell>
          <cell r="F73">
            <v>0</v>
          </cell>
          <cell r="G73">
            <v>0</v>
          </cell>
          <cell r="H73">
            <v>300</v>
          </cell>
          <cell r="I73">
            <v>2278.8409999999999</v>
          </cell>
          <cell r="J73">
            <v>24</v>
          </cell>
          <cell r="K73" t="str">
            <v>XFILL_PMG100%</v>
          </cell>
          <cell r="L73">
            <v>10</v>
          </cell>
          <cell r="M73" t="str">
            <v>TA+CCL100%</v>
          </cell>
          <cell r="N73">
            <v>2475.1980531786294</v>
          </cell>
          <cell r="O73">
            <v>417.77798701217159</v>
          </cell>
          <cell r="P73">
            <v>159</v>
          </cell>
          <cell r="Q73">
            <v>0</v>
          </cell>
          <cell r="S73">
            <v>0</v>
          </cell>
          <cell r="T73">
            <v>252.161</v>
          </cell>
          <cell r="V73">
            <v>0</v>
          </cell>
          <cell r="W73">
            <v>0</v>
          </cell>
          <cell r="X73">
            <v>3304.1370401908011</v>
          </cell>
          <cell r="Y73">
            <v>-88.585577872485217</v>
          </cell>
          <cell r="Z73">
            <v>178216.34008068749</v>
          </cell>
          <cell r="AA73">
            <v>84.068326051269636</v>
          </cell>
          <cell r="AD73">
            <v>56.026075877689692</v>
          </cell>
        </row>
        <row r="74">
          <cell r="A74">
            <v>46265</v>
          </cell>
          <cell r="B74">
            <v>84.075000000000003</v>
          </cell>
          <cell r="C74">
            <v>84.075000000000003</v>
          </cell>
          <cell r="D74">
            <v>178246.38830312499</v>
          </cell>
          <cell r="E74">
            <v>1362.098</v>
          </cell>
          <cell r="F74">
            <v>0</v>
          </cell>
          <cell r="G74">
            <v>0</v>
          </cell>
          <cell r="H74">
            <v>300</v>
          </cell>
          <cell r="I74">
            <v>1662.098</v>
          </cell>
          <cell r="J74">
            <v>24</v>
          </cell>
          <cell r="K74" t="str">
            <v>XFILL_PMG100%</v>
          </cell>
          <cell r="L74">
            <v>10</v>
          </cell>
          <cell r="M74" t="str">
            <v>TA+CCL100%</v>
          </cell>
          <cell r="N74">
            <v>2474.2148318835466</v>
          </cell>
          <cell r="O74">
            <v>428.32931394042612</v>
          </cell>
          <cell r="P74">
            <v>159</v>
          </cell>
          <cell r="Q74">
            <v>0</v>
          </cell>
          <cell r="S74">
            <v>0</v>
          </cell>
          <cell r="T74">
            <v>252.161</v>
          </cell>
          <cell r="V74">
            <v>0</v>
          </cell>
          <cell r="W74">
            <v>0</v>
          </cell>
          <cell r="X74">
            <v>3313.705145823973</v>
          </cell>
          <cell r="Y74">
            <v>-142.69885739919127</v>
          </cell>
          <cell r="Z74">
            <v>178103.68944572579</v>
          </cell>
          <cell r="AA74">
            <v>84.043300453144624</v>
          </cell>
          <cell r="AD74">
            <v>38.564496036240087</v>
          </cell>
        </row>
        <row r="75">
          <cell r="A75">
            <v>46266</v>
          </cell>
          <cell r="B75">
            <v>84.042000000000002</v>
          </cell>
          <cell r="C75">
            <v>84.042000000000002</v>
          </cell>
          <cell r="D75">
            <v>178097.83653586</v>
          </cell>
          <cell r="E75">
            <v>1331.261</v>
          </cell>
          <cell r="F75">
            <v>0</v>
          </cell>
          <cell r="G75">
            <v>0</v>
          </cell>
          <cell r="H75">
            <v>300</v>
          </cell>
          <cell r="I75">
            <v>1631.261</v>
          </cell>
          <cell r="J75">
            <v>24</v>
          </cell>
          <cell r="K75" t="str">
            <v>XFILL_PMG100%</v>
          </cell>
          <cell r="L75">
            <v>10</v>
          </cell>
          <cell r="M75" t="str">
            <v>TA+CCL100%</v>
          </cell>
          <cell r="N75">
            <v>2471.7189624421803</v>
          </cell>
          <cell r="O75">
            <v>686.60763968332265</v>
          </cell>
          <cell r="P75">
            <v>159</v>
          </cell>
          <cell r="Q75">
            <v>0</v>
          </cell>
          <cell r="S75">
            <v>0</v>
          </cell>
          <cell r="T75">
            <v>252.161</v>
          </cell>
          <cell r="V75">
            <v>0</v>
          </cell>
          <cell r="W75">
            <v>0</v>
          </cell>
          <cell r="X75">
            <v>3569.4876021255031</v>
          </cell>
          <cell r="Y75">
            <v>-167.46277842364347</v>
          </cell>
          <cell r="Z75">
            <v>177930.37375743635</v>
          </cell>
          <cell r="AA75">
            <v>84.004782550691857</v>
          </cell>
          <cell r="AD75">
            <v>37.691421291053224</v>
          </cell>
        </row>
        <row r="76">
          <cell r="A76">
            <v>46267</v>
          </cell>
          <cell r="B76">
            <v>84.006</v>
          </cell>
          <cell r="C76">
            <v>84.006</v>
          </cell>
          <cell r="D76">
            <v>177935.85052114</v>
          </cell>
          <cell r="E76">
            <v>1169.366</v>
          </cell>
          <cell r="F76">
            <v>0</v>
          </cell>
          <cell r="G76">
            <v>0</v>
          </cell>
          <cell r="H76">
            <v>300</v>
          </cell>
          <cell r="I76">
            <v>1469.366</v>
          </cell>
          <cell r="J76">
            <v>24</v>
          </cell>
          <cell r="K76" t="str">
            <v>XFILL_PMG100%</v>
          </cell>
          <cell r="L76">
            <v>10</v>
          </cell>
          <cell r="M76" t="str">
            <v>TA+CCL100%</v>
          </cell>
          <cell r="N76">
            <v>2468.9961957788728</v>
          </cell>
          <cell r="O76">
            <v>750.39599303883313</v>
          </cell>
          <cell r="P76">
            <v>159</v>
          </cell>
          <cell r="Q76">
            <v>0</v>
          </cell>
          <cell r="S76">
            <v>0</v>
          </cell>
          <cell r="T76">
            <v>252.161</v>
          </cell>
          <cell r="V76">
            <v>0</v>
          </cell>
          <cell r="W76">
            <v>0</v>
          </cell>
          <cell r="X76">
            <v>3630.5531888177061</v>
          </cell>
          <cell r="Y76">
            <v>-186.72657311384981</v>
          </cell>
          <cell r="Z76">
            <v>177749.12394802616</v>
          </cell>
          <cell r="AA76">
            <v>83.964481334615584</v>
          </cell>
          <cell r="AD76">
            <v>33.107757644394113</v>
          </cell>
        </row>
        <row r="77">
          <cell r="A77">
            <v>46268</v>
          </cell>
          <cell r="B77">
            <v>84.028000000000006</v>
          </cell>
          <cell r="C77">
            <v>84.028000000000006</v>
          </cell>
          <cell r="D77">
            <v>178034.83323816003</v>
          </cell>
          <cell r="E77">
            <v>1145.4680000000001</v>
          </cell>
          <cell r="F77">
            <v>0</v>
          </cell>
          <cell r="G77">
            <v>0</v>
          </cell>
          <cell r="H77">
            <v>300</v>
          </cell>
          <cell r="I77">
            <v>1445.4680000000001</v>
          </cell>
          <cell r="J77">
            <v>24</v>
          </cell>
          <cell r="K77" t="str">
            <v>XFILL_PMG100%</v>
          </cell>
          <cell r="L77">
            <v>10</v>
          </cell>
          <cell r="M77" t="str">
            <v>TA+CCL100%</v>
          </cell>
          <cell r="N77">
            <v>2470.6601087397839</v>
          </cell>
          <cell r="O77">
            <v>438.8602698767827</v>
          </cell>
          <cell r="P77">
            <v>159</v>
          </cell>
          <cell r="Q77">
            <v>0</v>
          </cell>
          <cell r="S77">
            <v>0</v>
          </cell>
          <cell r="T77">
            <v>252.161</v>
          </cell>
          <cell r="V77">
            <v>0</v>
          </cell>
          <cell r="W77">
            <v>0</v>
          </cell>
          <cell r="X77">
            <v>3320.6813786165667</v>
          </cell>
          <cell r="Y77">
            <v>-162.01843591247135</v>
          </cell>
          <cell r="Z77">
            <v>177872.81480224757</v>
          </cell>
          <cell r="AA77">
            <v>83.991986434886002</v>
          </cell>
          <cell r="AD77">
            <v>32.431143827859572</v>
          </cell>
        </row>
        <row r="78">
          <cell r="A78">
            <v>46269</v>
          </cell>
          <cell r="B78">
            <v>84.001000000000005</v>
          </cell>
          <cell r="C78">
            <v>84.001000000000005</v>
          </cell>
          <cell r="D78">
            <v>177913.35827836502</v>
          </cell>
          <cell r="E78">
            <v>1056.8109999999999</v>
          </cell>
          <cell r="F78">
            <v>0</v>
          </cell>
          <cell r="G78">
            <v>0</v>
          </cell>
          <cell r="H78">
            <v>300</v>
          </cell>
          <cell r="I78">
            <v>1356.8109999999999</v>
          </cell>
          <cell r="J78">
            <v>24</v>
          </cell>
          <cell r="K78" t="str">
            <v>XFILL_PMG100%</v>
          </cell>
          <cell r="L78">
            <v>10</v>
          </cell>
          <cell r="M78" t="str">
            <v>TA+CCL100%</v>
          </cell>
          <cell r="N78">
            <v>2468.618033742302</v>
          </cell>
          <cell r="O78">
            <v>536.06657687441236</v>
          </cell>
          <cell r="P78">
            <v>159</v>
          </cell>
          <cell r="Q78">
            <v>0</v>
          </cell>
          <cell r="S78">
            <v>0</v>
          </cell>
          <cell r="T78">
            <v>252.161</v>
          </cell>
          <cell r="V78">
            <v>0</v>
          </cell>
          <cell r="W78">
            <v>0</v>
          </cell>
          <cell r="X78">
            <v>3415.8456106167146</v>
          </cell>
          <cell r="Y78">
            <v>-177.9005903572841</v>
          </cell>
          <cell r="Z78">
            <v>177735.45768800774</v>
          </cell>
          <cell r="AA78">
            <v>83.961441786638417</v>
          </cell>
          <cell r="AD78">
            <v>29.921036240090597</v>
          </cell>
        </row>
        <row r="79">
          <cell r="A79">
            <v>46270</v>
          </cell>
          <cell r="B79">
            <v>84.001000000000005</v>
          </cell>
          <cell r="C79">
            <v>84.001000000000005</v>
          </cell>
          <cell r="D79">
            <v>177913.35827836502</v>
          </cell>
          <cell r="E79">
            <v>1092.8510000000001</v>
          </cell>
          <cell r="F79">
            <v>0</v>
          </cell>
          <cell r="G79">
            <v>0</v>
          </cell>
          <cell r="H79">
            <v>300</v>
          </cell>
          <cell r="I79">
            <v>1392.8510000000001</v>
          </cell>
          <cell r="J79">
            <v>24</v>
          </cell>
          <cell r="K79" t="str">
            <v>XFILL_PMG100%</v>
          </cell>
          <cell r="L79">
            <v>10</v>
          </cell>
          <cell r="M79" t="str">
            <v>TA+CCL100%</v>
          </cell>
          <cell r="N79">
            <v>2468.618033742302</v>
          </cell>
          <cell r="O79">
            <v>439.98739918625307</v>
          </cell>
          <cell r="P79">
            <v>159</v>
          </cell>
          <cell r="Q79">
            <v>0</v>
          </cell>
          <cell r="S79">
            <v>0</v>
          </cell>
          <cell r="T79">
            <v>252.161</v>
          </cell>
          <cell r="V79">
            <v>0</v>
          </cell>
          <cell r="W79">
            <v>0</v>
          </cell>
          <cell r="X79">
            <v>3319.7664329285553</v>
          </cell>
          <cell r="Y79">
            <v>-166.48549340502717</v>
          </cell>
          <cell r="Z79">
            <v>177746.87278496</v>
          </cell>
          <cell r="AA79">
            <v>83.963980655677858</v>
          </cell>
          <cell r="AD79">
            <v>30.941421291053231</v>
          </cell>
        </row>
        <row r="80">
          <cell r="A80">
            <v>46271</v>
          </cell>
          <cell r="B80">
            <v>84.100999999999999</v>
          </cell>
          <cell r="C80">
            <v>84.100999999999999</v>
          </cell>
          <cell r="D80">
            <v>178363.47260136501</v>
          </cell>
          <cell r="E80">
            <v>1284.9670000000001</v>
          </cell>
          <cell r="F80">
            <v>0</v>
          </cell>
          <cell r="G80">
            <v>0</v>
          </cell>
          <cell r="H80">
            <v>300</v>
          </cell>
          <cell r="I80">
            <v>1584.9670000000001</v>
          </cell>
          <cell r="J80">
            <v>24</v>
          </cell>
          <cell r="K80" t="str">
            <v>XFILL_PMG100%</v>
          </cell>
          <cell r="L80">
            <v>10</v>
          </cell>
          <cell r="M80" t="str">
            <v>TA+CCL100%</v>
          </cell>
          <cell r="N80">
            <v>2476.1812744737126</v>
          </cell>
          <cell r="O80">
            <v>275.45049220979365</v>
          </cell>
          <cell r="P80">
            <v>159</v>
          </cell>
          <cell r="Q80">
            <v>0</v>
          </cell>
          <cell r="S80">
            <v>0</v>
          </cell>
          <cell r="T80">
            <v>252.161</v>
          </cell>
          <cell r="V80">
            <v>0</v>
          </cell>
          <cell r="W80">
            <v>0</v>
          </cell>
          <cell r="X80">
            <v>3162.7927666835062</v>
          </cell>
          <cell r="Y80">
            <v>-136.32414624145494</v>
          </cell>
          <cell r="Z80">
            <v>178227.14845512356</v>
          </cell>
          <cell r="AA80">
            <v>84.07072674166146</v>
          </cell>
          <cell r="AD80">
            <v>36.380719139297852</v>
          </cell>
        </row>
        <row r="81">
          <cell r="A81">
            <v>46272</v>
          </cell>
          <cell r="B81">
            <v>84.091999999999999</v>
          </cell>
          <cell r="C81">
            <v>84.091999999999999</v>
          </cell>
          <cell r="D81">
            <v>178322.93908135997</v>
          </cell>
          <cell r="E81">
            <v>2473.4290000000001</v>
          </cell>
          <cell r="F81">
            <v>0</v>
          </cell>
          <cell r="G81">
            <v>0</v>
          </cell>
          <cell r="H81">
            <v>300</v>
          </cell>
          <cell r="I81">
            <v>2773.4290000000001</v>
          </cell>
          <cell r="J81">
            <v>24</v>
          </cell>
          <cell r="K81" t="str">
            <v>XFILL_PMG100%</v>
          </cell>
          <cell r="L81">
            <v>10</v>
          </cell>
          <cell r="M81" t="str">
            <v>TA+CCL100%</v>
          </cell>
          <cell r="N81">
            <v>2475.5005828078865</v>
          </cell>
          <cell r="O81">
            <v>302.57350198842767</v>
          </cell>
          <cell r="P81">
            <v>159</v>
          </cell>
          <cell r="Q81">
            <v>0</v>
          </cell>
          <cell r="S81">
            <v>0</v>
          </cell>
          <cell r="T81">
            <v>252.161</v>
          </cell>
          <cell r="V81">
            <v>0</v>
          </cell>
          <cell r="W81">
            <v>0</v>
          </cell>
          <cell r="X81">
            <v>3189.2350847963144</v>
          </cell>
          <cell r="Y81">
            <v>-35.925645726401555</v>
          </cell>
          <cell r="Z81">
            <v>178287.01343563356</v>
          </cell>
          <cell r="AA81">
            <v>84.084022272227017</v>
          </cell>
          <cell r="AD81">
            <v>70.029133635334091</v>
          </cell>
        </row>
        <row r="82">
          <cell r="A82">
            <v>46273</v>
          </cell>
          <cell r="B82">
            <v>84.066999999999993</v>
          </cell>
          <cell r="C82">
            <v>84.066999999999993</v>
          </cell>
          <cell r="D82">
            <v>178210.37008048495</v>
          </cell>
          <cell r="E82">
            <v>2121.3789999999999</v>
          </cell>
          <cell r="F82">
            <v>0</v>
          </cell>
          <cell r="G82">
            <v>0</v>
          </cell>
          <cell r="H82">
            <v>300</v>
          </cell>
          <cell r="I82">
            <v>2421.3789999999999</v>
          </cell>
          <cell r="J82">
            <v>24</v>
          </cell>
          <cell r="K82" t="str">
            <v>XFILL_PMG100%</v>
          </cell>
          <cell r="L82">
            <v>10</v>
          </cell>
          <cell r="M82" t="str">
            <v>TA+CCL100%</v>
          </cell>
          <cell r="N82">
            <v>2473.6097726250327</v>
          </cell>
          <cell r="O82">
            <v>288.390465755349</v>
          </cell>
          <cell r="P82">
            <v>159</v>
          </cell>
          <cell r="Q82">
            <v>0</v>
          </cell>
          <cell r="S82">
            <v>0</v>
          </cell>
          <cell r="T82">
            <v>252.161</v>
          </cell>
          <cell r="V82">
            <v>0</v>
          </cell>
          <cell r="W82">
            <v>0</v>
          </cell>
          <cell r="X82">
            <v>3173.1612383803817</v>
          </cell>
          <cell r="Y82">
            <v>-64.953985396064994</v>
          </cell>
          <cell r="Z82">
            <v>178145.41609508888</v>
          </cell>
          <cell r="AA82">
            <v>84.052571044810747</v>
          </cell>
          <cell r="AD82">
            <v>60.061693091732728</v>
          </cell>
        </row>
        <row r="83">
          <cell r="A83">
            <v>46274</v>
          </cell>
          <cell r="B83">
            <v>84.091999999999999</v>
          </cell>
          <cell r="C83">
            <v>84.091999999999999</v>
          </cell>
          <cell r="D83">
            <v>178322.93908135997</v>
          </cell>
          <cell r="E83">
            <v>3848.547</v>
          </cell>
          <cell r="F83">
            <v>0</v>
          </cell>
          <cell r="G83">
            <v>0</v>
          </cell>
          <cell r="H83">
            <v>300</v>
          </cell>
          <cell r="I83">
            <v>4148.5470000000005</v>
          </cell>
          <cell r="J83">
            <v>24</v>
          </cell>
          <cell r="K83" t="str">
            <v>XFILL_PMG100%</v>
          </cell>
          <cell r="L83">
            <v>10</v>
          </cell>
          <cell r="M83" t="str">
            <v>TA+CCL100%</v>
          </cell>
          <cell r="N83">
            <v>2475.5005828078865</v>
          </cell>
          <cell r="O83">
            <v>441.85452293550287</v>
          </cell>
          <cell r="P83">
            <v>159</v>
          </cell>
          <cell r="Q83">
            <v>0</v>
          </cell>
          <cell r="S83">
            <v>0</v>
          </cell>
          <cell r="T83">
            <v>252.161</v>
          </cell>
          <cell r="V83">
            <v>0</v>
          </cell>
          <cell r="W83">
            <v>0</v>
          </cell>
          <cell r="X83">
            <v>3328.5161057433893</v>
          </cell>
          <cell r="Y83">
            <v>70.850669263771209</v>
          </cell>
          <cell r="Z83">
            <v>178393.78975062375</v>
          </cell>
          <cell r="AA83">
            <v>84.107730905998039</v>
          </cell>
          <cell r="AD83">
            <v>108.96225934314836</v>
          </cell>
        </row>
        <row r="84">
          <cell r="A84">
            <v>46275</v>
          </cell>
          <cell r="B84">
            <v>84.046999999999997</v>
          </cell>
          <cell r="C84">
            <v>84.046999999999997</v>
          </cell>
          <cell r="D84">
            <v>178120.34040828497</v>
          </cell>
          <cell r="E84">
            <v>1114.8499999999999</v>
          </cell>
          <cell r="F84">
            <v>0</v>
          </cell>
          <cell r="G84">
            <v>0</v>
          </cell>
          <cell r="H84">
            <v>300</v>
          </cell>
          <cell r="I84">
            <v>1414.85</v>
          </cell>
          <cell r="J84">
            <v>24</v>
          </cell>
          <cell r="K84" t="str">
            <v>XFILL_PMG100%</v>
          </cell>
          <cell r="L84">
            <v>10</v>
          </cell>
          <cell r="M84" t="str">
            <v>TA+CCL100%</v>
          </cell>
          <cell r="N84">
            <v>2472.0971244787506</v>
          </cell>
          <cell r="O84">
            <v>332.08331588423613</v>
          </cell>
          <cell r="P84">
            <v>159</v>
          </cell>
          <cell r="Q84">
            <v>0</v>
          </cell>
          <cell r="S84">
            <v>0</v>
          </cell>
          <cell r="T84">
            <v>252.161</v>
          </cell>
          <cell r="V84">
            <v>0</v>
          </cell>
          <cell r="W84">
            <v>0</v>
          </cell>
          <cell r="X84">
            <v>3215.3414403629868</v>
          </cell>
          <cell r="Y84">
            <v>-155.56246044736204</v>
          </cell>
          <cell r="Z84">
            <v>177964.7779478376</v>
          </cell>
          <cell r="AA84">
            <v>84.012430070639979</v>
          </cell>
          <cell r="AD84">
            <v>31.564269535673837</v>
          </cell>
        </row>
        <row r="85">
          <cell r="A85">
            <v>46276</v>
          </cell>
          <cell r="B85">
            <v>84.076999999999998</v>
          </cell>
          <cell r="C85">
            <v>84.076999999999998</v>
          </cell>
          <cell r="D85">
            <v>178255.39342608498</v>
          </cell>
          <cell r="E85">
            <v>791.15300000000002</v>
          </cell>
          <cell r="F85">
            <v>0</v>
          </cell>
          <cell r="G85">
            <v>0</v>
          </cell>
          <cell r="H85">
            <v>300</v>
          </cell>
          <cell r="I85">
            <v>1091.153</v>
          </cell>
          <cell r="J85">
            <v>24</v>
          </cell>
          <cell r="K85" t="str">
            <v>XFILL_PMG100%</v>
          </cell>
          <cell r="L85">
            <v>10</v>
          </cell>
          <cell r="M85" t="str">
            <v>TA+CCL100%</v>
          </cell>
          <cell r="N85">
            <v>2474.3660966981743</v>
          </cell>
          <cell r="O85">
            <v>252.36285415893471</v>
          </cell>
          <cell r="P85">
            <v>159</v>
          </cell>
          <cell r="Q85">
            <v>0</v>
          </cell>
          <cell r="S85">
            <v>0</v>
          </cell>
          <cell r="T85">
            <v>252.161</v>
          </cell>
          <cell r="V85">
            <v>0</v>
          </cell>
          <cell r="W85">
            <v>0</v>
          </cell>
          <cell r="X85">
            <v>3137.8899508571089</v>
          </cell>
          <cell r="Y85">
            <v>-176.83807255405421</v>
          </cell>
          <cell r="Z85">
            <v>178078.55535353092</v>
          </cell>
          <cell r="AA85">
            <v>84.03771577944427</v>
          </cell>
          <cell r="AD85">
            <v>22.39957531143828</v>
          </cell>
        </row>
        <row r="86">
          <cell r="A86">
            <v>46277</v>
          </cell>
          <cell r="B86">
            <v>84.081999999999994</v>
          </cell>
          <cell r="C86">
            <v>84.081999999999994</v>
          </cell>
          <cell r="D86">
            <v>178277.90722625994</v>
          </cell>
          <cell r="E86">
            <v>2095.9749999999999</v>
          </cell>
          <cell r="F86">
            <v>0</v>
          </cell>
          <cell r="G86">
            <v>0</v>
          </cell>
          <cell r="H86">
            <v>300</v>
          </cell>
          <cell r="I86">
            <v>2395.9749999999999</v>
          </cell>
          <cell r="J86">
            <v>24</v>
          </cell>
          <cell r="K86" t="str">
            <v>XFILL_PMG100%</v>
          </cell>
          <cell r="L86">
            <v>10</v>
          </cell>
          <cell r="M86" t="str">
            <v>TA+CCL100%</v>
          </cell>
          <cell r="N86">
            <v>2474.7442587347441</v>
          </cell>
          <cell r="O86">
            <v>717.32027588297694</v>
          </cell>
          <cell r="P86">
            <v>159</v>
          </cell>
          <cell r="Q86">
            <v>0</v>
          </cell>
          <cell r="S86">
            <v>0</v>
          </cell>
          <cell r="T86">
            <v>252.161</v>
          </cell>
          <cell r="V86">
            <v>0</v>
          </cell>
          <cell r="W86">
            <v>0</v>
          </cell>
          <cell r="X86">
            <v>3603.2255346177212</v>
          </cell>
          <cell r="Y86">
            <v>-104.30644619097112</v>
          </cell>
          <cell r="Z86">
            <v>178173.60078006895</v>
          </cell>
          <cell r="AA86">
            <v>84.058832346324749</v>
          </cell>
          <cell r="AD86">
            <v>59.342440543601356</v>
          </cell>
        </row>
        <row r="87">
          <cell r="A87">
            <v>46278</v>
          </cell>
          <cell r="B87">
            <v>84.19</v>
          </cell>
          <cell r="C87">
            <v>84.19</v>
          </cell>
          <cell r="D87">
            <v>178764.5514765</v>
          </cell>
          <cell r="E87">
            <v>1168.893</v>
          </cell>
          <cell r="F87">
            <v>0</v>
          </cell>
          <cell r="G87">
            <v>0</v>
          </cell>
          <cell r="H87">
            <v>300</v>
          </cell>
          <cell r="I87">
            <v>1468.893</v>
          </cell>
          <cell r="J87">
            <v>24</v>
          </cell>
          <cell r="K87" t="str">
            <v>XFILL_PMG100%</v>
          </cell>
          <cell r="L87">
            <v>10</v>
          </cell>
          <cell r="M87" t="str">
            <v>TA+CCL100%</v>
          </cell>
          <cell r="N87">
            <v>2482.912558724669</v>
          </cell>
          <cell r="O87">
            <v>857.22212126766669</v>
          </cell>
          <cell r="P87">
            <v>159</v>
          </cell>
          <cell r="Q87">
            <v>0</v>
          </cell>
          <cell r="S87">
            <v>0</v>
          </cell>
          <cell r="T87">
            <v>252.161</v>
          </cell>
          <cell r="V87">
            <v>0</v>
          </cell>
          <cell r="W87">
            <v>0</v>
          </cell>
          <cell r="X87">
            <v>3751.2956799923359</v>
          </cell>
          <cell r="Y87">
            <v>-197.19959155133779</v>
          </cell>
          <cell r="Z87">
            <v>178567.35188494867</v>
          </cell>
          <cell r="AA87">
            <v>84.146253577393367</v>
          </cell>
          <cell r="AD87">
            <v>33.094365798414493</v>
          </cell>
        </row>
        <row r="88">
          <cell r="A88">
            <v>46279</v>
          </cell>
          <cell r="B88">
            <v>84.289000000000001</v>
          </cell>
          <cell r="C88">
            <v>84.289000000000001</v>
          </cell>
          <cell r="D88">
            <v>179211.22332316497</v>
          </cell>
          <cell r="E88">
            <v>4565.723</v>
          </cell>
          <cell r="F88">
            <v>0</v>
          </cell>
          <cell r="G88">
            <v>0</v>
          </cell>
          <cell r="H88">
            <v>300</v>
          </cell>
          <cell r="I88">
            <v>4865.723</v>
          </cell>
          <cell r="J88">
            <v>24</v>
          </cell>
          <cell r="K88" t="str">
            <v>XFILL_PMG100%</v>
          </cell>
          <cell r="L88">
            <v>10</v>
          </cell>
          <cell r="M88" t="str">
            <v>TA+CCL100%</v>
          </cell>
          <cell r="N88">
            <v>2490.4001670487655</v>
          </cell>
          <cell r="O88">
            <v>809.5515017405429</v>
          </cell>
          <cell r="P88">
            <v>159</v>
          </cell>
          <cell r="Q88">
            <v>0</v>
          </cell>
          <cell r="S88">
            <v>0</v>
          </cell>
          <cell r="T88">
            <v>252.161</v>
          </cell>
          <cell r="V88">
            <v>0</v>
          </cell>
          <cell r="W88">
            <v>0</v>
          </cell>
          <cell r="X88">
            <v>3711.1126687893084</v>
          </cell>
          <cell r="Y88">
            <v>99.758332616603752</v>
          </cell>
          <cell r="Z88">
            <v>179310.98165578156</v>
          </cell>
          <cell r="AA88">
            <v>84.311093539498302</v>
          </cell>
          <cell r="AD88">
            <v>129.26735560588901</v>
          </cell>
        </row>
        <row r="89">
          <cell r="A89">
            <v>46280</v>
          </cell>
          <cell r="B89">
            <v>84.403999999999996</v>
          </cell>
          <cell r="C89">
            <v>84.403999999999996</v>
          </cell>
          <cell r="D89">
            <v>179730.78262183996</v>
          </cell>
          <cell r="E89">
            <v>4676.973</v>
          </cell>
          <cell r="F89">
            <v>0</v>
          </cell>
          <cell r="G89">
            <v>0</v>
          </cell>
          <cell r="H89">
            <v>300</v>
          </cell>
          <cell r="I89">
            <v>4976.973</v>
          </cell>
          <cell r="J89">
            <v>24</v>
          </cell>
          <cell r="K89" t="str">
            <v>XFILL_PMG100%</v>
          </cell>
          <cell r="L89">
            <v>10</v>
          </cell>
          <cell r="M89" t="str">
            <v>TA+CCL100%</v>
          </cell>
          <cell r="N89">
            <v>2499.097893889887</v>
          </cell>
          <cell r="O89">
            <v>803.20261255610683</v>
          </cell>
          <cell r="P89">
            <v>159</v>
          </cell>
          <cell r="Q89">
            <v>0</v>
          </cell>
          <cell r="S89">
            <v>0</v>
          </cell>
          <cell r="T89">
            <v>252.161</v>
          </cell>
          <cell r="V89">
            <v>0</v>
          </cell>
          <cell r="W89">
            <v>0</v>
          </cell>
          <cell r="X89">
            <v>3713.461506445994</v>
          </cell>
          <cell r="Y89">
            <v>109.16739304306611</v>
          </cell>
          <cell r="Z89">
            <v>179839.95001488301</v>
          </cell>
          <cell r="AA89">
            <v>84.428142177075017</v>
          </cell>
          <cell r="AD89">
            <v>132.41712910532277</v>
          </cell>
        </row>
        <row r="90">
          <cell r="A90">
            <v>46281</v>
          </cell>
          <cell r="B90">
            <v>84.477000000000004</v>
          </cell>
          <cell r="C90">
            <v>84.477000000000004</v>
          </cell>
          <cell r="D90">
            <v>180060.979110085</v>
          </cell>
          <cell r="E90">
            <v>1669.5170000000001</v>
          </cell>
          <cell r="F90">
            <v>0</v>
          </cell>
          <cell r="G90">
            <v>0</v>
          </cell>
          <cell r="H90">
            <v>300</v>
          </cell>
          <cell r="I90">
            <v>1969.5170000000001</v>
          </cell>
          <cell r="J90">
            <v>24</v>
          </cell>
          <cell r="K90" t="str">
            <v>XFILL_PMG100%</v>
          </cell>
          <cell r="L90">
            <v>10</v>
          </cell>
          <cell r="M90" t="str">
            <v>TA+CCL100%</v>
          </cell>
          <cell r="N90">
            <v>2504.619059623818</v>
          </cell>
          <cell r="O90">
            <v>778.11011827783352</v>
          </cell>
          <cell r="P90">
            <v>159</v>
          </cell>
          <cell r="Q90">
            <v>0</v>
          </cell>
          <cell r="S90">
            <v>0</v>
          </cell>
          <cell r="T90">
            <v>252.161</v>
          </cell>
          <cell r="V90">
            <v>0</v>
          </cell>
          <cell r="W90">
            <v>0</v>
          </cell>
          <cell r="X90">
            <v>3693.8901779016514</v>
          </cell>
          <cell r="Y90">
            <v>-148.98584257070266</v>
          </cell>
          <cell r="Z90">
            <v>179911.99326751431</v>
          </cell>
          <cell r="AA90">
            <v>84.444070412090355</v>
          </cell>
          <cell r="AD90">
            <v>47.268318233295581</v>
          </cell>
        </row>
        <row r="91">
          <cell r="A91">
            <v>46282</v>
          </cell>
          <cell r="B91">
            <v>84.471999999999994</v>
          </cell>
          <cell r="C91">
            <v>84.471999999999994</v>
          </cell>
          <cell r="D91">
            <v>180038.35326815996</v>
          </cell>
          <cell r="E91">
            <v>1120.684</v>
          </cell>
          <cell r="F91">
            <v>0</v>
          </cell>
          <cell r="G91">
            <v>0</v>
          </cell>
          <cell r="H91">
            <v>300</v>
          </cell>
          <cell r="I91">
            <v>1420.684</v>
          </cell>
          <cell r="J91">
            <v>24</v>
          </cell>
          <cell r="K91" t="str">
            <v>XFILL_PMG100%</v>
          </cell>
          <cell r="L91">
            <v>10</v>
          </cell>
          <cell r="M91" t="str">
            <v>TA+CCL100%</v>
          </cell>
          <cell r="N91">
            <v>2504.2408975872468</v>
          </cell>
          <cell r="O91">
            <v>476.06066107787353</v>
          </cell>
          <cell r="P91">
            <v>159</v>
          </cell>
          <cell r="Q91">
            <v>0</v>
          </cell>
          <cell r="S91">
            <v>0</v>
          </cell>
          <cell r="T91">
            <v>252.161</v>
          </cell>
          <cell r="V91">
            <v>0</v>
          </cell>
          <cell r="W91">
            <v>0</v>
          </cell>
          <cell r="X91">
            <v>3391.4625586651205</v>
          </cell>
          <cell r="Y91">
            <v>-170.27526746866641</v>
          </cell>
          <cell r="Z91">
            <v>179868.07800069128</v>
          </cell>
          <cell r="AA91">
            <v>84.43436144721143</v>
          </cell>
          <cell r="AD91">
            <v>31.729445073612684</v>
          </cell>
        </row>
        <row r="92">
          <cell r="A92">
            <v>46283</v>
          </cell>
          <cell r="B92">
            <v>84.475999999999999</v>
          </cell>
          <cell r="C92">
            <v>84.475999999999999</v>
          </cell>
          <cell r="D92">
            <v>180056.45382823999</v>
          </cell>
          <cell r="E92">
            <v>1161.4760000000001</v>
          </cell>
          <cell r="F92">
            <v>0</v>
          </cell>
          <cell r="G92">
            <v>0</v>
          </cell>
          <cell r="H92">
            <v>300</v>
          </cell>
          <cell r="I92">
            <v>1461.4760000000001</v>
          </cell>
          <cell r="J92">
            <v>24</v>
          </cell>
          <cell r="K92" t="str">
            <v>XFILL_PMG100%</v>
          </cell>
          <cell r="L92">
            <v>10</v>
          </cell>
          <cell r="M92" t="str">
            <v>TA+CCL100%</v>
          </cell>
          <cell r="N92">
            <v>2504.543427216503</v>
          </cell>
          <cell r="O92">
            <v>348.24177151408077</v>
          </cell>
          <cell r="P92">
            <v>159</v>
          </cell>
          <cell r="Q92">
            <v>0</v>
          </cell>
          <cell r="S92">
            <v>0</v>
          </cell>
          <cell r="T92">
            <v>252.161</v>
          </cell>
          <cell r="V92">
            <v>0</v>
          </cell>
          <cell r="W92">
            <v>0</v>
          </cell>
          <cell r="X92">
            <v>3263.946198730584</v>
          </cell>
          <cell r="Y92">
            <v>-155.73342517032245</v>
          </cell>
          <cell r="Z92">
            <v>179900.72040306966</v>
          </cell>
          <cell r="AA92">
            <v>84.441578274393621</v>
          </cell>
          <cell r="AD92">
            <v>32.884371460928655</v>
          </cell>
        </row>
        <row r="93">
          <cell r="A93">
            <v>46284</v>
          </cell>
          <cell r="B93">
            <v>84.546999999999997</v>
          </cell>
          <cell r="C93">
            <v>84.546999999999997</v>
          </cell>
          <cell r="D93">
            <v>180377.88981328497</v>
          </cell>
          <cell r="E93">
            <v>1412.231</v>
          </cell>
          <cell r="F93">
            <v>0</v>
          </cell>
          <cell r="G93">
            <v>0</v>
          </cell>
          <cell r="H93">
            <v>300</v>
          </cell>
          <cell r="I93">
            <v>1712.231</v>
          </cell>
          <cell r="J93">
            <v>24</v>
          </cell>
          <cell r="K93" t="str">
            <v>XFILL_PMG100%</v>
          </cell>
          <cell r="L93">
            <v>10</v>
          </cell>
          <cell r="M93" t="str">
            <v>TA+CCL100%</v>
          </cell>
          <cell r="N93">
            <v>2509.9133281358054</v>
          </cell>
          <cell r="O93">
            <v>641.90246124990017</v>
          </cell>
          <cell r="P93">
            <v>159</v>
          </cell>
          <cell r="Q93">
            <v>0</v>
          </cell>
          <cell r="S93">
            <v>0</v>
          </cell>
          <cell r="T93">
            <v>252.161</v>
          </cell>
          <cell r="V93">
            <v>0</v>
          </cell>
          <cell r="W93">
            <v>0</v>
          </cell>
          <cell r="X93">
            <v>3562.9767893857056</v>
          </cell>
          <cell r="Y93">
            <v>-159.90443620292496</v>
          </cell>
          <cell r="Z93">
            <v>180217.98537708205</v>
          </cell>
          <cell r="AA93">
            <v>84.511687597117302</v>
          </cell>
          <cell r="AD93">
            <v>39.983890147225367</v>
          </cell>
        </row>
        <row r="94">
          <cell r="A94">
            <v>46285</v>
          </cell>
          <cell r="B94">
            <v>84.552000000000007</v>
          </cell>
          <cell r="C94">
            <v>84.552000000000007</v>
          </cell>
          <cell r="D94">
            <v>180400.53692896003</v>
          </cell>
          <cell r="E94">
            <v>1327.7760000000001</v>
          </cell>
          <cell r="F94">
            <v>0</v>
          </cell>
          <cell r="G94">
            <v>0</v>
          </cell>
          <cell r="H94">
            <v>300</v>
          </cell>
          <cell r="I94">
            <v>1627.7760000000001</v>
          </cell>
          <cell r="J94">
            <v>24</v>
          </cell>
          <cell r="K94" t="str">
            <v>XFILL_PMG100%</v>
          </cell>
          <cell r="L94">
            <v>10</v>
          </cell>
          <cell r="M94" t="str">
            <v>TA+CCL100%</v>
          </cell>
          <cell r="N94">
            <v>2510.2914901723757</v>
          </cell>
          <cell r="O94">
            <v>627.67111786527391</v>
          </cell>
          <cell r="P94">
            <v>159</v>
          </cell>
          <cell r="Q94">
            <v>0</v>
          </cell>
          <cell r="S94">
            <v>0</v>
          </cell>
          <cell r="T94">
            <v>252.161</v>
          </cell>
          <cell r="V94">
            <v>0</v>
          </cell>
          <cell r="W94">
            <v>0</v>
          </cell>
          <cell r="X94">
            <v>3549.1236080376498</v>
          </cell>
          <cell r="Y94">
            <v>-166.00443333445293</v>
          </cell>
          <cell r="Z94">
            <v>180234.53249562558</v>
          </cell>
          <cell r="AA94">
            <v>84.515342495159629</v>
          </cell>
          <cell r="AD94">
            <v>37.592751981879957</v>
          </cell>
        </row>
        <row r="95">
          <cell r="A95">
            <v>46286</v>
          </cell>
          <cell r="B95">
            <v>84.546000000000006</v>
          </cell>
          <cell r="C95">
            <v>84.546000000000006</v>
          </cell>
          <cell r="D95">
            <v>180373.36056033999</v>
          </cell>
          <cell r="E95">
            <v>1008.723</v>
          </cell>
          <cell r="F95">
            <v>0</v>
          </cell>
          <cell r="G95">
            <v>0</v>
          </cell>
          <cell r="H95">
            <v>300</v>
          </cell>
          <cell r="I95">
            <v>1308.723</v>
          </cell>
          <cell r="J95">
            <v>24</v>
          </cell>
          <cell r="K95" t="str">
            <v>XFILL_PMG100%</v>
          </cell>
          <cell r="L95">
            <v>10</v>
          </cell>
          <cell r="M95" t="str">
            <v>TA+CCL100%</v>
          </cell>
          <cell r="N95">
            <v>2509.8376957284913</v>
          </cell>
          <cell r="O95">
            <v>431.00330713227805</v>
          </cell>
          <cell r="P95">
            <v>159</v>
          </cell>
          <cell r="Q95">
            <v>0</v>
          </cell>
          <cell r="S95">
            <v>0</v>
          </cell>
          <cell r="T95">
            <v>252.161</v>
          </cell>
          <cell r="V95">
            <v>0</v>
          </cell>
          <cell r="W95">
            <v>0</v>
          </cell>
          <cell r="X95">
            <v>3352.0020028607696</v>
          </cell>
          <cell r="Y95">
            <v>-176.53930584717051</v>
          </cell>
          <cell r="Z95">
            <v>180196.82125449282</v>
          </cell>
          <cell r="AA95">
            <v>84.507012659476473</v>
          </cell>
          <cell r="AD95">
            <v>28.559541336353341</v>
          </cell>
        </row>
        <row r="96">
          <cell r="A96">
            <v>46287</v>
          </cell>
          <cell r="B96">
            <v>84.59</v>
          </cell>
          <cell r="C96">
            <v>84.59</v>
          </cell>
          <cell r="D96">
            <v>180572.70135650001</v>
          </cell>
          <cell r="E96">
            <v>3579.91</v>
          </cell>
          <cell r="F96">
            <v>0</v>
          </cell>
          <cell r="G96">
            <v>0</v>
          </cell>
          <cell r="H96">
            <v>300</v>
          </cell>
          <cell r="I96">
            <v>3879.91</v>
          </cell>
          <cell r="J96">
            <v>24</v>
          </cell>
          <cell r="K96" t="str">
            <v>XFILL_PMG100%</v>
          </cell>
          <cell r="L96">
            <v>10</v>
          </cell>
          <cell r="M96" t="str">
            <v>TA+CCL100%</v>
          </cell>
          <cell r="N96">
            <v>2513.1655216503123</v>
          </cell>
          <cell r="O96">
            <v>749.91162684328322</v>
          </cell>
          <cell r="P96">
            <v>159</v>
          </cell>
          <cell r="Q96">
            <v>0</v>
          </cell>
          <cell r="S96">
            <v>0</v>
          </cell>
          <cell r="T96">
            <v>252.161</v>
          </cell>
          <cell r="V96">
            <v>0</v>
          </cell>
          <cell r="W96">
            <v>0</v>
          </cell>
          <cell r="X96">
            <v>3674.2381484935954</v>
          </cell>
          <cell r="Y96">
            <v>17.770047970153342</v>
          </cell>
          <cell r="Z96">
            <v>180590.47140447015</v>
          </cell>
          <cell r="AA96">
            <v>84.593921162185424</v>
          </cell>
          <cell r="AD96">
            <v>101.35645526613816</v>
          </cell>
        </row>
        <row r="97">
          <cell r="A97">
            <v>46288</v>
          </cell>
          <cell r="B97">
            <v>84.593999999999994</v>
          </cell>
          <cell r="C97">
            <v>84.593999999999994</v>
          </cell>
          <cell r="D97">
            <v>180590.82869313995</v>
          </cell>
          <cell r="E97">
            <v>2294.317</v>
          </cell>
          <cell r="F97">
            <v>0</v>
          </cell>
          <cell r="G97">
            <v>0</v>
          </cell>
          <cell r="H97">
            <v>300</v>
          </cell>
          <cell r="I97">
            <v>2594.317</v>
          </cell>
          <cell r="J97">
            <v>24</v>
          </cell>
          <cell r="K97" t="str">
            <v>XFILL_PMG100%</v>
          </cell>
          <cell r="L97">
            <v>10</v>
          </cell>
          <cell r="M97" t="str">
            <v>TA+CCL100%</v>
          </cell>
          <cell r="N97">
            <v>2513.4680512795676</v>
          </cell>
          <cell r="O97">
            <v>765.62107670398768</v>
          </cell>
          <cell r="P97">
            <v>159</v>
          </cell>
          <cell r="Q97">
            <v>0</v>
          </cell>
          <cell r="S97">
            <v>0</v>
          </cell>
          <cell r="T97">
            <v>252.161</v>
          </cell>
          <cell r="V97">
            <v>0</v>
          </cell>
          <cell r="W97">
            <v>0</v>
          </cell>
          <cell r="X97">
            <v>3690.2501279835551</v>
          </cell>
          <cell r="Y97">
            <v>-94.688622257779159</v>
          </cell>
          <cell r="Z97">
            <v>180496.14007088216</v>
          </cell>
          <cell r="AA97">
            <v>84.57310368434365</v>
          </cell>
          <cell r="AD97">
            <v>64.95801245753114</v>
          </cell>
        </row>
        <row r="98">
          <cell r="A98">
            <v>46289</v>
          </cell>
          <cell r="B98">
            <v>84.635000000000005</v>
          </cell>
          <cell r="C98">
            <v>84.635000000000005</v>
          </cell>
          <cell r="D98">
            <v>180776.686227125</v>
          </cell>
          <cell r="E98">
            <v>2022.184</v>
          </cell>
          <cell r="F98">
            <v>0</v>
          </cell>
          <cell r="G98">
            <v>0</v>
          </cell>
          <cell r="H98">
            <v>300</v>
          </cell>
          <cell r="I98">
            <v>2322.1840000000002</v>
          </cell>
          <cell r="J98">
            <v>24</v>
          </cell>
          <cell r="K98" t="str">
            <v>XFILL_PMG100%</v>
          </cell>
          <cell r="L98">
            <v>10</v>
          </cell>
          <cell r="M98" t="str">
            <v>TA+CCL100%</v>
          </cell>
          <cell r="N98">
            <v>2516.5689799794472</v>
          </cell>
          <cell r="O98">
            <v>594.88055531345231</v>
          </cell>
          <cell r="P98">
            <v>159</v>
          </cell>
          <cell r="Q98">
            <v>0</v>
          </cell>
          <cell r="S98">
            <v>0</v>
          </cell>
          <cell r="T98">
            <v>252.161</v>
          </cell>
          <cell r="V98">
            <v>0</v>
          </cell>
          <cell r="W98">
            <v>0</v>
          </cell>
          <cell r="X98">
            <v>3522.6105352928998</v>
          </cell>
          <cell r="Y98">
            <v>-103.71685264930652</v>
          </cell>
          <cell r="Z98">
            <v>180672.96937447568</v>
          </cell>
          <cell r="AA98">
            <v>84.612122752553063</v>
          </cell>
          <cell r="AD98">
            <v>57.253227633069081</v>
          </cell>
        </row>
        <row r="99">
          <cell r="A99">
            <v>46290</v>
          </cell>
          <cell r="B99">
            <v>84.616</v>
          </cell>
          <cell r="C99">
            <v>84.616</v>
          </cell>
          <cell r="D99">
            <v>180690.54526943999</v>
          </cell>
          <cell r="E99">
            <v>1707.8230000000001</v>
          </cell>
          <cell r="F99">
            <v>0</v>
          </cell>
          <cell r="G99">
            <v>0</v>
          </cell>
          <cell r="H99">
            <v>300</v>
          </cell>
          <cell r="I99">
            <v>2007.8230000000001</v>
          </cell>
          <cell r="J99">
            <v>24</v>
          </cell>
          <cell r="K99" t="str">
            <v>XFILL_PMG100%</v>
          </cell>
          <cell r="L99">
            <v>10</v>
          </cell>
          <cell r="M99" t="str">
            <v>TA+CCL100%</v>
          </cell>
          <cell r="N99">
            <v>2515.1319642404787</v>
          </cell>
          <cell r="O99">
            <v>812.83318930443932</v>
          </cell>
          <cell r="P99">
            <v>159</v>
          </cell>
          <cell r="Q99">
            <v>0</v>
          </cell>
          <cell r="S99">
            <v>0</v>
          </cell>
          <cell r="T99">
            <v>252.161</v>
          </cell>
          <cell r="V99">
            <v>0</v>
          </cell>
          <cell r="W99">
            <v>0</v>
          </cell>
          <cell r="X99">
            <v>3739.126153544918</v>
          </cell>
          <cell r="Y99">
            <v>-149.5845924662809</v>
          </cell>
          <cell r="Z99">
            <v>180540.96067697371</v>
          </cell>
          <cell r="AA99">
            <v>84.582995580869166</v>
          </cell>
          <cell r="AD99">
            <v>48.352859569648928</v>
          </cell>
        </row>
        <row r="100">
          <cell r="A100">
            <v>46291</v>
          </cell>
          <cell r="B100">
            <v>84.664000000000001</v>
          </cell>
          <cell r="C100">
            <v>84.664000000000001</v>
          </cell>
          <cell r="D100">
            <v>180908.20401504001</v>
          </cell>
          <cell r="E100">
            <v>3423.79</v>
          </cell>
          <cell r="F100">
            <v>0</v>
          </cell>
          <cell r="G100">
            <v>0</v>
          </cell>
          <cell r="H100">
            <v>300</v>
          </cell>
          <cell r="I100">
            <v>3723.79</v>
          </cell>
          <cell r="J100">
            <v>24</v>
          </cell>
          <cell r="K100" t="str">
            <v>XFILL_PMG100%</v>
          </cell>
          <cell r="L100">
            <v>10</v>
          </cell>
          <cell r="M100" t="str">
            <v>TA+CCL100%</v>
          </cell>
          <cell r="N100">
            <v>2518.7623197915559</v>
          </cell>
          <cell r="O100">
            <v>752.59731520480614</v>
          </cell>
          <cell r="P100">
            <v>159</v>
          </cell>
          <cell r="Q100">
            <v>0</v>
          </cell>
          <cell r="S100">
            <v>0</v>
          </cell>
          <cell r="T100">
            <v>252.161</v>
          </cell>
          <cell r="V100">
            <v>0</v>
          </cell>
          <cell r="W100">
            <v>0</v>
          </cell>
          <cell r="X100">
            <v>3682.5206349963619</v>
          </cell>
          <cell r="Y100">
            <v>3.5656731363143304</v>
          </cell>
          <cell r="Z100">
            <v>180911.76968817634</v>
          </cell>
          <cell r="AA100">
            <v>84.664786093364654</v>
          </cell>
          <cell r="AD100">
            <v>96.93629671574179</v>
          </cell>
        </row>
        <row r="101">
          <cell r="A101">
            <v>46292</v>
          </cell>
          <cell r="B101">
            <v>84.745999999999995</v>
          </cell>
          <cell r="C101">
            <v>84.745999999999995</v>
          </cell>
          <cell r="D101">
            <v>181280.34007633995</v>
          </cell>
          <cell r="E101">
            <v>2338.4180000000001</v>
          </cell>
          <cell r="F101">
            <v>0</v>
          </cell>
          <cell r="G101">
            <v>0</v>
          </cell>
          <cell r="H101">
            <v>300</v>
          </cell>
          <cell r="I101">
            <v>2638.4180000000001</v>
          </cell>
          <cell r="J101">
            <v>24</v>
          </cell>
          <cell r="K101" t="str">
            <v>XFILL_PMG100%</v>
          </cell>
          <cell r="L101">
            <v>10</v>
          </cell>
          <cell r="M101" t="str">
            <v>TA+CCL100%</v>
          </cell>
          <cell r="N101">
            <v>2524.9641771913125</v>
          </cell>
          <cell r="O101">
            <v>479.05969765535144</v>
          </cell>
          <cell r="P101">
            <v>159</v>
          </cell>
          <cell r="Q101">
            <v>0</v>
          </cell>
          <cell r="S101">
            <v>0</v>
          </cell>
          <cell r="T101">
            <v>252.161</v>
          </cell>
          <cell r="V101">
            <v>0</v>
          </cell>
          <cell r="W101">
            <v>0</v>
          </cell>
          <cell r="X101">
            <v>3415.1848748466641</v>
          </cell>
          <cell r="Y101">
            <v>-67.112657986751771</v>
          </cell>
          <cell r="Z101">
            <v>181213.2274183532</v>
          </cell>
          <cell r="AA101">
            <v>84.731217968800109</v>
          </cell>
          <cell r="AD101">
            <v>66.206625141562853</v>
          </cell>
        </row>
        <row r="102">
          <cell r="A102">
            <v>46293</v>
          </cell>
          <cell r="B102">
            <v>84.795000000000002</v>
          </cell>
          <cell r="C102">
            <v>84.795000000000002</v>
          </cell>
          <cell r="D102">
            <v>181502.89613912499</v>
          </cell>
          <cell r="E102">
            <v>1583.376</v>
          </cell>
          <cell r="F102">
            <v>0</v>
          </cell>
          <cell r="G102">
            <v>0</v>
          </cell>
          <cell r="H102">
            <v>300</v>
          </cell>
          <cell r="I102">
            <v>1883.376</v>
          </cell>
          <cell r="J102">
            <v>24</v>
          </cell>
          <cell r="K102" t="str">
            <v>XFILL_PMG100%</v>
          </cell>
          <cell r="L102">
            <v>10</v>
          </cell>
          <cell r="M102" t="str">
            <v>TA+CCL100%</v>
          </cell>
          <cell r="N102">
            <v>2528.6701651497042</v>
          </cell>
          <cell r="O102">
            <v>418.65639359435937</v>
          </cell>
          <cell r="P102">
            <v>159</v>
          </cell>
          <cell r="Q102">
            <v>0</v>
          </cell>
          <cell r="S102">
            <v>0</v>
          </cell>
          <cell r="T102">
            <v>252.161</v>
          </cell>
          <cell r="V102">
            <v>0</v>
          </cell>
          <cell r="W102">
            <v>0</v>
          </cell>
          <cell r="X102">
            <v>3358.4875587440638</v>
          </cell>
          <cell r="Y102">
            <v>-127.44963867548711</v>
          </cell>
          <cell r="Z102">
            <v>181375.4465004495</v>
          </cell>
          <cell r="AA102">
            <v>84.766943179071873</v>
          </cell>
          <cell r="AD102">
            <v>44.829445073612682</v>
          </cell>
        </row>
        <row r="103">
          <cell r="A103">
            <v>46294</v>
          </cell>
          <cell r="B103">
            <v>84.887</v>
          </cell>
          <cell r="C103">
            <v>84.887</v>
          </cell>
          <cell r="D103">
            <v>181921.12445268498</v>
          </cell>
          <cell r="E103">
            <v>1545.624</v>
          </cell>
          <cell r="F103">
            <v>0</v>
          </cell>
          <cell r="G103">
            <v>0</v>
          </cell>
          <cell r="H103">
            <v>300</v>
          </cell>
          <cell r="I103">
            <v>1845.624</v>
          </cell>
          <cell r="J103">
            <v>24</v>
          </cell>
          <cell r="K103" t="str">
            <v>XFILL_PMG100%</v>
          </cell>
          <cell r="L103">
            <v>10</v>
          </cell>
          <cell r="M103" t="str">
            <v>TA+CCL100%</v>
          </cell>
          <cell r="N103">
            <v>2535.6283466226023</v>
          </cell>
          <cell r="O103">
            <v>364.53261972876135</v>
          </cell>
          <cell r="P103">
            <v>159</v>
          </cell>
          <cell r="Q103">
            <v>0</v>
          </cell>
          <cell r="S103">
            <v>0</v>
          </cell>
          <cell r="T103">
            <v>252.161</v>
          </cell>
          <cell r="V103">
            <v>0</v>
          </cell>
          <cell r="W103">
            <v>0</v>
          </cell>
          <cell r="X103">
            <v>3311.3219663513637</v>
          </cell>
          <cell r="Y103">
            <v>-126.63630429275783</v>
          </cell>
          <cell r="Z103">
            <v>181794.48814839221</v>
          </cell>
          <cell r="AA103">
            <v>84.859154256888573</v>
          </cell>
          <cell r="AD103">
            <v>43.760588901472254</v>
          </cell>
        </row>
        <row r="104">
          <cell r="A104">
            <v>46295</v>
          </cell>
          <cell r="B104">
            <v>85.010999999999996</v>
          </cell>
          <cell r="C104">
            <v>85.010999999999996</v>
          </cell>
          <cell r="D104">
            <v>182485.58321216499</v>
          </cell>
          <cell r="E104">
            <v>1347.4259999999999</v>
          </cell>
          <cell r="F104">
            <v>0</v>
          </cell>
          <cell r="G104">
            <v>0</v>
          </cell>
          <cell r="H104">
            <v>300</v>
          </cell>
          <cell r="I104">
            <v>1647.4259999999999</v>
          </cell>
          <cell r="J104">
            <v>24</v>
          </cell>
          <cell r="K104" t="str">
            <v>XFILL_PMG100%</v>
          </cell>
          <cell r="L104">
            <v>10</v>
          </cell>
          <cell r="M104" t="str">
            <v>TA+CCL100%</v>
          </cell>
          <cell r="N104">
            <v>2545.0067651295512</v>
          </cell>
          <cell r="O104">
            <v>382.7893864652213</v>
          </cell>
          <cell r="P104">
            <v>159</v>
          </cell>
          <cell r="Q104">
            <v>0</v>
          </cell>
          <cell r="S104">
            <v>0</v>
          </cell>
          <cell r="T104">
            <v>252.161</v>
          </cell>
          <cell r="V104">
            <v>0</v>
          </cell>
          <cell r="W104">
            <v>0</v>
          </cell>
          <cell r="X104">
            <v>3338.9571515947728</v>
          </cell>
          <cell r="Y104">
            <v>-146.14829149778836</v>
          </cell>
          <cell r="Z104">
            <v>182339.43492066721</v>
          </cell>
          <cell r="AA104">
            <v>84.978912598378329</v>
          </cell>
          <cell r="AD104">
            <v>38.149093997734994</v>
          </cell>
        </row>
        <row r="105">
          <cell r="A105">
            <v>46296</v>
          </cell>
          <cell r="B105">
            <v>84.978912598378329</v>
          </cell>
          <cell r="D105">
            <v>182339.43492066718</v>
          </cell>
          <cell r="E105">
            <v>1318.1679999999999</v>
          </cell>
          <cell r="F105">
            <v>0</v>
          </cell>
          <cell r="G105">
            <v>0</v>
          </cell>
          <cell r="H105">
            <v>300</v>
          </cell>
          <cell r="I105">
            <v>1618.1679999999999</v>
          </cell>
          <cell r="J105">
            <v>18</v>
          </cell>
          <cell r="K105" t="str">
            <v>XFILL_PMG100%</v>
          </cell>
          <cell r="L105">
            <v>10</v>
          </cell>
          <cell r="M105" t="str">
            <v>TA+CCL100%</v>
          </cell>
          <cell r="N105">
            <v>2215.5757622399751</v>
          </cell>
          <cell r="O105">
            <v>636.69275213752223</v>
          </cell>
          <cell r="P105">
            <v>159</v>
          </cell>
          <cell r="Q105">
            <v>0</v>
          </cell>
          <cell r="S105">
            <v>0</v>
          </cell>
          <cell r="T105">
            <v>252.161</v>
          </cell>
          <cell r="V105">
            <v>0</v>
          </cell>
          <cell r="W105">
            <v>0</v>
          </cell>
          <cell r="X105">
            <v>3263.4295143774975</v>
          </cell>
          <cell r="Y105">
            <v>-142.15059484221578</v>
          </cell>
          <cell r="Z105">
            <v>182197.28432582496</v>
          </cell>
          <cell r="AA105">
            <v>84.947690596099307</v>
          </cell>
          <cell r="AD105">
            <v>37.320724801811998</v>
          </cell>
        </row>
        <row r="106">
          <cell r="A106">
            <v>46297</v>
          </cell>
          <cell r="B106">
            <v>84.947690596099307</v>
          </cell>
          <cell r="C106"/>
          <cell r="D106">
            <v>182197.28432582496</v>
          </cell>
          <cell r="E106">
            <v>1209.6310000000001</v>
          </cell>
          <cell r="F106">
            <v>0</v>
          </cell>
          <cell r="G106">
            <v>0</v>
          </cell>
          <cell r="H106">
            <v>300</v>
          </cell>
          <cell r="I106">
            <v>1509.6310000000001</v>
          </cell>
          <cell r="J106">
            <v>18</v>
          </cell>
          <cell r="K106" t="str">
            <v>XFILL_PMG100%</v>
          </cell>
          <cell r="L106">
            <v>10</v>
          </cell>
          <cell r="M106" t="str">
            <v>TA+CCL100%</v>
          </cell>
          <cell r="N106">
            <v>2213.5832367139028</v>
          </cell>
          <cell r="O106">
            <v>576.75428401739941</v>
          </cell>
          <cell r="P106">
            <v>159</v>
          </cell>
          <cell r="Q106">
            <v>0</v>
          </cell>
          <cell r="S106">
            <v>0</v>
          </cell>
          <cell r="T106">
            <v>252.161</v>
          </cell>
          <cell r="V106">
            <v>0</v>
          </cell>
          <cell r="W106">
            <v>0</v>
          </cell>
          <cell r="X106">
            <v>3201.4985207313021</v>
          </cell>
          <cell r="Y106">
            <v>-146.17735379118449</v>
          </cell>
          <cell r="Z106">
            <v>182051.10697203377</v>
          </cell>
          <cell r="AA106">
            <v>84.915571480303242</v>
          </cell>
          <cell r="AD106">
            <v>34.247763306908269</v>
          </cell>
        </row>
        <row r="107">
          <cell r="A107">
            <v>46298</v>
          </cell>
          <cell r="B107">
            <v>84.915571480303242</v>
          </cell>
          <cell r="C107"/>
          <cell r="D107">
            <v>182051.10697203374</v>
          </cell>
          <cell r="E107">
            <v>952.09400000000005</v>
          </cell>
          <cell r="F107">
            <v>0</v>
          </cell>
          <cell r="G107">
            <v>0</v>
          </cell>
          <cell r="H107">
            <v>300</v>
          </cell>
          <cell r="I107">
            <v>1252.0940000000001</v>
          </cell>
          <cell r="J107">
            <v>18</v>
          </cell>
          <cell r="K107" t="str">
            <v>XFILL_PMG100%</v>
          </cell>
          <cell r="L107">
            <v>10</v>
          </cell>
          <cell r="M107" t="str">
            <v>TA+CCL100%</v>
          </cell>
          <cell r="N107">
            <v>2211.5334592035888</v>
          </cell>
          <cell r="O107">
            <v>157.28070300793024</v>
          </cell>
          <cell r="P107">
            <v>159</v>
          </cell>
          <cell r="Q107">
            <v>0</v>
          </cell>
          <cell r="S107">
            <v>0</v>
          </cell>
          <cell r="T107">
            <v>252.161</v>
          </cell>
          <cell r="V107">
            <v>0</v>
          </cell>
          <cell r="W107">
            <v>0</v>
          </cell>
          <cell r="X107">
            <v>2779.9751622115191</v>
          </cell>
          <cell r="Y107">
            <v>-132.00893241507526</v>
          </cell>
          <cell r="Z107">
            <v>181919.09803961866</v>
          </cell>
          <cell r="AA107">
            <v>84.886554493189195</v>
          </cell>
          <cell r="AD107">
            <v>26.956228765571915</v>
          </cell>
        </row>
        <row r="108">
          <cell r="A108">
            <v>46299</v>
          </cell>
          <cell r="B108">
            <v>84.886554493189195</v>
          </cell>
          <cell r="C108"/>
          <cell r="D108">
            <v>181919.09803961864</v>
          </cell>
          <cell r="E108">
            <v>1101.002</v>
          </cell>
          <cell r="F108">
            <v>0</v>
          </cell>
          <cell r="G108">
            <v>0</v>
          </cell>
          <cell r="H108">
            <v>300</v>
          </cell>
          <cell r="I108">
            <v>1401.002</v>
          </cell>
          <cell r="J108">
            <v>18</v>
          </cell>
          <cell r="K108" t="str">
            <v>XFILL_PMG100%</v>
          </cell>
          <cell r="L108">
            <v>10</v>
          </cell>
          <cell r="M108" t="str">
            <v>TA+CCL100%</v>
          </cell>
          <cell r="N108">
            <v>2209.6816533201049</v>
          </cell>
          <cell r="O108">
            <v>333.58581490670912</v>
          </cell>
          <cell r="P108">
            <v>159</v>
          </cell>
          <cell r="Q108">
            <v>0</v>
          </cell>
          <cell r="S108">
            <v>0</v>
          </cell>
          <cell r="T108">
            <v>252.161</v>
          </cell>
          <cell r="V108">
            <v>0</v>
          </cell>
          <cell r="W108">
            <v>0</v>
          </cell>
          <cell r="X108">
            <v>2954.4284682268139</v>
          </cell>
          <cell r="Y108">
            <v>-134.21604685479673</v>
          </cell>
          <cell r="Z108">
            <v>181784.88199276384</v>
          </cell>
          <cell r="AA108">
            <v>84.857041588373789</v>
          </cell>
          <cell r="AD108">
            <v>31.172197055492639</v>
          </cell>
        </row>
        <row r="109">
          <cell r="A109">
            <v>46300</v>
          </cell>
          <cell r="B109">
            <v>84.857041588373789</v>
          </cell>
          <cell r="C109"/>
          <cell r="D109">
            <v>181784.88199276375</v>
          </cell>
          <cell r="E109">
            <v>2049.1129999999998</v>
          </cell>
          <cell r="F109">
            <v>0</v>
          </cell>
          <cell r="G109">
            <v>0</v>
          </cell>
          <cell r="H109">
            <v>300</v>
          </cell>
          <cell r="I109">
            <v>2349.1129999999998</v>
          </cell>
          <cell r="J109">
            <v>18</v>
          </cell>
          <cell r="K109" t="str">
            <v>XFILL_PMG100%</v>
          </cell>
          <cell r="L109">
            <v>10</v>
          </cell>
          <cell r="M109" t="str">
            <v>TA+CCL100%</v>
          </cell>
          <cell r="N109">
            <v>2207.7981989641776</v>
          </cell>
          <cell r="O109">
            <v>386.87754933227455</v>
          </cell>
          <cell r="P109">
            <v>159</v>
          </cell>
          <cell r="Q109">
            <v>0</v>
          </cell>
          <cell r="S109">
            <v>0</v>
          </cell>
          <cell r="T109">
            <v>252.161</v>
          </cell>
          <cell r="V109">
            <v>0</v>
          </cell>
          <cell r="W109">
            <v>0</v>
          </cell>
          <cell r="X109">
            <v>3005.8367482964522</v>
          </cell>
          <cell r="Y109">
            <v>-56.740931852813489</v>
          </cell>
          <cell r="Z109">
            <v>181728.14106091094</v>
          </cell>
          <cell r="AA109">
            <v>84.844561497638793</v>
          </cell>
          <cell r="AD109">
            <v>58.01565685164212</v>
          </cell>
        </row>
        <row r="110">
          <cell r="A110">
            <v>46301</v>
          </cell>
          <cell r="B110">
            <v>84.844561497638793</v>
          </cell>
          <cell r="C110"/>
          <cell r="D110">
            <v>181728.14106091092</v>
          </cell>
          <cell r="E110">
            <v>1768.261</v>
          </cell>
          <cell r="F110">
            <v>0</v>
          </cell>
          <cell r="G110">
            <v>0</v>
          </cell>
          <cell r="H110">
            <v>300</v>
          </cell>
          <cell r="I110">
            <v>2068.261</v>
          </cell>
          <cell r="J110">
            <v>18</v>
          </cell>
          <cell r="K110" t="str">
            <v>XFILL_PMG100%</v>
          </cell>
          <cell r="L110">
            <v>10</v>
          </cell>
          <cell r="M110" t="str">
            <v>TA+CCL100%</v>
          </cell>
          <cell r="N110">
            <v>2207.0017446197398</v>
          </cell>
          <cell r="O110">
            <v>348.62978852872715</v>
          </cell>
          <cell r="P110">
            <v>159</v>
          </cell>
          <cell r="Q110">
            <v>0</v>
          </cell>
          <cell r="S110">
            <v>0</v>
          </cell>
          <cell r="T110">
            <v>252.161</v>
          </cell>
          <cell r="V110">
            <v>0</v>
          </cell>
          <cell r="W110">
            <v>0</v>
          </cell>
          <cell r="X110">
            <v>2966.7925331484671</v>
          </cell>
          <cell r="Y110">
            <v>-77.63312446402756</v>
          </cell>
          <cell r="Z110">
            <v>181650.5079364469</v>
          </cell>
          <cell r="AA110">
            <v>84.827483048118239</v>
          </cell>
          <cell r="AD110">
            <v>50.064014722536804</v>
          </cell>
        </row>
        <row r="111">
          <cell r="A111">
            <v>46302</v>
          </cell>
          <cell r="B111">
            <v>84.827483048118239</v>
          </cell>
          <cell r="C111"/>
          <cell r="D111">
            <v>181650.50793644684</v>
          </cell>
          <cell r="E111">
            <v>3146.1329999999998</v>
          </cell>
          <cell r="F111">
            <v>0</v>
          </cell>
          <cell r="G111">
            <v>0</v>
          </cell>
          <cell r="H111">
            <v>300</v>
          </cell>
          <cell r="I111">
            <v>3446.1329999999998</v>
          </cell>
          <cell r="J111">
            <v>18</v>
          </cell>
          <cell r="K111" t="str">
            <v>XFILL_PMG100%</v>
          </cell>
          <cell r="L111">
            <v>10</v>
          </cell>
          <cell r="M111" t="str">
            <v>TA+CCL100%</v>
          </cell>
          <cell r="N111">
            <v>2205.9118322460445</v>
          </cell>
          <cell r="O111">
            <v>737.82791536466857</v>
          </cell>
          <cell r="P111">
            <v>159</v>
          </cell>
          <cell r="Q111">
            <v>0</v>
          </cell>
          <cell r="S111">
            <v>0</v>
          </cell>
          <cell r="T111">
            <v>252.161</v>
          </cell>
          <cell r="V111">
            <v>0</v>
          </cell>
          <cell r="W111">
            <v>0</v>
          </cell>
          <cell r="X111">
            <v>3354.9007476107131</v>
          </cell>
          <cell r="Y111">
            <v>7.882466606434372</v>
          </cell>
          <cell r="Z111">
            <v>181658.39040305329</v>
          </cell>
          <cell r="AA111">
            <v>84.829217271747751</v>
          </cell>
          <cell r="AD111">
            <v>89.075113250283124</v>
          </cell>
        </row>
        <row r="112">
          <cell r="A112">
            <v>46303</v>
          </cell>
          <cell r="B112">
            <v>84.829217271747751</v>
          </cell>
          <cell r="C112"/>
          <cell r="D112">
            <v>181658.39040305332</v>
          </cell>
          <cell r="E112">
            <v>965.28800000000001</v>
          </cell>
          <cell r="F112">
            <v>0</v>
          </cell>
          <cell r="G112">
            <v>0</v>
          </cell>
          <cell r="H112">
            <v>300</v>
          </cell>
          <cell r="I112">
            <v>1265.288</v>
          </cell>
          <cell r="J112">
            <v>18</v>
          </cell>
          <cell r="K112" t="str">
            <v>XFILL_PMG100%</v>
          </cell>
          <cell r="L112">
            <v>10</v>
          </cell>
          <cell r="M112" t="str">
            <v>TA+CCL100%</v>
          </cell>
          <cell r="N112">
            <v>2206.0225069176704</v>
          </cell>
          <cell r="O112">
            <v>838.35243878958477</v>
          </cell>
          <cell r="P112">
            <v>159</v>
          </cell>
          <cell r="Q112">
            <v>0</v>
          </cell>
          <cell r="S112">
            <v>0</v>
          </cell>
          <cell r="T112">
            <v>252.161</v>
          </cell>
          <cell r="V112">
            <v>0</v>
          </cell>
          <cell r="W112">
            <v>0</v>
          </cell>
          <cell r="X112">
            <v>3455.5359457072555</v>
          </cell>
          <cell r="Y112">
            <v>-189.23742250910686</v>
          </cell>
          <cell r="Z112">
            <v>181469.1529805442</v>
          </cell>
          <cell r="AA112">
            <v>84.787572722611984</v>
          </cell>
          <cell r="AD112">
            <v>27.32978482446206</v>
          </cell>
        </row>
        <row r="113">
          <cell r="A113">
            <v>46304</v>
          </cell>
          <cell r="B113">
            <v>84.787572722611984</v>
          </cell>
          <cell r="C113"/>
          <cell r="D113">
            <v>181469.1529805442</v>
          </cell>
          <cell r="E113">
            <v>707.05499999999995</v>
          </cell>
          <cell r="F113">
            <v>0</v>
          </cell>
          <cell r="G113">
            <v>0</v>
          </cell>
          <cell r="H113">
            <v>300</v>
          </cell>
          <cell r="I113">
            <v>1007.0549999999999</v>
          </cell>
          <cell r="J113">
            <v>18</v>
          </cell>
          <cell r="K113" t="str">
            <v>XFILL_PMG100%</v>
          </cell>
          <cell r="L113">
            <v>10</v>
          </cell>
          <cell r="M113" t="str">
            <v>TA+CCL100%</v>
          </cell>
          <cell r="N113">
            <v>2203.3648353681901</v>
          </cell>
          <cell r="O113">
            <v>439.0544226408752</v>
          </cell>
          <cell r="P113">
            <v>159</v>
          </cell>
          <cell r="Q113">
            <v>0</v>
          </cell>
          <cell r="S113">
            <v>0</v>
          </cell>
          <cell r="T113">
            <v>252.161</v>
          </cell>
          <cell r="V113">
            <v>0</v>
          </cell>
          <cell r="W113">
            <v>0</v>
          </cell>
          <cell r="X113">
            <v>3053.5802580090653</v>
          </cell>
          <cell r="Y113">
            <v>-176.81978229198324</v>
          </cell>
          <cell r="Z113">
            <v>181292.33319825222</v>
          </cell>
          <cell r="AA113">
            <v>84.748641281269897</v>
          </cell>
          <cell r="AD113">
            <v>20.018544733861834</v>
          </cell>
        </row>
        <row r="114">
          <cell r="A114">
            <v>46305</v>
          </cell>
          <cell r="B114">
            <v>84.748641281269897</v>
          </cell>
          <cell r="C114"/>
          <cell r="D114">
            <v>181292.33319825225</v>
          </cell>
          <cell r="E114">
            <v>1414.7049999999999</v>
          </cell>
          <cell r="F114">
            <v>0</v>
          </cell>
          <cell r="G114">
            <v>0</v>
          </cell>
          <cell r="H114">
            <v>300</v>
          </cell>
          <cell r="I114">
            <v>1714.7049999999999</v>
          </cell>
          <cell r="J114">
            <v>18</v>
          </cell>
          <cell r="K114" t="str">
            <v>XFILL_PMG100%</v>
          </cell>
          <cell r="L114">
            <v>10</v>
          </cell>
          <cell r="M114" t="str">
            <v>TA+CCL100%</v>
          </cell>
          <cell r="N114">
            <v>2200.8803089131716</v>
          </cell>
          <cell r="O114">
            <v>288.74272629791562</v>
          </cell>
          <cell r="P114">
            <v>159</v>
          </cell>
          <cell r="Q114">
            <v>0</v>
          </cell>
          <cell r="S114">
            <v>0</v>
          </cell>
          <cell r="T114">
            <v>252.161</v>
          </cell>
          <cell r="V114">
            <v>0</v>
          </cell>
          <cell r="W114">
            <v>0</v>
          </cell>
          <cell r="X114">
            <v>2900.784035211087</v>
          </cell>
          <cell r="Y114">
            <v>-102.47722864223792</v>
          </cell>
          <cell r="Z114">
            <v>181189.85596961001</v>
          </cell>
          <cell r="AA114">
            <v>84.726069603081527</v>
          </cell>
          <cell r="AD114">
            <v>40.053935447338617</v>
          </cell>
        </row>
        <row r="115">
          <cell r="A115">
            <v>46306</v>
          </cell>
          <cell r="B115">
            <v>84.726069603081527</v>
          </cell>
          <cell r="C115"/>
          <cell r="D115">
            <v>181189.85596961001</v>
          </cell>
          <cell r="E115">
            <v>854.68600000000004</v>
          </cell>
          <cell r="F115">
            <v>0</v>
          </cell>
          <cell r="G115">
            <v>0</v>
          </cell>
          <cell r="H115">
            <v>300</v>
          </cell>
          <cell r="I115">
            <v>1154.6860000000001</v>
          </cell>
          <cell r="J115">
            <v>18</v>
          </cell>
          <cell r="K115" t="str">
            <v>XFILL_PMG100%</v>
          </cell>
          <cell r="L115">
            <v>10</v>
          </cell>
          <cell r="M115" t="str">
            <v>TA+CCL100%</v>
          </cell>
          <cell r="N115">
            <v>2199.4398297102471</v>
          </cell>
          <cell r="O115">
            <v>331.61558479416647</v>
          </cell>
          <cell r="P115">
            <v>159</v>
          </cell>
          <cell r="Q115">
            <v>0</v>
          </cell>
          <cell r="S115">
            <v>0</v>
          </cell>
          <cell r="T115">
            <v>252.161</v>
          </cell>
          <cell r="V115">
            <v>0</v>
          </cell>
          <cell r="W115">
            <v>0</v>
          </cell>
          <cell r="X115">
            <v>2942.2164145044135</v>
          </cell>
          <cell r="Y115">
            <v>-154.44262781318133</v>
          </cell>
          <cell r="Z115">
            <v>181035.41334179684</v>
          </cell>
          <cell r="AA115">
            <v>84.692039970050757</v>
          </cell>
          <cell r="AD115">
            <v>24.198357870894679</v>
          </cell>
        </row>
        <row r="116">
          <cell r="A116">
            <v>46307</v>
          </cell>
          <cell r="B116">
            <v>84.692039970050757</v>
          </cell>
          <cell r="C116"/>
          <cell r="D116">
            <v>181035.41334179681</v>
          </cell>
          <cell r="E116">
            <v>2906.5949999999998</v>
          </cell>
          <cell r="F116">
            <v>0</v>
          </cell>
          <cell r="G116">
            <v>0</v>
          </cell>
          <cell r="H116">
            <v>300</v>
          </cell>
          <cell r="I116">
            <v>3206.5949999999998</v>
          </cell>
          <cell r="J116">
            <v>18</v>
          </cell>
          <cell r="K116" t="str">
            <v>XFILL_PMG100%</v>
          </cell>
          <cell r="L116">
            <v>10</v>
          </cell>
          <cell r="M116" t="str">
            <v>TA+CCL100%</v>
          </cell>
          <cell r="N116">
            <v>2197.2681268242277</v>
          </cell>
          <cell r="O116">
            <v>240.77334814938393</v>
          </cell>
          <cell r="P116">
            <v>159</v>
          </cell>
          <cell r="Q116">
            <v>0</v>
          </cell>
          <cell r="S116">
            <v>0</v>
          </cell>
          <cell r="T116">
            <v>252.161</v>
          </cell>
          <cell r="V116">
            <v>0</v>
          </cell>
          <cell r="W116">
            <v>0</v>
          </cell>
          <cell r="X116">
            <v>2849.2024749736115</v>
          </cell>
          <cell r="Y116">
            <v>30.878714162279945</v>
          </cell>
          <cell r="Z116">
            <v>181066.29205595909</v>
          </cell>
          <cell r="AA116">
            <v>84.698844892697949</v>
          </cell>
          <cell r="AD116">
            <v>82.293176670441667</v>
          </cell>
        </row>
        <row r="117">
          <cell r="A117">
            <v>46308</v>
          </cell>
          <cell r="B117">
            <v>84.698844892697949</v>
          </cell>
          <cell r="C117"/>
          <cell r="D117">
            <v>181066.29205595911</v>
          </cell>
          <cell r="E117">
            <v>2973.797</v>
          </cell>
          <cell r="F117">
            <v>0</v>
          </cell>
          <cell r="G117">
            <v>0</v>
          </cell>
          <cell r="H117">
            <v>300</v>
          </cell>
          <cell r="I117">
            <v>3273.797</v>
          </cell>
          <cell r="J117">
            <v>18</v>
          </cell>
          <cell r="K117" t="str">
            <v>XFILL_PMG100%</v>
          </cell>
          <cell r="L117">
            <v>10</v>
          </cell>
          <cell r="M117" t="str">
            <v>TA+CCL100%</v>
          </cell>
          <cell r="N117">
            <v>2197.7024033307844</v>
          </cell>
          <cell r="O117">
            <v>449.52941177933218</v>
          </cell>
          <cell r="P117">
            <v>159</v>
          </cell>
          <cell r="Q117">
            <v>0</v>
          </cell>
          <cell r="S117">
            <v>0</v>
          </cell>
          <cell r="T117">
            <v>252.161</v>
          </cell>
          <cell r="V117">
            <v>0</v>
          </cell>
          <cell r="W117">
            <v>0</v>
          </cell>
          <cell r="X117">
            <v>3058.3928151101168</v>
          </cell>
          <cell r="Y117">
            <v>18.610921574485914</v>
          </cell>
          <cell r="Z117">
            <v>181084.90297753361</v>
          </cell>
          <cell r="AA117">
            <v>84.702946010632175</v>
          </cell>
          <cell r="AD117">
            <v>84.195838052095127</v>
          </cell>
        </row>
        <row r="118">
          <cell r="A118">
            <v>46309</v>
          </cell>
          <cell r="B118">
            <v>84.702946010632175</v>
          </cell>
          <cell r="C118"/>
          <cell r="D118">
            <v>181084.90297753361</v>
          </cell>
          <cell r="E118">
            <v>1157.096</v>
          </cell>
          <cell r="F118">
            <v>0</v>
          </cell>
          <cell r="G118">
            <v>0</v>
          </cell>
          <cell r="H118">
            <v>300</v>
          </cell>
          <cell r="I118">
            <v>1457.096</v>
          </cell>
          <cell r="J118">
            <v>18</v>
          </cell>
          <cell r="K118" t="str">
            <v>XFILL_PMG100%</v>
          </cell>
          <cell r="L118">
            <v>10</v>
          </cell>
          <cell r="M118" t="str">
            <v>TA+CCL100%</v>
          </cell>
          <cell r="N118">
            <v>2197.9641284468216</v>
          </cell>
          <cell r="O118">
            <v>813.77690979947909</v>
          </cell>
          <cell r="P118">
            <v>159</v>
          </cell>
          <cell r="Q118">
            <v>0</v>
          </cell>
          <cell r="S118">
            <v>0</v>
          </cell>
          <cell r="T118">
            <v>252.161</v>
          </cell>
          <cell r="V118">
            <v>0</v>
          </cell>
          <cell r="W118">
            <v>0</v>
          </cell>
          <cell r="X118">
            <v>3422.9020382463009</v>
          </cell>
          <cell r="Y118">
            <v>-169.84564170448039</v>
          </cell>
          <cell r="Z118">
            <v>180915.05733582913</v>
          </cell>
          <cell r="AA118">
            <v>84.665510885988311</v>
          </cell>
          <cell r="AD118">
            <v>32.760362400906004</v>
          </cell>
        </row>
        <row r="119">
          <cell r="A119">
            <v>46310</v>
          </cell>
          <cell r="B119">
            <v>84.665510885988311</v>
          </cell>
          <cell r="C119"/>
          <cell r="D119">
            <v>180915.05733582913</v>
          </cell>
          <cell r="E119">
            <v>825.56500000000005</v>
          </cell>
          <cell r="F119">
            <v>0</v>
          </cell>
          <cell r="G119">
            <v>0</v>
          </cell>
          <cell r="H119">
            <v>300</v>
          </cell>
          <cell r="I119">
            <v>1125.5650000000001</v>
          </cell>
          <cell r="J119">
            <v>18</v>
          </cell>
          <cell r="K119" t="str">
            <v>XFILL_PMG100%</v>
          </cell>
          <cell r="L119">
            <v>10</v>
          </cell>
          <cell r="M119" t="str">
            <v>TA+CCL100%</v>
          </cell>
          <cell r="N119">
            <v>2195.5750939205286</v>
          </cell>
          <cell r="O119">
            <v>245.4710614965916</v>
          </cell>
          <cell r="P119">
            <v>159</v>
          </cell>
          <cell r="Q119">
            <v>0</v>
          </cell>
          <cell r="S119">
            <v>0</v>
          </cell>
          <cell r="T119">
            <v>252.161</v>
          </cell>
          <cell r="V119">
            <v>0</v>
          </cell>
          <cell r="W119">
            <v>0</v>
          </cell>
          <cell r="X119">
            <v>2852.2071554171202</v>
          </cell>
          <cell r="Y119">
            <v>-149.18188222803917</v>
          </cell>
          <cell r="Z119">
            <v>180765.8754536011</v>
          </cell>
          <cell r="AA119">
            <v>84.632615729476285</v>
          </cell>
          <cell r="AD119">
            <v>23.373867497168746</v>
          </cell>
        </row>
        <row r="120">
          <cell r="A120">
            <v>46311</v>
          </cell>
          <cell r="B120">
            <v>84.632615729476285</v>
          </cell>
          <cell r="C120"/>
          <cell r="D120">
            <v>180765.87545360107</v>
          </cell>
          <cell r="E120">
            <v>850.20600000000002</v>
          </cell>
          <cell r="F120">
            <v>0</v>
          </cell>
          <cell r="G120">
            <v>0</v>
          </cell>
          <cell r="H120">
            <v>300</v>
          </cell>
          <cell r="I120">
            <v>1150.2060000000001</v>
          </cell>
          <cell r="J120">
            <v>18</v>
          </cell>
          <cell r="K120" t="str">
            <v>XFILL_PMG100%</v>
          </cell>
          <cell r="L120">
            <v>10</v>
          </cell>
          <cell r="M120" t="str">
            <v>TA+CCL100%</v>
          </cell>
          <cell r="N120">
            <v>2193.4757910491562</v>
          </cell>
          <cell r="O120">
            <v>349.01061907846139</v>
          </cell>
          <cell r="P120">
            <v>159</v>
          </cell>
          <cell r="Q120">
            <v>0</v>
          </cell>
          <cell r="S120">
            <v>0</v>
          </cell>
          <cell r="T120">
            <v>252.161</v>
          </cell>
          <cell r="V120">
            <v>0</v>
          </cell>
          <cell r="W120">
            <v>0</v>
          </cell>
          <cell r="X120">
            <v>2953.6474101276176</v>
          </cell>
          <cell r="Y120">
            <v>-155.81733783502614</v>
          </cell>
          <cell r="Z120">
            <v>180610.05811576603</v>
          </cell>
          <cell r="AA120">
            <v>84.598242968716633</v>
          </cell>
          <cell r="AD120">
            <v>24.071517553793885</v>
          </cell>
        </row>
        <row r="121">
          <cell r="A121">
            <v>46312</v>
          </cell>
          <cell r="B121">
            <v>84.598242968716633</v>
          </cell>
          <cell r="C121"/>
          <cell r="D121">
            <v>180610.05811576603</v>
          </cell>
          <cell r="E121">
            <v>1307.558</v>
          </cell>
          <cell r="F121">
            <v>0</v>
          </cell>
          <cell r="G121">
            <v>0</v>
          </cell>
          <cell r="H121">
            <v>300</v>
          </cell>
          <cell r="I121">
            <v>1607.558</v>
          </cell>
          <cell r="J121">
            <v>18</v>
          </cell>
          <cell r="K121" t="str">
            <v>XFILL_PMG100%</v>
          </cell>
          <cell r="L121">
            <v>10</v>
          </cell>
          <cell r="M121" t="str">
            <v>TA+CCL100%</v>
          </cell>
          <cell r="N121">
            <v>2191.2821904401021</v>
          </cell>
          <cell r="O121">
            <v>750.01964218770593</v>
          </cell>
          <cell r="P121">
            <v>159</v>
          </cell>
          <cell r="Q121">
            <v>0</v>
          </cell>
          <cell r="S121">
            <v>0</v>
          </cell>
          <cell r="T121">
            <v>252.161</v>
          </cell>
          <cell r="V121">
            <v>0</v>
          </cell>
          <cell r="W121">
            <v>0</v>
          </cell>
          <cell r="X121">
            <v>3352.462832627808</v>
          </cell>
          <cell r="Y121">
            <v>-150.7597775390426</v>
          </cell>
          <cell r="Z121">
            <v>180459.298338227</v>
          </cell>
          <cell r="AA121">
            <v>84.564971805652718</v>
          </cell>
          <cell r="AD121">
            <v>37.020328425821063</v>
          </cell>
        </row>
        <row r="122">
          <cell r="A122">
            <v>46313</v>
          </cell>
          <cell r="B122">
            <v>84.564971805652718</v>
          </cell>
          <cell r="C122"/>
          <cell r="D122">
            <v>180459.29833822697</v>
          </cell>
          <cell r="E122">
            <v>1231.6289999999999</v>
          </cell>
          <cell r="F122">
            <v>0</v>
          </cell>
          <cell r="G122">
            <v>0</v>
          </cell>
          <cell r="H122">
            <v>300</v>
          </cell>
          <cell r="I122">
            <v>1531.6289999999999</v>
          </cell>
          <cell r="J122">
            <v>18</v>
          </cell>
          <cell r="K122" t="str">
            <v>XFILL_PMG100%</v>
          </cell>
          <cell r="L122">
            <v>10</v>
          </cell>
          <cell r="M122" t="str">
            <v>TA+CCL100%</v>
          </cell>
          <cell r="N122">
            <v>2189.1588915851953</v>
          </cell>
          <cell r="O122">
            <v>318.62366701152484</v>
          </cell>
          <cell r="P122">
            <v>159</v>
          </cell>
          <cell r="Q122">
            <v>0</v>
          </cell>
          <cell r="S122">
            <v>0</v>
          </cell>
          <cell r="T122">
            <v>252.161</v>
          </cell>
          <cell r="V122">
            <v>0</v>
          </cell>
          <cell r="W122">
            <v>0</v>
          </cell>
          <cell r="X122">
            <v>2918.9435585967203</v>
          </cell>
          <cell r="Y122">
            <v>-119.86397786275666</v>
          </cell>
          <cell r="Z122">
            <v>180339.43436036422</v>
          </cell>
          <cell r="AA122">
            <v>84.538509139032143</v>
          </cell>
          <cell r="AD122">
            <v>34.870583238958098</v>
          </cell>
        </row>
        <row r="123">
          <cell r="A123">
            <v>46314</v>
          </cell>
          <cell r="B123">
            <v>84.538509139032143</v>
          </cell>
          <cell r="C123"/>
          <cell r="D123">
            <v>180339.43436036419</v>
          </cell>
          <cell r="E123">
            <v>944.78300000000002</v>
          </cell>
          <cell r="F123">
            <v>0</v>
          </cell>
          <cell r="G123">
            <v>0</v>
          </cell>
          <cell r="H123">
            <v>300</v>
          </cell>
          <cell r="I123">
            <v>1244.7829999999999</v>
          </cell>
          <cell r="J123">
            <v>18</v>
          </cell>
          <cell r="K123" t="str">
            <v>XFILL_PMG100%</v>
          </cell>
          <cell r="L123">
            <v>10</v>
          </cell>
          <cell r="M123" t="str">
            <v>TA+CCL100%</v>
          </cell>
          <cell r="N123">
            <v>2187.4700973093445</v>
          </cell>
          <cell r="O123">
            <v>283.85897051520408</v>
          </cell>
          <cell r="P123">
            <v>159</v>
          </cell>
          <cell r="Q123">
            <v>0</v>
          </cell>
          <cell r="S123">
            <v>0</v>
          </cell>
          <cell r="T123">
            <v>252.161</v>
          </cell>
          <cell r="V123">
            <v>0</v>
          </cell>
          <cell r="W123">
            <v>0</v>
          </cell>
          <cell r="X123">
            <v>2882.4900678245485</v>
          </cell>
          <cell r="Y123">
            <v>-141.49789066004098</v>
          </cell>
          <cell r="Z123">
            <v>180197.93646970415</v>
          </cell>
          <cell r="AA123">
            <v>84.507259005915557</v>
          </cell>
          <cell r="AD123">
            <v>26.7492355605889</v>
          </cell>
        </row>
        <row r="124">
          <cell r="A124">
            <v>46315</v>
          </cell>
          <cell r="B124">
            <v>84.507259005915557</v>
          </cell>
          <cell r="C124"/>
          <cell r="D124">
            <v>180197.93646970412</v>
          </cell>
          <cell r="E124">
            <v>3256.4209999999998</v>
          </cell>
          <cell r="F124">
            <v>0</v>
          </cell>
          <cell r="G124">
            <v>0</v>
          </cell>
          <cell r="H124">
            <v>300</v>
          </cell>
          <cell r="I124">
            <v>3556.4209999999998</v>
          </cell>
          <cell r="J124">
            <v>18</v>
          </cell>
          <cell r="K124" t="str">
            <v>XFILL_PMG100%</v>
          </cell>
          <cell r="L124">
            <v>10</v>
          </cell>
          <cell r="M124" t="str">
            <v>TA+CCL100%</v>
          </cell>
          <cell r="N124">
            <v>2185.4757765296749</v>
          </cell>
          <cell r="O124">
            <v>710.44011501832699</v>
          </cell>
          <cell r="P124">
            <v>159</v>
          </cell>
          <cell r="Q124">
            <v>0</v>
          </cell>
          <cell r="S124">
            <v>0</v>
          </cell>
          <cell r="T124">
            <v>252.161</v>
          </cell>
          <cell r="V124">
            <v>0</v>
          </cell>
          <cell r="W124">
            <v>0</v>
          </cell>
          <cell r="X124">
            <v>3307.0768915480021</v>
          </cell>
          <cell r="Y124">
            <v>21.543330970252601</v>
          </cell>
          <cell r="Z124">
            <v>180219.47980067437</v>
          </cell>
          <cell r="AA124">
            <v>84.512017689612023</v>
          </cell>
          <cell r="AD124">
            <v>92.197650056625136</v>
          </cell>
        </row>
        <row r="125">
          <cell r="A125">
            <v>46316</v>
          </cell>
          <cell r="B125">
            <v>84.512017689612023</v>
          </cell>
          <cell r="C125"/>
          <cell r="D125">
            <v>180219.47980067437</v>
          </cell>
          <cell r="E125">
            <v>2100.6019999999999</v>
          </cell>
          <cell r="F125">
            <v>0</v>
          </cell>
          <cell r="G125">
            <v>0</v>
          </cell>
          <cell r="H125">
            <v>300</v>
          </cell>
          <cell r="I125">
            <v>2400.6019999999999</v>
          </cell>
          <cell r="J125">
            <v>18</v>
          </cell>
          <cell r="K125" t="str">
            <v>XFILL_PMG100%</v>
          </cell>
          <cell r="L125">
            <v>10</v>
          </cell>
          <cell r="M125" t="str">
            <v>TA+CCL100%</v>
          </cell>
          <cell r="N125">
            <v>2185.7794661729904</v>
          </cell>
          <cell r="O125">
            <v>315.62888713831143</v>
          </cell>
          <cell r="P125">
            <v>159</v>
          </cell>
          <cell r="Q125">
            <v>0</v>
          </cell>
          <cell r="S125">
            <v>0</v>
          </cell>
          <cell r="T125">
            <v>252.161</v>
          </cell>
          <cell r="V125">
            <v>0</v>
          </cell>
          <cell r="W125">
            <v>0</v>
          </cell>
          <cell r="X125">
            <v>2912.5693533113017</v>
          </cell>
          <cell r="Y125">
            <v>-44.233979326096481</v>
          </cell>
          <cell r="Z125">
            <v>180175.24582134828</v>
          </cell>
          <cell r="AA125">
            <v>84.502246585624349</v>
          </cell>
          <cell r="AD125">
            <v>59.473442808607018</v>
          </cell>
        </row>
        <row r="126">
          <cell r="A126">
            <v>46317</v>
          </cell>
          <cell r="B126">
            <v>84.502246585624349</v>
          </cell>
          <cell r="C126"/>
          <cell r="D126">
            <v>180175.24582134828</v>
          </cell>
          <cell r="E126">
            <v>1855.94</v>
          </cell>
          <cell r="F126">
            <v>0</v>
          </cell>
          <cell r="G126">
            <v>0</v>
          </cell>
          <cell r="H126">
            <v>300</v>
          </cell>
          <cell r="I126">
            <v>2155.94</v>
          </cell>
          <cell r="J126">
            <v>18</v>
          </cell>
          <cell r="K126" t="str">
            <v>XFILL_PMG100%</v>
          </cell>
          <cell r="L126">
            <v>10</v>
          </cell>
          <cell r="M126" t="str">
            <v>TA+CCL100%</v>
          </cell>
          <cell r="N126">
            <v>2185.1558939261067</v>
          </cell>
          <cell r="O126">
            <v>426.47674460572813</v>
          </cell>
          <cell r="P126">
            <v>159</v>
          </cell>
          <cell r="Q126">
            <v>0</v>
          </cell>
          <cell r="S126">
            <v>0</v>
          </cell>
          <cell r="T126">
            <v>252.161</v>
          </cell>
          <cell r="V126">
            <v>0</v>
          </cell>
          <cell r="W126">
            <v>0</v>
          </cell>
          <cell r="X126">
            <v>3022.7936385318349</v>
          </cell>
          <cell r="Y126">
            <v>-74.896154369150537</v>
          </cell>
          <cell r="Z126">
            <v>180100.34966697913</v>
          </cell>
          <cell r="AA126">
            <v>84.485699604737675</v>
          </cell>
          <cell r="AD126">
            <v>52.546432616081539</v>
          </cell>
        </row>
        <row r="127">
          <cell r="A127">
            <v>46318</v>
          </cell>
          <cell r="B127">
            <v>84.485699604737675</v>
          </cell>
          <cell r="C127"/>
          <cell r="D127">
            <v>180100.34966697913</v>
          </cell>
          <cell r="E127">
            <v>1573.3119999999999</v>
          </cell>
          <cell r="F127">
            <v>0</v>
          </cell>
          <cell r="G127">
            <v>0</v>
          </cell>
          <cell r="H127">
            <v>300</v>
          </cell>
          <cell r="I127">
            <v>1873.3119999999999</v>
          </cell>
          <cell r="J127">
            <v>18</v>
          </cell>
          <cell r="K127" t="str">
            <v>XFILL_PMG100%</v>
          </cell>
          <cell r="L127">
            <v>10</v>
          </cell>
          <cell r="M127" t="str">
            <v>TA+CCL100%</v>
          </cell>
          <cell r="N127">
            <v>2184.0998988140223</v>
          </cell>
          <cell r="O127">
            <v>405.47183948257691</v>
          </cell>
          <cell r="P127">
            <v>159</v>
          </cell>
          <cell r="Q127">
            <v>0</v>
          </cell>
          <cell r="S127">
            <v>0</v>
          </cell>
          <cell r="T127">
            <v>252.161</v>
          </cell>
          <cell r="V127">
            <v>0</v>
          </cell>
          <cell r="W127">
            <v>0</v>
          </cell>
          <cell r="X127">
            <v>3000.7327382965991</v>
          </cell>
          <cell r="Y127">
            <v>-97.409151788826165</v>
          </cell>
          <cell r="Z127">
            <v>180002.9405151903</v>
          </cell>
          <cell r="AA127">
            <v>84.464173639223787</v>
          </cell>
          <cell r="AD127">
            <v>44.544507361268401</v>
          </cell>
        </row>
        <row r="128">
          <cell r="A128">
            <v>46319</v>
          </cell>
          <cell r="B128">
            <v>84.464173639223787</v>
          </cell>
          <cell r="C128"/>
          <cell r="D128">
            <v>180002.9405151903</v>
          </cell>
          <cell r="E128">
            <v>4133.2299999999996</v>
          </cell>
          <cell r="F128">
            <v>0</v>
          </cell>
          <cell r="G128">
            <v>0</v>
          </cell>
          <cell r="H128">
            <v>300</v>
          </cell>
          <cell r="I128">
            <v>4433.2299999999996</v>
          </cell>
          <cell r="J128">
            <v>18</v>
          </cell>
          <cell r="K128" t="str">
            <v>XFILL_PMG100%</v>
          </cell>
          <cell r="L128">
            <v>10</v>
          </cell>
          <cell r="M128" t="str">
            <v>TA+CCL100%</v>
          </cell>
          <cell r="N128">
            <v>2182.7261548953447</v>
          </cell>
          <cell r="O128">
            <v>620.85682645080271</v>
          </cell>
          <cell r="P128">
            <v>159</v>
          </cell>
          <cell r="Q128">
            <v>0</v>
          </cell>
          <cell r="S128">
            <v>0</v>
          </cell>
          <cell r="T128">
            <v>252.161</v>
          </cell>
          <cell r="V128">
            <v>0</v>
          </cell>
          <cell r="W128">
            <v>0</v>
          </cell>
          <cell r="X128">
            <v>3214.7439813461474</v>
          </cell>
          <cell r="Y128">
            <v>105.27719201169282</v>
          </cell>
          <cell r="Z128">
            <v>180108.21770720198</v>
          </cell>
          <cell r="AA128">
            <v>84.487438070422627</v>
          </cell>
          <cell r="AD128">
            <v>117.02236693091731</v>
          </cell>
        </row>
        <row r="129">
          <cell r="A129">
            <v>46320</v>
          </cell>
          <cell r="B129">
            <v>84.487438070422627</v>
          </cell>
          <cell r="C129"/>
          <cell r="D129">
            <v>180108.21770720195</v>
          </cell>
          <cell r="E129">
            <v>2795.2710000000002</v>
          </cell>
          <cell r="F129">
            <v>0</v>
          </cell>
          <cell r="G129">
            <v>0</v>
          </cell>
          <cell r="H129">
            <v>300</v>
          </cell>
          <cell r="I129">
            <v>3095.2710000000002</v>
          </cell>
          <cell r="J129">
            <v>18</v>
          </cell>
          <cell r="K129" t="str">
            <v>XFILL_PMG100%</v>
          </cell>
          <cell r="L129">
            <v>10</v>
          </cell>
          <cell r="M129" t="str">
            <v>TA+CCL100%</v>
          </cell>
          <cell r="N129">
            <v>2184.2108442051131</v>
          </cell>
          <cell r="O129">
            <v>218.39771052471616</v>
          </cell>
          <cell r="P129">
            <v>159</v>
          </cell>
          <cell r="Q129">
            <v>0</v>
          </cell>
          <cell r="S129">
            <v>0</v>
          </cell>
          <cell r="T129">
            <v>252.161</v>
          </cell>
          <cell r="V129">
            <v>0</v>
          </cell>
          <cell r="W129">
            <v>0</v>
          </cell>
          <cell r="X129">
            <v>2813.7695547298295</v>
          </cell>
          <cell r="Y129">
            <v>24.321724871342752</v>
          </cell>
          <cell r="Z129">
            <v>180132.5394320733</v>
          </cell>
          <cell r="AA129">
            <v>84.492811784620798</v>
          </cell>
          <cell r="AD129">
            <v>79.141308040770113</v>
          </cell>
        </row>
        <row r="130">
          <cell r="A130">
            <v>46321</v>
          </cell>
          <cell r="B130">
            <v>84.492811784620798</v>
          </cell>
          <cell r="C130"/>
          <cell r="D130">
            <v>180132.5394320733</v>
          </cell>
          <cell r="E130">
            <v>1864.5170000000001</v>
          </cell>
          <cell r="F130">
            <v>0</v>
          </cell>
          <cell r="G130">
            <v>0</v>
          </cell>
          <cell r="H130">
            <v>300</v>
          </cell>
          <cell r="I130">
            <v>2164.5169999999998</v>
          </cell>
          <cell r="J130">
            <v>18</v>
          </cell>
          <cell r="K130" t="str">
            <v>XFILL_PMG100%</v>
          </cell>
          <cell r="L130">
            <v>10</v>
          </cell>
          <cell r="M130" t="str">
            <v>TA+CCL100%</v>
          </cell>
          <cell r="N130">
            <v>2184.5537838607434</v>
          </cell>
          <cell r="O130">
            <v>203.37596084584388</v>
          </cell>
          <cell r="P130">
            <v>159</v>
          </cell>
          <cell r="Q130">
            <v>0</v>
          </cell>
          <cell r="S130">
            <v>0</v>
          </cell>
          <cell r="T130">
            <v>252.161</v>
          </cell>
          <cell r="V130">
            <v>0</v>
          </cell>
          <cell r="W130">
            <v>0</v>
          </cell>
          <cell r="X130">
            <v>2799.0907447065874</v>
          </cell>
          <cell r="Y130">
            <v>-54.827171542649168</v>
          </cell>
          <cell r="Z130">
            <v>180077.71226053065</v>
          </cell>
          <cell r="AA130">
            <v>84.48069759460833</v>
          </cell>
          <cell r="AD130">
            <v>52.789269535673839</v>
          </cell>
        </row>
        <row r="131">
          <cell r="A131">
            <v>46322</v>
          </cell>
          <cell r="B131">
            <v>84.48069759460833</v>
          </cell>
          <cell r="C131"/>
          <cell r="D131">
            <v>180077.71226053062</v>
          </cell>
          <cell r="E131">
            <v>1817.979</v>
          </cell>
          <cell r="F131">
            <v>0</v>
          </cell>
          <cell r="G131">
            <v>0</v>
          </cell>
          <cell r="H131">
            <v>300</v>
          </cell>
          <cell r="I131">
            <v>2117.9790000000003</v>
          </cell>
          <cell r="J131">
            <v>18</v>
          </cell>
          <cell r="K131" t="str">
            <v>XFILL_PMG100%</v>
          </cell>
          <cell r="L131">
            <v>10</v>
          </cell>
          <cell r="M131" t="str">
            <v>TA+CCL100%</v>
          </cell>
          <cell r="N131">
            <v>2183.7806805660921</v>
          </cell>
          <cell r="O131">
            <v>185.67767247830949</v>
          </cell>
          <cell r="P131">
            <v>159</v>
          </cell>
          <cell r="Q131">
            <v>0</v>
          </cell>
          <cell r="S131">
            <v>0</v>
          </cell>
          <cell r="T131">
            <v>252.161</v>
          </cell>
          <cell r="V131">
            <v>0</v>
          </cell>
          <cell r="W131">
            <v>0</v>
          </cell>
          <cell r="X131">
            <v>2780.6193530444016</v>
          </cell>
          <cell r="Y131">
            <v>-57.252126503036266</v>
          </cell>
          <cell r="Z131">
            <v>180020.46013402758</v>
          </cell>
          <cell r="AA131">
            <v>84.468045641404032</v>
          </cell>
          <cell r="AD131">
            <v>51.471659116647793</v>
          </cell>
        </row>
        <row r="132">
          <cell r="A132">
            <v>46323</v>
          </cell>
          <cell r="B132">
            <v>84.468045641404032</v>
          </cell>
          <cell r="C132"/>
          <cell r="D132">
            <v>180020.46013402761</v>
          </cell>
          <cell r="E132">
            <v>1573.6559999999999</v>
          </cell>
          <cell r="F132">
            <v>0</v>
          </cell>
          <cell r="G132">
            <v>0</v>
          </cell>
          <cell r="H132">
            <v>300</v>
          </cell>
          <cell r="I132">
            <v>1873.6559999999999</v>
          </cell>
          <cell r="J132">
            <v>18</v>
          </cell>
          <cell r="K132" t="str">
            <v>XFILL_PMG100%</v>
          </cell>
          <cell r="L132">
            <v>10</v>
          </cell>
          <cell r="M132" t="str">
            <v>TA+CCL100%</v>
          </cell>
          <cell r="N132">
            <v>2182.9732583037739</v>
          </cell>
          <cell r="O132">
            <v>382.21846175460854</v>
          </cell>
          <cell r="P132">
            <v>159</v>
          </cell>
          <cell r="Q132">
            <v>0</v>
          </cell>
          <cell r="S132">
            <v>0</v>
          </cell>
          <cell r="T132">
            <v>252.161</v>
          </cell>
          <cell r="V132">
            <v>0</v>
          </cell>
          <cell r="W132">
            <v>0</v>
          </cell>
          <cell r="X132">
            <v>2976.3527200583826</v>
          </cell>
          <cell r="Y132">
            <v>-95.272996613044256</v>
          </cell>
          <cell r="Z132">
            <v>179925.18713741456</v>
          </cell>
          <cell r="AA132">
            <v>84.446987135297491</v>
          </cell>
          <cell r="AD132">
            <v>44.554246885617211</v>
          </cell>
        </row>
        <row r="133">
          <cell r="A133">
            <v>46324</v>
          </cell>
          <cell r="B133">
            <v>84.446987135297491</v>
          </cell>
          <cell r="C133"/>
          <cell r="D133">
            <v>179925.18713741453</v>
          </cell>
          <cell r="E133">
            <v>1537.5889999999999</v>
          </cell>
          <cell r="F133">
            <v>0</v>
          </cell>
          <cell r="G133">
            <v>0</v>
          </cell>
          <cell r="H133">
            <v>300</v>
          </cell>
          <cell r="I133">
            <v>1837.5889999999999</v>
          </cell>
          <cell r="J133">
            <v>18</v>
          </cell>
          <cell r="K133" t="str">
            <v>XFILL_PMG100%</v>
          </cell>
          <cell r="L133">
            <v>10</v>
          </cell>
          <cell r="M133" t="str">
            <v>TA+CCL100%</v>
          </cell>
          <cell r="N133">
            <v>2181.6293467063288</v>
          </cell>
          <cell r="O133">
            <v>350.13028386627593</v>
          </cell>
          <cell r="P133">
            <v>159</v>
          </cell>
          <cell r="Q133">
            <v>0</v>
          </cell>
          <cell r="S133">
            <v>0</v>
          </cell>
          <cell r="T133">
            <v>252.161</v>
          </cell>
          <cell r="V133">
            <v>0</v>
          </cell>
          <cell r="W133">
            <v>0</v>
          </cell>
          <cell r="X133">
            <v>2942.9206305726048</v>
          </cell>
          <cell r="Y133">
            <v>-95.500652881473059</v>
          </cell>
          <cell r="Z133">
            <v>179829.68648453304</v>
          </cell>
          <cell r="AA133">
            <v>84.425872726758939</v>
          </cell>
          <cell r="AD133">
            <v>43.533097395243487</v>
          </cell>
        </row>
        <row r="134">
          <cell r="A134">
            <v>46325</v>
          </cell>
          <cell r="B134">
            <v>84.425872726758939</v>
          </cell>
          <cell r="C134"/>
          <cell r="D134">
            <v>179829.68648453298</v>
          </cell>
          <cell r="E134">
            <v>1403.7929999999999</v>
          </cell>
          <cell r="F134">
            <v>0</v>
          </cell>
          <cell r="G134">
            <v>0</v>
          </cell>
          <cell r="H134">
            <v>300</v>
          </cell>
          <cell r="I134">
            <v>1703.7929999999999</v>
          </cell>
          <cell r="J134">
            <v>18</v>
          </cell>
          <cell r="K134" t="str">
            <v>XFILL_PMG100%</v>
          </cell>
          <cell r="L134">
            <v>10</v>
          </cell>
          <cell r="M134" t="str">
            <v>TA+CCL100%</v>
          </cell>
          <cell r="N134">
            <v>2180.281867527865</v>
          </cell>
          <cell r="O134">
            <v>278.65791551010273</v>
          </cell>
          <cell r="P134">
            <v>159</v>
          </cell>
          <cell r="Q134">
            <v>0</v>
          </cell>
          <cell r="S134">
            <v>0</v>
          </cell>
          <cell r="T134">
            <v>252.161</v>
          </cell>
          <cell r="V134">
            <v>0</v>
          </cell>
          <cell r="W134">
            <v>0</v>
          </cell>
          <cell r="X134">
            <v>2870.1007830379676</v>
          </cell>
          <cell r="Y134">
            <v>-100.76899245448041</v>
          </cell>
          <cell r="Z134">
            <v>179728.9174920785</v>
          </cell>
          <cell r="AA134">
            <v>84.403587466289849</v>
          </cell>
          <cell r="AD134">
            <v>39.744988674971687</v>
          </cell>
        </row>
        <row r="135">
          <cell r="A135">
            <v>46326</v>
          </cell>
          <cell r="B135">
            <v>84.403587466289849</v>
          </cell>
          <cell r="C135"/>
          <cell r="D135">
            <v>179728.91749207847</v>
          </cell>
          <cell r="E135">
            <v>1636.7439999999999</v>
          </cell>
          <cell r="F135">
            <v>0</v>
          </cell>
          <cell r="G135">
            <v>0</v>
          </cell>
          <cell r="H135">
            <v>300</v>
          </cell>
          <cell r="I135">
            <v>1936.7439999999999</v>
          </cell>
          <cell r="J135">
            <v>18</v>
          </cell>
          <cell r="K135" t="str">
            <v>XFILL_PMG100%</v>
          </cell>
          <cell r="L135">
            <v>10</v>
          </cell>
          <cell r="M135" t="str">
            <v>TA+CCL100%</v>
          </cell>
          <cell r="N135">
            <v>2178.8596669289723</v>
          </cell>
          <cell r="O135">
            <v>451.07039095215237</v>
          </cell>
          <cell r="P135">
            <v>159</v>
          </cell>
          <cell r="Q135">
            <v>0</v>
          </cell>
          <cell r="S135">
            <v>0</v>
          </cell>
          <cell r="T135">
            <v>252.161</v>
          </cell>
          <cell r="V135">
            <v>0</v>
          </cell>
          <cell r="W135">
            <v>0</v>
          </cell>
          <cell r="X135">
            <v>3041.0910578811245</v>
          </cell>
          <cell r="Y135">
            <v>-95.415585800929165</v>
          </cell>
          <cell r="Z135">
            <v>179633.50190627755</v>
          </cell>
          <cell r="AA135">
            <v>84.382480376878092</v>
          </cell>
          <cell r="AD135">
            <v>46.340430351075874</v>
          </cell>
        </row>
        <row r="136">
          <cell r="A136">
            <v>46327</v>
          </cell>
          <cell r="B136">
            <v>84.382480376878092</v>
          </cell>
          <cell r="C136"/>
          <cell r="D136">
            <v>179633.5019062775</v>
          </cell>
          <cell r="E136">
            <v>1962.4090000000001</v>
          </cell>
          <cell r="F136">
            <v>0</v>
          </cell>
          <cell r="G136">
            <v>0</v>
          </cell>
          <cell r="H136">
            <v>300</v>
          </cell>
          <cell r="I136">
            <v>2262.4090000000001</v>
          </cell>
          <cell r="J136">
            <v>18</v>
          </cell>
          <cell r="K136" t="str">
            <v>XFILL_PMG100%</v>
          </cell>
          <cell r="L136">
            <v>10</v>
          </cell>
          <cell r="M136" t="str">
            <v>TA+CCL100%</v>
          </cell>
          <cell r="N136">
            <v>2177.5126548424914</v>
          </cell>
          <cell r="O136">
            <v>443.01748338486124</v>
          </cell>
          <cell r="P136">
            <v>159</v>
          </cell>
          <cell r="Q136">
            <v>0</v>
          </cell>
          <cell r="S136">
            <v>0</v>
          </cell>
          <cell r="T136">
            <v>252.161</v>
          </cell>
          <cell r="V136">
            <v>0</v>
          </cell>
          <cell r="W136">
            <v>0</v>
          </cell>
          <cell r="X136">
            <v>3031.6911382273529</v>
          </cell>
          <cell r="Y136">
            <v>-66.465976742843281</v>
          </cell>
          <cell r="Z136">
            <v>179567.03592953464</v>
          </cell>
          <cell r="AA136">
            <v>84.367773988702766</v>
          </cell>
          <cell r="AD136">
            <v>55.560843714609291</v>
          </cell>
        </row>
        <row r="137">
          <cell r="A137">
            <v>46328</v>
          </cell>
          <cell r="B137">
            <v>84.367773988702766</v>
          </cell>
          <cell r="C137"/>
          <cell r="D137">
            <v>179567.03592953461</v>
          </cell>
          <cell r="E137">
            <v>3000</v>
          </cell>
          <cell r="F137">
            <v>0</v>
          </cell>
          <cell r="G137">
            <v>0</v>
          </cell>
          <cell r="H137">
            <v>300</v>
          </cell>
          <cell r="I137">
            <v>3300</v>
          </cell>
          <cell r="J137">
            <v>18</v>
          </cell>
          <cell r="K137" t="str">
            <v>XFILL_PMG100%</v>
          </cell>
          <cell r="L137">
            <v>10</v>
          </cell>
          <cell r="M137" t="str">
            <v>TA+CCL100%</v>
          </cell>
          <cell r="N137">
            <v>2176.5741226633631</v>
          </cell>
          <cell r="O137">
            <v>384.48974767638833</v>
          </cell>
          <cell r="P137">
            <v>159</v>
          </cell>
          <cell r="Q137">
            <v>0</v>
          </cell>
          <cell r="S137">
            <v>0</v>
          </cell>
          <cell r="T137">
            <v>252.161</v>
          </cell>
          <cell r="V137">
            <v>0</v>
          </cell>
          <cell r="W137">
            <v>0</v>
          </cell>
          <cell r="X137">
            <v>2972.2248703397518</v>
          </cell>
          <cell r="Y137">
            <v>28.319771202645448</v>
          </cell>
          <cell r="Z137">
            <v>179595.35570073727</v>
          </cell>
          <cell r="AA137">
            <v>84.374040406966159</v>
          </cell>
          <cell r="AD137">
            <v>84.937712344280854</v>
          </cell>
        </row>
        <row r="138">
          <cell r="A138">
            <v>46329</v>
          </cell>
          <cell r="B138">
            <v>84.374040406966159</v>
          </cell>
          <cell r="C138"/>
          <cell r="D138">
            <v>179595.35570073721</v>
          </cell>
          <cell r="E138">
            <v>2000</v>
          </cell>
          <cell r="F138">
            <v>0</v>
          </cell>
          <cell r="G138">
            <v>0</v>
          </cell>
          <cell r="H138">
            <v>300</v>
          </cell>
          <cell r="I138">
            <v>2300</v>
          </cell>
          <cell r="J138">
            <v>18</v>
          </cell>
          <cell r="K138" t="str">
            <v>XFILL_PMG100%</v>
          </cell>
          <cell r="L138">
            <v>10</v>
          </cell>
          <cell r="M138" t="str">
            <v>TA+CCL100%</v>
          </cell>
          <cell r="N138">
            <v>2176.97403290087</v>
          </cell>
          <cell r="O138">
            <v>529.13925769335481</v>
          </cell>
          <cell r="P138">
            <v>159</v>
          </cell>
          <cell r="Q138">
            <v>0</v>
          </cell>
          <cell r="S138">
            <v>0</v>
          </cell>
          <cell r="T138">
            <v>252.161</v>
          </cell>
          <cell r="V138">
            <v>0</v>
          </cell>
          <cell r="W138">
            <v>0</v>
          </cell>
          <cell r="X138">
            <v>3117.274290594225</v>
          </cell>
          <cell r="Y138">
            <v>-70.612498707341047</v>
          </cell>
          <cell r="Z138">
            <v>179524.74320202987</v>
          </cell>
          <cell r="AA138">
            <v>84.358414805947703</v>
          </cell>
          <cell r="AD138">
            <v>56.625141562853905</v>
          </cell>
        </row>
        <row r="139">
          <cell r="A139">
            <v>46330</v>
          </cell>
          <cell r="B139">
            <v>84.358414805947703</v>
          </cell>
          <cell r="C139"/>
          <cell r="D139">
            <v>179524.74320202984</v>
          </cell>
          <cell r="E139">
            <v>4000</v>
          </cell>
          <cell r="F139">
            <v>0</v>
          </cell>
          <cell r="G139">
            <v>0</v>
          </cell>
          <cell r="H139">
            <v>300</v>
          </cell>
          <cell r="I139">
            <v>4300</v>
          </cell>
          <cell r="J139">
            <v>18</v>
          </cell>
          <cell r="K139" t="str">
            <v>XFILL_PMG100%</v>
          </cell>
          <cell r="L139">
            <v>10</v>
          </cell>
          <cell r="M139" t="str">
            <v>TA+CCL100%</v>
          </cell>
          <cell r="N139">
            <v>2175.9768384028607</v>
          </cell>
          <cell r="O139">
            <v>643.7768851099421</v>
          </cell>
          <cell r="P139">
            <v>159</v>
          </cell>
          <cell r="Q139">
            <v>0</v>
          </cell>
          <cell r="S139">
            <v>0</v>
          </cell>
          <cell r="T139">
            <v>252.161</v>
          </cell>
          <cell r="V139">
            <v>0</v>
          </cell>
          <cell r="W139">
            <v>0</v>
          </cell>
          <cell r="X139">
            <v>3230.914723512803</v>
          </cell>
          <cell r="Y139">
            <v>92.368967888493813</v>
          </cell>
          <cell r="Z139">
            <v>179617.11216991834</v>
          </cell>
          <cell r="AA139">
            <v>84.37885420486711</v>
          </cell>
          <cell r="AD139">
            <v>113.25028312570781</v>
          </cell>
        </row>
        <row r="140">
          <cell r="A140">
            <v>46331</v>
          </cell>
          <cell r="B140">
            <v>84.37885420486711</v>
          </cell>
          <cell r="C140"/>
          <cell r="D140">
            <v>179617.11216991834</v>
          </cell>
          <cell r="E140">
            <v>1665.6010000000001</v>
          </cell>
          <cell r="F140">
            <v>0</v>
          </cell>
          <cell r="G140">
            <v>0</v>
          </cell>
          <cell r="H140">
            <v>300</v>
          </cell>
          <cell r="I140">
            <v>1965.6010000000001</v>
          </cell>
          <cell r="J140">
            <v>18</v>
          </cell>
          <cell r="K140" t="str">
            <v>XFILL_PMG100%</v>
          </cell>
          <cell r="L140">
            <v>10</v>
          </cell>
          <cell r="M140" t="str">
            <v>TA+CCL100%</v>
          </cell>
          <cell r="N140">
            <v>2177.2812398221076</v>
          </cell>
          <cell r="O140">
            <v>309.80576158056971</v>
          </cell>
          <cell r="P140">
            <v>159</v>
          </cell>
          <cell r="Q140">
            <v>0</v>
          </cell>
          <cell r="S140">
            <v>0</v>
          </cell>
          <cell r="T140">
            <v>252.161</v>
          </cell>
          <cell r="V140">
            <v>0</v>
          </cell>
          <cell r="W140">
            <v>0</v>
          </cell>
          <cell r="X140">
            <v>2898.2480014026773</v>
          </cell>
          <cell r="Y140">
            <v>-80.580700921191323</v>
          </cell>
          <cell r="Z140">
            <v>179536.53146899716</v>
          </cell>
          <cell r="AA140">
            <v>84.36102360482424</v>
          </cell>
          <cell r="AD140">
            <v>47.157446206115516</v>
          </cell>
        </row>
        <row r="141">
          <cell r="A141">
            <v>46332</v>
          </cell>
          <cell r="B141">
            <v>84.36102360482424</v>
          </cell>
          <cell r="C141"/>
          <cell r="D141">
            <v>179536.53146899713</v>
          </cell>
          <cell r="E141">
            <v>1100.8409999999999</v>
          </cell>
          <cell r="F141">
            <v>0</v>
          </cell>
          <cell r="G141">
            <v>0</v>
          </cell>
          <cell r="H141">
            <v>300</v>
          </cell>
          <cell r="I141">
            <v>1400.8409999999999</v>
          </cell>
          <cell r="J141">
            <v>18</v>
          </cell>
          <cell r="K141" t="str">
            <v>XFILL_PMG100%</v>
          </cell>
          <cell r="L141">
            <v>10</v>
          </cell>
          <cell r="M141" t="str">
            <v>TA+CCL100%</v>
          </cell>
          <cell r="N141">
            <v>2176.1433267115681</v>
          </cell>
          <cell r="O141">
            <v>543.91672213260199</v>
          </cell>
          <cell r="P141">
            <v>159</v>
          </cell>
          <cell r="Q141">
            <v>0</v>
          </cell>
          <cell r="S141">
            <v>0</v>
          </cell>
          <cell r="T141">
            <v>252.161</v>
          </cell>
          <cell r="V141">
            <v>0</v>
          </cell>
          <cell r="W141">
            <v>0</v>
          </cell>
          <cell r="X141">
            <v>3131.2210488441701</v>
          </cell>
          <cell r="Y141">
            <v>-149.5048362201363</v>
          </cell>
          <cell r="Z141">
            <v>179387.02663277698</v>
          </cell>
          <cell r="AA141">
            <v>84.327931149583179</v>
          </cell>
          <cell r="AD141">
            <v>31.167638731596824</v>
          </cell>
        </row>
        <row r="142">
          <cell r="A142">
            <v>46333</v>
          </cell>
          <cell r="B142">
            <v>84.327931149583179</v>
          </cell>
          <cell r="C142"/>
          <cell r="D142">
            <v>179387.02663277698</v>
          </cell>
          <cell r="E142">
            <v>1930.7090000000001</v>
          </cell>
          <cell r="F142">
            <v>0</v>
          </cell>
          <cell r="G142">
            <v>0</v>
          </cell>
          <cell r="H142">
            <v>300</v>
          </cell>
          <cell r="I142">
            <v>2230.7089999999998</v>
          </cell>
          <cell r="J142">
            <v>18</v>
          </cell>
          <cell r="K142" t="str">
            <v>XFILL_PMG100%</v>
          </cell>
          <cell r="L142">
            <v>10</v>
          </cell>
          <cell r="M142" t="str">
            <v>TA+CCL100%</v>
          </cell>
          <cell r="N142">
            <v>2174.0314326312669</v>
          </cell>
          <cell r="O142">
            <v>524.09845355013738</v>
          </cell>
          <cell r="P142">
            <v>159</v>
          </cell>
          <cell r="Q142">
            <v>0</v>
          </cell>
          <cell r="S142">
            <v>0</v>
          </cell>
          <cell r="T142">
            <v>252.161</v>
          </cell>
          <cell r="V142">
            <v>0</v>
          </cell>
          <cell r="W142">
            <v>0</v>
          </cell>
          <cell r="X142">
            <v>3109.2908861814044</v>
          </cell>
          <cell r="Y142">
            <v>-75.909474966073361</v>
          </cell>
          <cell r="Z142">
            <v>179311.11715781089</v>
          </cell>
          <cell r="AA142">
            <v>84.311123545046172</v>
          </cell>
          <cell r="AD142">
            <v>54.66333522083805</v>
          </cell>
        </row>
        <row r="143">
          <cell r="A143">
            <v>46334</v>
          </cell>
          <cell r="B143">
            <v>84.311123545046172</v>
          </cell>
          <cell r="C143"/>
          <cell r="D143">
            <v>179311.11715781083</v>
          </cell>
          <cell r="E143">
            <v>1092.671</v>
          </cell>
          <cell r="F143">
            <v>0</v>
          </cell>
          <cell r="G143">
            <v>0</v>
          </cell>
          <cell r="H143">
            <v>300</v>
          </cell>
          <cell r="I143">
            <v>1392.671</v>
          </cell>
          <cell r="J143">
            <v>18</v>
          </cell>
          <cell r="K143" t="str">
            <v>XFILL_PMG100%</v>
          </cell>
          <cell r="L143">
            <v>10</v>
          </cell>
          <cell r="M143" t="str">
            <v>TA+CCL100%</v>
          </cell>
          <cell r="N143">
            <v>2172.9588050408643</v>
          </cell>
          <cell r="O143">
            <v>341.99324605416251</v>
          </cell>
          <cell r="P143">
            <v>159</v>
          </cell>
          <cell r="Q143">
            <v>0</v>
          </cell>
          <cell r="S143">
            <v>0</v>
          </cell>
          <cell r="T143">
            <v>252.161</v>
          </cell>
          <cell r="V143">
            <v>0</v>
          </cell>
          <cell r="W143">
            <v>0</v>
          </cell>
          <cell r="X143">
            <v>2926.113051095027</v>
          </cell>
          <cell r="Y143">
            <v>-132.48939321461032</v>
          </cell>
          <cell r="Z143">
            <v>179178.62776459623</v>
          </cell>
          <cell r="AA143">
            <v>84.281779711909692</v>
          </cell>
          <cell r="AD143">
            <v>30.936325028312574</v>
          </cell>
        </row>
        <row r="144">
          <cell r="A144">
            <v>46335</v>
          </cell>
          <cell r="B144">
            <v>84.281779711909692</v>
          </cell>
          <cell r="C144"/>
          <cell r="D144">
            <v>179178.6277645962</v>
          </cell>
          <cell r="E144">
            <v>4163.2420000000002</v>
          </cell>
          <cell r="F144">
            <v>0</v>
          </cell>
          <cell r="G144">
            <v>0</v>
          </cell>
          <cell r="H144">
            <v>300</v>
          </cell>
          <cell r="I144">
            <v>4463.2420000000002</v>
          </cell>
          <cell r="J144">
            <v>18</v>
          </cell>
          <cell r="K144" t="str">
            <v>XFILL_PMG100%</v>
          </cell>
          <cell r="L144">
            <v>10</v>
          </cell>
          <cell r="M144" t="str">
            <v>TA+CCL100%</v>
          </cell>
          <cell r="N144">
            <v>2171.0861405001756</v>
          </cell>
          <cell r="O144">
            <v>223.23703567665777</v>
          </cell>
          <cell r="P144">
            <v>159</v>
          </cell>
          <cell r="Q144">
            <v>0</v>
          </cell>
          <cell r="S144">
            <v>0</v>
          </cell>
          <cell r="T144">
            <v>252.161</v>
          </cell>
          <cell r="V144">
            <v>0</v>
          </cell>
          <cell r="W144">
            <v>0</v>
          </cell>
          <cell r="X144">
            <v>2805.4841761768334</v>
          </cell>
          <cell r="Y144">
            <v>143.2302759783216</v>
          </cell>
          <cell r="Z144">
            <v>179321.85804057453</v>
          </cell>
          <cell r="AA144">
            <v>84.313501968442111</v>
          </cell>
          <cell r="AD144">
            <v>117.87208380520951</v>
          </cell>
        </row>
        <row r="145">
          <cell r="A145">
            <v>46336</v>
          </cell>
          <cell r="B145">
            <v>84.313501968442111</v>
          </cell>
          <cell r="C145"/>
          <cell r="D145">
            <v>179321.85804057456</v>
          </cell>
          <cell r="E145">
            <v>4263.8059999999996</v>
          </cell>
          <cell r="F145">
            <v>0</v>
          </cell>
          <cell r="G145">
            <v>0</v>
          </cell>
          <cell r="H145">
            <v>300</v>
          </cell>
          <cell r="I145">
            <v>4563.8059999999996</v>
          </cell>
          <cell r="J145">
            <v>18</v>
          </cell>
          <cell r="K145" t="str">
            <v>XFILL_PMG100%</v>
          </cell>
          <cell r="L145">
            <v>10</v>
          </cell>
          <cell r="M145" t="str">
            <v>TA+CCL100%</v>
          </cell>
          <cell r="N145">
            <v>2173.1105912487392</v>
          </cell>
          <cell r="O145">
            <v>393.69456978330879</v>
          </cell>
          <cell r="P145">
            <v>159</v>
          </cell>
          <cell r="Q145">
            <v>0</v>
          </cell>
          <cell r="S145">
            <v>0</v>
          </cell>
          <cell r="T145">
            <v>252.161</v>
          </cell>
          <cell r="V145">
            <v>0</v>
          </cell>
          <cell r="W145">
            <v>0</v>
          </cell>
          <cell r="X145">
            <v>2977.9661610320481</v>
          </cell>
          <cell r="Y145">
            <v>137.01656208683102</v>
          </cell>
          <cell r="Z145">
            <v>179458.87460266138</v>
          </cell>
          <cell r="AA145">
            <v>84.343836202476226</v>
          </cell>
          <cell r="AD145">
            <v>120.71930917327292</v>
          </cell>
        </row>
        <row r="146">
          <cell r="A146">
            <v>46337</v>
          </cell>
          <cell r="B146">
            <v>84.343836202476226</v>
          </cell>
          <cell r="C146"/>
          <cell r="D146">
            <v>179458.87460266135</v>
          </cell>
          <cell r="E146">
            <v>1545.211</v>
          </cell>
          <cell r="F146">
            <v>0</v>
          </cell>
          <cell r="G146">
            <v>0</v>
          </cell>
          <cell r="H146">
            <v>300</v>
          </cell>
          <cell r="I146">
            <v>1845.211</v>
          </cell>
          <cell r="J146">
            <v>18</v>
          </cell>
          <cell r="K146" t="str">
            <v>XFILL_PMG100%</v>
          </cell>
          <cell r="L146">
            <v>10</v>
          </cell>
          <cell r="M146" t="str">
            <v>TA+CCL100%</v>
          </cell>
          <cell r="N146">
            <v>2175.0464611870821</v>
          </cell>
          <cell r="O146">
            <v>181.14897841291096</v>
          </cell>
          <cell r="P146">
            <v>159</v>
          </cell>
          <cell r="Q146">
            <v>0</v>
          </cell>
          <cell r="S146">
            <v>0</v>
          </cell>
          <cell r="T146">
            <v>252.161</v>
          </cell>
          <cell r="V146">
            <v>0</v>
          </cell>
          <cell r="W146">
            <v>0</v>
          </cell>
          <cell r="X146">
            <v>2767.3564395999929</v>
          </cell>
          <cell r="Y146">
            <v>-79.673365981439389</v>
          </cell>
          <cell r="Z146">
            <v>179379.20123667992</v>
          </cell>
          <cell r="AA146">
            <v>84.326198642390324</v>
          </cell>
          <cell r="AD146">
            <v>43.748895809739523</v>
          </cell>
        </row>
        <row r="147">
          <cell r="A147">
            <v>46338</v>
          </cell>
          <cell r="B147">
            <v>84.326198642390324</v>
          </cell>
          <cell r="C147"/>
          <cell r="D147">
            <v>179379.20123667992</v>
          </cell>
          <cell r="E147">
            <v>1049.0930000000001</v>
          </cell>
          <cell r="F147">
            <v>0</v>
          </cell>
          <cell r="G147">
            <v>0</v>
          </cell>
          <cell r="H147">
            <v>300</v>
          </cell>
          <cell r="I147">
            <v>1349.0930000000001</v>
          </cell>
          <cell r="J147">
            <v>18</v>
          </cell>
          <cell r="K147" t="str">
            <v>XFILL_PMG100%</v>
          </cell>
          <cell r="L147">
            <v>10</v>
          </cell>
          <cell r="M147" t="str">
            <v>TA+CCL100%</v>
          </cell>
          <cell r="N147">
            <v>2173.9208674991846</v>
          </cell>
          <cell r="O147">
            <v>385.54085922732588</v>
          </cell>
          <cell r="P147">
            <v>159</v>
          </cell>
          <cell r="Q147">
            <v>0</v>
          </cell>
          <cell r="S147">
            <v>0</v>
          </cell>
          <cell r="T147">
            <v>252.161</v>
          </cell>
          <cell r="V147">
            <v>0</v>
          </cell>
          <cell r="W147">
            <v>0</v>
          </cell>
          <cell r="X147">
            <v>2970.6227267265103</v>
          </cell>
          <cell r="Y147">
            <v>-140.10016838917048</v>
          </cell>
          <cell r="Z147">
            <v>179239.10106829074</v>
          </cell>
          <cell r="AA147">
            <v>84.295174718905741</v>
          </cell>
          <cell r="AD147">
            <v>29.702519818799548</v>
          </cell>
        </row>
        <row r="148">
          <cell r="A148">
            <v>46339</v>
          </cell>
          <cell r="B148">
            <v>84.295174718905741</v>
          </cell>
          <cell r="C148"/>
          <cell r="D148">
            <v>179239.10106829068</v>
          </cell>
          <cell r="E148">
            <v>1085.9659999999999</v>
          </cell>
          <cell r="F148">
            <v>0</v>
          </cell>
          <cell r="G148">
            <v>0</v>
          </cell>
          <cell r="H148">
            <v>300</v>
          </cell>
          <cell r="I148">
            <v>1385.9659999999999</v>
          </cell>
          <cell r="J148">
            <v>18</v>
          </cell>
          <cell r="K148" t="str">
            <v>XFILL_PMG100%</v>
          </cell>
          <cell r="L148">
            <v>10</v>
          </cell>
          <cell r="M148" t="str">
            <v>TA+CCL100%</v>
          </cell>
          <cell r="N148">
            <v>2171.94098296425</v>
          </cell>
          <cell r="O148">
            <v>274.15162156020313</v>
          </cell>
          <cell r="P148">
            <v>159</v>
          </cell>
          <cell r="Q148">
            <v>0</v>
          </cell>
          <cell r="S148">
            <v>0</v>
          </cell>
          <cell r="T148">
            <v>252.161</v>
          </cell>
          <cell r="V148">
            <v>0</v>
          </cell>
          <cell r="W148">
            <v>0</v>
          </cell>
          <cell r="X148">
            <v>2857.2536045244533</v>
          </cell>
          <cell r="Y148">
            <v>-127.11924903091277</v>
          </cell>
          <cell r="Z148">
            <v>179111.98181925976</v>
          </cell>
          <cell r="AA148">
            <v>84.267014835116399</v>
          </cell>
          <cell r="AD148">
            <v>30.746489241223099</v>
          </cell>
        </row>
        <row r="149">
          <cell r="A149">
            <v>46340</v>
          </cell>
          <cell r="B149">
            <v>84.267014835116399</v>
          </cell>
          <cell r="C149"/>
          <cell r="D149">
            <v>179111.98181925973</v>
          </cell>
          <cell r="E149">
            <v>1957.972</v>
          </cell>
          <cell r="F149">
            <v>0</v>
          </cell>
          <cell r="G149">
            <v>0</v>
          </cell>
          <cell r="H149">
            <v>300</v>
          </cell>
          <cell r="I149">
            <v>2257.9719999999998</v>
          </cell>
          <cell r="J149">
            <v>18</v>
          </cell>
          <cell r="K149" t="str">
            <v>XFILL_PMG100%</v>
          </cell>
          <cell r="L149">
            <v>10</v>
          </cell>
          <cell r="M149" t="str">
            <v>TA+CCL100%</v>
          </cell>
          <cell r="N149">
            <v>2170.1438756948301</v>
          </cell>
          <cell r="O149">
            <v>569.77924297520246</v>
          </cell>
          <cell r="P149">
            <v>159</v>
          </cell>
          <cell r="Q149">
            <v>0</v>
          </cell>
          <cell r="S149">
            <v>0</v>
          </cell>
          <cell r="T149">
            <v>252.161</v>
          </cell>
          <cell r="V149">
            <v>0</v>
          </cell>
          <cell r="W149">
            <v>0</v>
          </cell>
          <cell r="X149">
            <v>3151.0841186700327</v>
          </cell>
          <cell r="Y149">
            <v>-77.164887053090837</v>
          </cell>
          <cell r="Z149">
            <v>179034.81693220665</v>
          </cell>
          <cell r="AA149">
            <v>84.249916147112941</v>
          </cell>
          <cell r="AD149">
            <v>55.435220838052096</v>
          </cell>
        </row>
        <row r="150">
          <cell r="A150">
            <v>46341</v>
          </cell>
          <cell r="B150">
            <v>84.249916147112941</v>
          </cell>
          <cell r="C150"/>
          <cell r="D150">
            <v>179034.81693220665</v>
          </cell>
          <cell r="E150">
            <v>1829.068</v>
          </cell>
          <cell r="F150">
            <v>0</v>
          </cell>
          <cell r="G150">
            <v>0</v>
          </cell>
          <cell r="H150">
            <v>300</v>
          </cell>
          <cell r="I150">
            <v>2129.0680000000002</v>
          </cell>
          <cell r="J150">
            <v>18</v>
          </cell>
          <cell r="K150" t="str">
            <v>XFILL_PMG100%</v>
          </cell>
          <cell r="L150">
            <v>10</v>
          </cell>
          <cell r="M150" t="str">
            <v>TA+CCL100%</v>
          </cell>
          <cell r="N150">
            <v>2169.0526717417724</v>
          </cell>
          <cell r="O150">
            <v>296.98859497664921</v>
          </cell>
          <cell r="P150">
            <v>159</v>
          </cell>
          <cell r="Q150">
            <v>0</v>
          </cell>
          <cell r="S150">
            <v>0</v>
          </cell>
          <cell r="T150">
            <v>252.161</v>
          </cell>
          <cell r="V150">
            <v>0</v>
          </cell>
          <cell r="W150">
            <v>0</v>
          </cell>
          <cell r="X150">
            <v>2877.2022667184219</v>
          </cell>
          <cell r="Y150">
            <v>-64.638800644471644</v>
          </cell>
          <cell r="Z150">
            <v>178970.17813156219</v>
          </cell>
          <cell r="AA150">
            <v>84.235590239703257</v>
          </cell>
          <cell r="AD150">
            <v>51.785617214043036</v>
          </cell>
        </row>
        <row r="151">
          <cell r="A151">
            <v>46342</v>
          </cell>
          <cell r="B151">
            <v>84.235590239703257</v>
          </cell>
          <cell r="C151"/>
          <cell r="D151">
            <v>178970.17813156219</v>
          </cell>
          <cell r="E151">
            <v>1342.095</v>
          </cell>
          <cell r="F151">
            <v>0</v>
          </cell>
          <cell r="G151">
            <v>0</v>
          </cell>
          <cell r="H151">
            <v>300</v>
          </cell>
          <cell r="I151">
            <v>1642.095</v>
          </cell>
          <cell r="J151">
            <v>18</v>
          </cell>
          <cell r="K151" t="str">
            <v>XFILL_PMG100%</v>
          </cell>
          <cell r="L151">
            <v>10</v>
          </cell>
          <cell r="M151" t="str">
            <v>TA+CCL100%</v>
          </cell>
          <cell r="N151">
            <v>2168.1384210815222</v>
          </cell>
          <cell r="O151">
            <v>280.75128559497728</v>
          </cell>
          <cell r="P151">
            <v>159</v>
          </cell>
          <cell r="Q151">
            <v>0</v>
          </cell>
          <cell r="S151">
            <v>0</v>
          </cell>
          <cell r="T151">
            <v>252.161</v>
          </cell>
          <cell r="V151">
            <v>0</v>
          </cell>
          <cell r="W151">
            <v>0</v>
          </cell>
          <cell r="X151">
            <v>2860.0507066764994</v>
          </cell>
          <cell r="Y151">
            <v>-105.23137305684955</v>
          </cell>
          <cell r="Z151">
            <v>178864.94675850534</v>
          </cell>
          <cell r="AA151">
            <v>84.2122622721525</v>
          </cell>
          <cell r="AD151">
            <v>37.998159682899207</v>
          </cell>
        </row>
        <row r="152">
          <cell r="A152">
            <v>46343</v>
          </cell>
          <cell r="B152">
            <v>84.2122622721525</v>
          </cell>
          <cell r="C152"/>
          <cell r="D152">
            <v>178864.94675850534</v>
          </cell>
          <cell r="E152">
            <v>5266.5240000000003</v>
          </cell>
          <cell r="F152">
            <v>0</v>
          </cell>
          <cell r="G152">
            <v>0</v>
          </cell>
          <cell r="H152">
            <v>300</v>
          </cell>
          <cell r="I152">
            <v>5566.5240000000003</v>
          </cell>
          <cell r="J152">
            <v>18</v>
          </cell>
          <cell r="K152" t="str">
            <v>XFILL_PMG100%</v>
          </cell>
          <cell r="L152">
            <v>10</v>
          </cell>
          <cell r="M152" t="str">
            <v>TA+CCL100%</v>
          </cell>
          <cell r="N152">
            <v>2166.6496770092858</v>
          </cell>
          <cell r="O152">
            <v>414.12921920820168</v>
          </cell>
          <cell r="P152">
            <v>159</v>
          </cell>
          <cell r="Q152">
            <v>0</v>
          </cell>
          <cell r="S152">
            <v>0</v>
          </cell>
          <cell r="T152">
            <v>252.161</v>
          </cell>
          <cell r="V152">
            <v>0</v>
          </cell>
          <cell r="W152">
            <v>0</v>
          </cell>
          <cell r="X152">
            <v>2991.9398962174873</v>
          </cell>
          <cell r="Y152">
            <v>222.44406656680911</v>
          </cell>
          <cell r="Z152">
            <v>179087.39082507216</v>
          </cell>
          <cell r="AA152">
            <v>84.261566204698909</v>
          </cell>
          <cell r="AD152">
            <v>149.10883352208381</v>
          </cell>
        </row>
        <row r="153">
          <cell r="A153">
            <v>46344</v>
          </cell>
          <cell r="B153">
            <v>84.261566204698909</v>
          </cell>
          <cell r="C153"/>
          <cell r="D153">
            <v>179087.39082507219</v>
          </cell>
          <cell r="E153">
            <v>3304.3090000000002</v>
          </cell>
          <cell r="F153">
            <v>0</v>
          </cell>
          <cell r="G153">
            <v>0</v>
          </cell>
          <cell r="H153">
            <v>300</v>
          </cell>
          <cell r="I153">
            <v>3604.3090000000002</v>
          </cell>
          <cell r="J153">
            <v>18</v>
          </cell>
          <cell r="K153" t="str">
            <v>XFILL_PMG100%</v>
          </cell>
          <cell r="L153">
            <v>10</v>
          </cell>
          <cell r="M153" t="str">
            <v>TA+CCL100%</v>
          </cell>
          <cell r="N153">
            <v>2169.7961550364316</v>
          </cell>
          <cell r="O153">
            <v>514.81610314625539</v>
          </cell>
          <cell r="P153">
            <v>159</v>
          </cell>
          <cell r="Q153">
            <v>0</v>
          </cell>
          <cell r="S153">
            <v>0</v>
          </cell>
          <cell r="T153">
            <v>252.161</v>
          </cell>
          <cell r="V153">
            <v>0</v>
          </cell>
          <cell r="W153">
            <v>0</v>
          </cell>
          <cell r="X153">
            <v>3095.7732581826872</v>
          </cell>
          <cell r="Y153">
            <v>43.937488093015844</v>
          </cell>
          <cell r="Z153">
            <v>179131.3283131652</v>
          </cell>
          <cell r="AA153">
            <v>84.271301178538224</v>
          </cell>
          <cell r="AD153">
            <v>93.553482446206118</v>
          </cell>
        </row>
        <row r="154">
          <cell r="A154">
            <v>46345</v>
          </cell>
          <cell r="B154">
            <v>84.271301178538224</v>
          </cell>
          <cell r="C154"/>
          <cell r="D154">
            <v>179131.32831316514</v>
          </cell>
          <cell r="E154">
            <v>2888.95</v>
          </cell>
          <cell r="F154">
            <v>0</v>
          </cell>
          <cell r="G154">
            <v>0</v>
          </cell>
          <cell r="H154">
            <v>300</v>
          </cell>
          <cell r="I154">
            <v>3188.95</v>
          </cell>
          <cell r="J154">
            <v>18</v>
          </cell>
          <cell r="K154" t="str">
            <v>XFILL_PMG100%</v>
          </cell>
          <cell r="L154">
            <v>10</v>
          </cell>
          <cell r="M154" t="str">
            <v>TA+CCL100%</v>
          </cell>
          <cell r="N154">
            <v>2170.4174215297562</v>
          </cell>
          <cell r="O154">
            <v>501.3591209297926</v>
          </cell>
          <cell r="P154">
            <v>159</v>
          </cell>
          <cell r="Q154">
            <v>0</v>
          </cell>
          <cell r="S154">
            <v>0</v>
          </cell>
          <cell r="T154">
            <v>252.161</v>
          </cell>
          <cell r="V154">
            <v>0</v>
          </cell>
          <cell r="W154">
            <v>0</v>
          </cell>
          <cell r="X154">
            <v>3082.9375424595487</v>
          </cell>
          <cell r="Y154">
            <v>9.159476331494977</v>
          </cell>
          <cell r="Z154">
            <v>179140.48778949663</v>
          </cell>
          <cell r="AA154">
            <v>84.273330440435188</v>
          </cell>
          <cell r="AD154">
            <v>81.793601359003389</v>
          </cell>
        </row>
        <row r="155">
          <cell r="A155">
            <v>46346</v>
          </cell>
          <cell r="B155">
            <v>84.273330440435188</v>
          </cell>
          <cell r="C155"/>
          <cell r="D155">
            <v>179140.4877894966</v>
          </cell>
          <cell r="E155">
            <v>2409.1390000000001</v>
          </cell>
          <cell r="F155">
            <v>0</v>
          </cell>
          <cell r="G155">
            <v>0</v>
          </cell>
          <cell r="H155">
            <v>300</v>
          </cell>
          <cell r="I155">
            <v>2709.1390000000001</v>
          </cell>
          <cell r="J155">
            <v>18</v>
          </cell>
          <cell r="K155" t="str">
            <v>XFILL_PMG100%</v>
          </cell>
          <cell r="L155">
            <v>10</v>
          </cell>
          <cell r="M155" t="str">
            <v>TA+CCL100%</v>
          </cell>
          <cell r="N155">
            <v>2170.546924951499</v>
          </cell>
          <cell r="O155">
            <v>655.98605920193086</v>
          </cell>
          <cell r="P155">
            <v>159</v>
          </cell>
          <cell r="Q155">
            <v>0</v>
          </cell>
          <cell r="S155">
            <v>0</v>
          </cell>
          <cell r="T155">
            <v>252.161</v>
          </cell>
          <cell r="V155">
            <v>0</v>
          </cell>
          <cell r="W155">
            <v>0</v>
          </cell>
          <cell r="X155">
            <v>3237.6939841534299</v>
          </cell>
          <cell r="Y155">
            <v>-45.667150630856341</v>
          </cell>
          <cell r="Z155">
            <v>179094.82063886576</v>
          </cell>
          <cell r="AA155">
            <v>84.263212469041136</v>
          </cell>
          <cell r="AD155">
            <v>68.208918459796152</v>
          </cell>
        </row>
        <row r="156">
          <cell r="A156">
            <v>46347</v>
          </cell>
          <cell r="B156">
            <v>84.263212469041136</v>
          </cell>
          <cell r="C156"/>
          <cell r="D156">
            <v>179094.82063886576</v>
          </cell>
          <cell r="E156">
            <v>4088.7669999999998</v>
          </cell>
          <cell r="F156">
            <v>0</v>
          </cell>
          <cell r="G156">
            <v>0</v>
          </cell>
          <cell r="H156">
            <v>300</v>
          </cell>
          <cell r="I156">
            <v>4388.7669999999998</v>
          </cell>
          <cell r="J156">
            <v>18</v>
          </cell>
          <cell r="K156" t="str">
            <v>XFILL_PMG100%</v>
          </cell>
          <cell r="L156">
            <v>10</v>
          </cell>
          <cell r="M156" t="str">
            <v>TA+CCL100%</v>
          </cell>
          <cell r="N156">
            <v>2169.9012163228681</v>
          </cell>
          <cell r="O156">
            <v>652.53221040028836</v>
          </cell>
          <cell r="P156">
            <v>159</v>
          </cell>
          <cell r="Q156">
            <v>0</v>
          </cell>
          <cell r="S156">
            <v>0</v>
          </cell>
          <cell r="T156">
            <v>252.161</v>
          </cell>
          <cell r="V156">
            <v>0</v>
          </cell>
          <cell r="W156">
            <v>0</v>
          </cell>
          <cell r="X156">
            <v>3233.5944267231566</v>
          </cell>
          <cell r="Y156">
            <v>99.806910331119241</v>
          </cell>
          <cell r="Z156">
            <v>179194.62754919688</v>
          </cell>
          <cell r="AA156">
            <v>84.285323928594863</v>
          </cell>
          <cell r="AD156">
            <v>115.76350509626273</v>
          </cell>
        </row>
        <row r="157">
          <cell r="A157">
            <v>46348</v>
          </cell>
          <cell r="B157">
            <v>84.285323928594863</v>
          </cell>
          <cell r="C157"/>
          <cell r="D157">
            <v>179194.62754919688</v>
          </cell>
          <cell r="E157">
            <v>2766.6390000000001</v>
          </cell>
          <cell r="F157">
            <v>0</v>
          </cell>
          <cell r="G157">
            <v>0</v>
          </cell>
          <cell r="H157">
            <v>300</v>
          </cell>
          <cell r="I157">
            <v>3066.6390000000001</v>
          </cell>
          <cell r="J157">
            <v>18</v>
          </cell>
          <cell r="K157" t="str">
            <v>XFILL_PMG100%</v>
          </cell>
          <cell r="L157">
            <v>10</v>
          </cell>
          <cell r="M157" t="str">
            <v>TA+CCL100%</v>
          </cell>
          <cell r="N157">
            <v>2171.3123252961414</v>
          </cell>
          <cell r="O157">
            <v>747.70216616174002</v>
          </cell>
          <cell r="P157">
            <v>159</v>
          </cell>
          <cell r="Q157">
            <v>0</v>
          </cell>
          <cell r="S157">
            <v>0</v>
          </cell>
          <cell r="T157">
            <v>252.161</v>
          </cell>
          <cell r="V157">
            <v>0</v>
          </cell>
          <cell r="W157">
            <v>0</v>
          </cell>
          <cell r="X157">
            <v>3330.1754914578814</v>
          </cell>
          <cell r="Y157">
            <v>-22.769552861960943</v>
          </cell>
          <cell r="Z157">
            <v>179171.85799633493</v>
          </cell>
          <cell r="AA157">
            <v>84.28028004884176</v>
          </cell>
          <cell r="AD157">
            <v>78.330662514156288</v>
          </cell>
        </row>
        <row r="158">
          <cell r="A158">
            <v>46349</v>
          </cell>
          <cell r="B158">
            <v>84.28028004884176</v>
          </cell>
          <cell r="C158"/>
          <cell r="D158">
            <v>179171.85799633482</v>
          </cell>
          <cell r="E158">
            <v>1846.8969999999999</v>
          </cell>
          <cell r="F158">
            <v>0</v>
          </cell>
          <cell r="G158">
            <v>0</v>
          </cell>
          <cell r="H158">
            <v>300</v>
          </cell>
          <cell r="I158">
            <v>2146.8969999999999</v>
          </cell>
          <cell r="J158">
            <v>18</v>
          </cell>
          <cell r="K158" t="str">
            <v>XFILL_PMG100%</v>
          </cell>
          <cell r="L158">
            <v>10</v>
          </cell>
          <cell r="M158" t="str">
            <v>TA+CCL100%</v>
          </cell>
          <cell r="N158">
            <v>2170.9904350128509</v>
          </cell>
          <cell r="O158">
            <v>373.87803186834913</v>
          </cell>
          <cell r="P158">
            <v>159</v>
          </cell>
          <cell r="Q158">
            <v>0</v>
          </cell>
          <cell r="S158">
            <v>0</v>
          </cell>
          <cell r="T158">
            <v>252.161</v>
          </cell>
          <cell r="V158">
            <v>0</v>
          </cell>
          <cell r="W158">
            <v>0</v>
          </cell>
          <cell r="X158">
            <v>2956.0294668812003</v>
          </cell>
          <cell r="Y158">
            <v>-69.909045138535703</v>
          </cell>
          <cell r="Z158">
            <v>179101.94895119627</v>
          </cell>
          <cell r="AA158">
            <v>84.264791896040308</v>
          </cell>
          <cell r="AD158">
            <v>52.290402038505093</v>
          </cell>
        </row>
        <row r="159">
          <cell r="A159">
            <v>46350</v>
          </cell>
          <cell r="B159">
            <v>84.264791896040308</v>
          </cell>
          <cell r="C159"/>
          <cell r="D159">
            <v>179101.94895119625</v>
          </cell>
          <cell r="E159">
            <v>1800.91</v>
          </cell>
          <cell r="F159">
            <v>0</v>
          </cell>
          <cell r="G159">
            <v>0</v>
          </cell>
          <cell r="H159">
            <v>300</v>
          </cell>
          <cell r="I159">
            <v>2100.91</v>
          </cell>
          <cell r="J159">
            <v>18</v>
          </cell>
          <cell r="K159" t="str">
            <v>XFILL_PMG100%</v>
          </cell>
          <cell r="L159">
            <v>10</v>
          </cell>
          <cell r="M159" t="str">
            <v>TA+CCL100%</v>
          </cell>
          <cell r="N159">
            <v>2170.0020121842058</v>
          </cell>
          <cell r="O159">
            <v>626.74518481722953</v>
          </cell>
          <cell r="P159">
            <v>159</v>
          </cell>
          <cell r="Q159">
            <v>0</v>
          </cell>
          <cell r="S159">
            <v>0</v>
          </cell>
          <cell r="T159">
            <v>252.161</v>
          </cell>
          <cell r="V159">
            <v>0</v>
          </cell>
          <cell r="W159">
            <v>0</v>
          </cell>
          <cell r="X159">
            <v>3207.9081970014354</v>
          </cell>
          <cell r="Y159">
            <v>-95.644644220924022</v>
          </cell>
          <cell r="Z159">
            <v>179006.30430697533</v>
          </cell>
          <cell r="AA159">
            <v>84.243597207632661</v>
          </cell>
          <cell r="AD159">
            <v>50.988391845979613</v>
          </cell>
        </row>
        <row r="160">
          <cell r="A160">
            <v>46351</v>
          </cell>
          <cell r="B160">
            <v>84.243597207632661</v>
          </cell>
          <cell r="C160"/>
          <cell r="D160">
            <v>179006.3043069753</v>
          </cell>
          <cell r="E160">
            <v>1559.4780000000001</v>
          </cell>
          <cell r="F160">
            <v>0</v>
          </cell>
          <cell r="G160">
            <v>0</v>
          </cell>
          <cell r="H160">
            <v>300</v>
          </cell>
          <cell r="I160">
            <v>1859.4780000000001</v>
          </cell>
          <cell r="J160">
            <v>18</v>
          </cell>
          <cell r="K160" t="str">
            <v>XFILL_PMG100%</v>
          </cell>
          <cell r="L160">
            <v>10</v>
          </cell>
          <cell r="M160" t="str">
            <v>TA+CCL100%</v>
          </cell>
          <cell r="N160">
            <v>2168.6494097056084</v>
          </cell>
          <cell r="O160">
            <v>236.62976184061074</v>
          </cell>
          <cell r="P160">
            <v>159</v>
          </cell>
          <cell r="Q160">
            <v>0</v>
          </cell>
          <cell r="S160">
            <v>0</v>
          </cell>
          <cell r="T160">
            <v>252.161</v>
          </cell>
          <cell r="V160">
            <v>0</v>
          </cell>
          <cell r="W160">
            <v>0</v>
          </cell>
          <cell r="X160">
            <v>2816.4401715462191</v>
          </cell>
          <cell r="Y160">
            <v>-82.681531621593308</v>
          </cell>
          <cell r="Z160">
            <v>178923.62277535372</v>
          </cell>
          <cell r="AA160">
            <v>84.22527057000589</v>
          </cell>
          <cell r="AD160">
            <v>44.152831257078141</v>
          </cell>
        </row>
        <row r="161">
          <cell r="A161">
            <v>46352</v>
          </cell>
          <cell r="B161">
            <v>84.22527057000589</v>
          </cell>
          <cell r="C161"/>
          <cell r="D161">
            <v>178923.62277535372</v>
          </cell>
          <cell r="E161">
            <v>1523.838</v>
          </cell>
          <cell r="F161">
            <v>0</v>
          </cell>
          <cell r="G161">
            <v>0</v>
          </cell>
          <cell r="H161">
            <v>300</v>
          </cell>
          <cell r="I161">
            <v>1823.838</v>
          </cell>
          <cell r="J161">
            <v>18</v>
          </cell>
          <cell r="K161" t="str">
            <v>XFILL_PMG100%</v>
          </cell>
          <cell r="L161">
            <v>10</v>
          </cell>
          <cell r="M161" t="str">
            <v>TA+CCL100%</v>
          </cell>
          <cell r="N161">
            <v>2167.4798404719613</v>
          </cell>
          <cell r="O161">
            <v>296.19526756558457</v>
          </cell>
          <cell r="P161">
            <v>159</v>
          </cell>
          <cell r="Q161">
            <v>0</v>
          </cell>
          <cell r="S161">
            <v>0</v>
          </cell>
          <cell r="T161">
            <v>252.161</v>
          </cell>
          <cell r="V161">
            <v>0</v>
          </cell>
          <cell r="W161">
            <v>0</v>
          </cell>
          <cell r="X161">
            <v>2874.8361080375462</v>
          </cell>
          <cell r="Y161">
            <v>-90.806236534443997</v>
          </cell>
          <cell r="Z161">
            <v>178832.81653881929</v>
          </cell>
          <cell r="AA161">
            <v>84.205138196404562</v>
          </cell>
          <cell r="AD161">
            <v>43.143771234428087</v>
          </cell>
        </row>
        <row r="162">
          <cell r="A162">
            <v>46353</v>
          </cell>
          <cell r="B162">
            <v>84.205138196404562</v>
          </cell>
          <cell r="C162"/>
          <cell r="D162">
            <v>178832.81653881937</v>
          </cell>
          <cell r="E162">
            <v>1391.625</v>
          </cell>
          <cell r="F162">
            <v>0</v>
          </cell>
          <cell r="G162">
            <v>0</v>
          </cell>
          <cell r="H162">
            <v>300</v>
          </cell>
          <cell r="I162">
            <v>1691.625</v>
          </cell>
          <cell r="J162">
            <v>18</v>
          </cell>
          <cell r="K162" t="str">
            <v>XFILL_PMG100%</v>
          </cell>
          <cell r="L162">
            <v>10</v>
          </cell>
          <cell r="M162" t="str">
            <v>TA+CCL100%</v>
          </cell>
          <cell r="N162">
            <v>2166.195032792346</v>
          </cell>
          <cell r="O162">
            <v>537.98530461528037</v>
          </cell>
          <cell r="P162">
            <v>159</v>
          </cell>
          <cell r="Q162">
            <v>0</v>
          </cell>
          <cell r="S162">
            <v>0</v>
          </cell>
          <cell r="T162">
            <v>252.161</v>
          </cell>
          <cell r="V162">
            <v>0</v>
          </cell>
          <cell r="W162">
            <v>0</v>
          </cell>
          <cell r="X162">
            <v>3115.3413374076263</v>
          </cell>
          <cell r="Y162">
            <v>-123.00909155201892</v>
          </cell>
          <cell r="Z162">
            <v>178709.80744726735</v>
          </cell>
          <cell r="AA162">
            <v>84.177858092149847</v>
          </cell>
          <cell r="AD162">
            <v>39.400481313703281</v>
          </cell>
        </row>
        <row r="163">
          <cell r="A163">
            <v>46354</v>
          </cell>
          <cell r="B163">
            <v>84.177858092149847</v>
          </cell>
          <cell r="C163"/>
          <cell r="D163">
            <v>178709.80744726729</v>
          </cell>
          <cell r="E163">
            <v>1021.441</v>
          </cell>
          <cell r="F163">
            <v>0</v>
          </cell>
          <cell r="G163">
            <v>0</v>
          </cell>
          <cell r="H163">
            <v>300</v>
          </cell>
          <cell r="I163">
            <v>1321.441</v>
          </cell>
          <cell r="J163">
            <v>18</v>
          </cell>
          <cell r="K163" t="str">
            <v>XFILL_PMG100%</v>
          </cell>
          <cell r="L163">
            <v>10</v>
          </cell>
          <cell r="M163" t="str">
            <v>TA+CCL100%</v>
          </cell>
          <cell r="N163">
            <v>2164.4540712871981</v>
          </cell>
          <cell r="O163">
            <v>272.92008640163647</v>
          </cell>
          <cell r="P163">
            <v>159</v>
          </cell>
          <cell r="Q163">
            <v>0</v>
          </cell>
          <cell r="S163">
            <v>0</v>
          </cell>
          <cell r="T163">
            <v>252.161</v>
          </cell>
          <cell r="V163">
            <v>0</v>
          </cell>
          <cell r="W163">
            <v>0</v>
          </cell>
          <cell r="X163">
            <v>2848.5351576888347</v>
          </cell>
          <cell r="Y163">
            <v>-131.9409352243153</v>
          </cell>
          <cell r="Z163">
            <v>178577.86651204297</v>
          </cell>
          <cell r="AA163">
            <v>84.148586732415794</v>
          </cell>
          <cell r="AD163">
            <v>28.91962061155153</v>
          </cell>
        </row>
        <row r="164">
          <cell r="A164">
            <v>46355</v>
          </cell>
          <cell r="B164">
            <v>84.148586732415794</v>
          </cell>
          <cell r="C164"/>
          <cell r="D164">
            <v>178577.86651204294</v>
          </cell>
          <cell r="E164">
            <v>1188.252</v>
          </cell>
          <cell r="F164">
            <v>0</v>
          </cell>
          <cell r="G164">
            <v>0</v>
          </cell>
          <cell r="H164">
            <v>300</v>
          </cell>
          <cell r="I164">
            <v>1488.252</v>
          </cell>
          <cell r="J164">
            <v>18</v>
          </cell>
          <cell r="K164" t="str">
            <v>XFILL_PMG100%</v>
          </cell>
          <cell r="L164">
            <v>10</v>
          </cell>
          <cell r="M164" t="str">
            <v>TA+CCL100%</v>
          </cell>
          <cell r="N164">
            <v>2162.5860318536061</v>
          </cell>
          <cell r="O164">
            <v>293.34293597398272</v>
          </cell>
          <cell r="P164">
            <v>159</v>
          </cell>
          <cell r="Q164">
            <v>0</v>
          </cell>
          <cell r="S164">
            <v>0</v>
          </cell>
          <cell r="T164">
            <v>252.161</v>
          </cell>
          <cell r="V164">
            <v>0</v>
          </cell>
          <cell r="W164">
            <v>0</v>
          </cell>
          <cell r="X164">
            <v>2867.0899678275887</v>
          </cell>
          <cell r="Y164">
            <v>-119.13160042030366</v>
          </cell>
          <cell r="Z164">
            <v>178458.73491162263</v>
          </cell>
          <cell r="AA164">
            <v>84.122147880365347</v>
          </cell>
          <cell r="AD164">
            <v>33.642468856172137</v>
          </cell>
        </row>
        <row r="165">
          <cell r="A165">
            <v>46356</v>
          </cell>
          <cell r="B165">
            <v>84.122147880365347</v>
          </cell>
          <cell r="C165"/>
          <cell r="D165">
            <v>178458.7349116226</v>
          </cell>
          <cell r="E165">
            <v>2250.3560000000002</v>
          </cell>
          <cell r="F165">
            <v>0</v>
          </cell>
          <cell r="G165">
            <v>113.95800829916813</v>
          </cell>
          <cell r="H165">
            <v>300</v>
          </cell>
          <cell r="I165">
            <v>2664.3140082991686</v>
          </cell>
          <cell r="J165">
            <v>18</v>
          </cell>
          <cell r="K165" t="str">
            <v>XFILL_PMG100%</v>
          </cell>
          <cell r="L165">
            <v>10</v>
          </cell>
          <cell r="M165" t="str">
            <v>TA+CCL100%</v>
          </cell>
          <cell r="N165">
            <v>2160.8987573758268</v>
          </cell>
          <cell r="O165">
            <v>449.40529462542207</v>
          </cell>
          <cell r="P165">
            <v>159</v>
          </cell>
          <cell r="Q165">
            <v>0</v>
          </cell>
          <cell r="S165">
            <v>0</v>
          </cell>
          <cell r="T165">
            <v>252.161</v>
          </cell>
          <cell r="V165">
            <v>0</v>
          </cell>
          <cell r="W165">
            <v>0</v>
          </cell>
          <cell r="X165">
            <v>3021.4650520012488</v>
          </cell>
          <cell r="Y165">
            <v>-30.857850175859724</v>
          </cell>
          <cell r="Z165">
            <v>178427.87706144675</v>
          </cell>
          <cell r="AA165">
            <v>84.115298168524077</v>
          </cell>
          <cell r="AD165">
            <v>63.713363533408838</v>
          </cell>
        </row>
        <row r="166">
          <cell r="A166">
            <v>46357</v>
          </cell>
          <cell r="B166">
            <v>84.115298168524077</v>
          </cell>
          <cell r="C166"/>
          <cell r="D166">
            <v>178427.87706144672</v>
          </cell>
          <cell r="E166">
            <v>1935.7370000000001</v>
          </cell>
          <cell r="F166">
            <v>0</v>
          </cell>
          <cell r="G166">
            <v>844.04968932855297</v>
          </cell>
          <cell r="H166">
            <v>300</v>
          </cell>
          <cell r="I166">
            <v>3079.7866893285532</v>
          </cell>
          <cell r="J166">
            <v>18</v>
          </cell>
          <cell r="K166" t="str">
            <v>XFILL_PMG100%</v>
          </cell>
          <cell r="L166">
            <v>10</v>
          </cell>
          <cell r="M166" t="str">
            <v>TA+CCL100%</v>
          </cell>
          <cell r="N166">
            <v>2160.4616225127902</v>
          </cell>
          <cell r="O166">
            <v>721.22312845098293</v>
          </cell>
          <cell r="P166">
            <v>159</v>
          </cell>
          <cell r="Q166">
            <v>0</v>
          </cell>
          <cell r="S166">
            <v>0</v>
          </cell>
          <cell r="T166">
            <v>252.161</v>
          </cell>
          <cell r="V166">
            <v>0</v>
          </cell>
          <cell r="W166">
            <v>0</v>
          </cell>
          <cell r="X166">
            <v>3292.8457509637733</v>
          </cell>
          <cell r="Y166">
            <v>-18.408302925283017</v>
          </cell>
          <cell r="Z166">
            <v>178409.46875852143</v>
          </cell>
          <cell r="AA166">
            <v>84.111211679904571</v>
          </cell>
          <cell r="AD166">
            <v>54.805690826727066</v>
          </cell>
        </row>
        <row r="167">
          <cell r="A167">
            <v>46358</v>
          </cell>
          <cell r="B167">
            <v>84.111211679904571</v>
          </cell>
          <cell r="C167"/>
          <cell r="D167">
            <v>178409.46875852143</v>
          </cell>
          <cell r="E167">
            <v>3479.2719999999999</v>
          </cell>
          <cell r="F167">
            <v>0</v>
          </cell>
          <cell r="G167">
            <v>920.56159221608357</v>
          </cell>
          <cell r="H167">
            <v>300</v>
          </cell>
          <cell r="I167">
            <v>4699.8335922160841</v>
          </cell>
          <cell r="J167">
            <v>18</v>
          </cell>
          <cell r="K167" t="str">
            <v>XFILL_PMG100%</v>
          </cell>
          <cell r="L167">
            <v>10</v>
          </cell>
          <cell r="M167" t="str">
            <v>TA+CCL100%</v>
          </cell>
          <cell r="N167">
            <v>2160.2008310102588</v>
          </cell>
          <cell r="O167">
            <v>412.93868733100504</v>
          </cell>
          <cell r="P167">
            <v>159</v>
          </cell>
          <cell r="Q167">
            <v>0</v>
          </cell>
          <cell r="S167">
            <v>0</v>
          </cell>
          <cell r="T167">
            <v>252.161</v>
          </cell>
          <cell r="V167">
            <v>0</v>
          </cell>
          <cell r="W167">
            <v>0</v>
          </cell>
          <cell r="X167">
            <v>2984.3005183412638</v>
          </cell>
          <cell r="Y167">
            <v>148.22205758278449</v>
          </cell>
          <cell r="Z167">
            <v>178557.69081610421</v>
          </cell>
          <cell r="AA167">
            <v>84.144109763230915</v>
          </cell>
          <cell r="AD167">
            <v>98.507134767836916</v>
          </cell>
        </row>
        <row r="168">
          <cell r="A168">
            <v>46359</v>
          </cell>
          <cell r="B168">
            <v>84.144109763230915</v>
          </cell>
          <cell r="C168"/>
          <cell r="D168">
            <v>178557.69081610418</v>
          </cell>
          <cell r="E168">
            <v>1036.222</v>
          </cell>
          <cell r="F168">
            <v>0</v>
          </cell>
          <cell r="G168">
            <v>861.97294147280604</v>
          </cell>
          <cell r="H168">
            <v>300</v>
          </cell>
          <cell r="I168">
            <v>2198.194941472806</v>
          </cell>
          <cell r="J168">
            <v>18</v>
          </cell>
          <cell r="K168" t="str">
            <v>XFILL_PMG100%</v>
          </cell>
          <cell r="L168">
            <v>10</v>
          </cell>
          <cell r="M168" t="str">
            <v>TA+CCL100%</v>
          </cell>
          <cell r="N168">
            <v>2162.3003206650474</v>
          </cell>
          <cell r="O168">
            <v>283.00022001681617</v>
          </cell>
          <cell r="P168">
            <v>159</v>
          </cell>
          <cell r="Q168">
            <v>0</v>
          </cell>
          <cell r="S168">
            <v>0</v>
          </cell>
          <cell r="T168">
            <v>252.161</v>
          </cell>
          <cell r="V168">
            <v>0</v>
          </cell>
          <cell r="W168">
            <v>0</v>
          </cell>
          <cell r="X168">
            <v>2856.4615406818634</v>
          </cell>
          <cell r="Y168">
            <v>-56.874234171662557</v>
          </cell>
          <cell r="Z168">
            <v>178500.81658193251</v>
          </cell>
          <cell r="AA168">
            <v>84.131488062315853</v>
          </cell>
          <cell r="AD168">
            <v>29.338108720271801</v>
          </cell>
        </row>
        <row r="169">
          <cell r="A169">
            <v>46360</v>
          </cell>
          <cell r="B169">
            <v>84.131488062315853</v>
          </cell>
          <cell r="C169"/>
          <cell r="D169">
            <v>178500.81658193248</v>
          </cell>
          <cell r="E169">
            <v>746.94100000000003</v>
          </cell>
          <cell r="F169">
            <v>0</v>
          </cell>
          <cell r="G169">
            <v>941.05668803898743</v>
          </cell>
          <cell r="H169">
            <v>300</v>
          </cell>
          <cell r="I169">
            <v>1987.9976880389875</v>
          </cell>
          <cell r="J169">
            <v>18</v>
          </cell>
          <cell r="K169" t="str">
            <v>XFILL_PMG100%</v>
          </cell>
          <cell r="L169">
            <v>10</v>
          </cell>
          <cell r="M169" t="str">
            <v>TA+CCL100%</v>
          </cell>
          <cell r="N169">
            <v>2161.4948290431148</v>
          </cell>
          <cell r="O169">
            <v>411.70647247094109</v>
          </cell>
          <cell r="P169">
            <v>159</v>
          </cell>
          <cell r="Q169">
            <v>0</v>
          </cell>
          <cell r="S169">
            <v>0</v>
          </cell>
          <cell r="T169">
            <v>252.161</v>
          </cell>
          <cell r="V169">
            <v>0</v>
          </cell>
          <cell r="W169">
            <v>0</v>
          </cell>
          <cell r="X169">
            <v>2984.3623015140561</v>
          </cell>
          <cell r="Y169">
            <v>-86.085902604245931</v>
          </cell>
          <cell r="Z169">
            <v>178414.73067932823</v>
          </cell>
          <cell r="AA169">
            <v>84.11237980358932</v>
          </cell>
          <cell r="AD169">
            <v>21.147819932049831</v>
          </cell>
        </row>
        <row r="170">
          <cell r="A170">
            <v>46361</v>
          </cell>
          <cell r="B170">
            <v>84.11237980358932</v>
          </cell>
          <cell r="C170"/>
          <cell r="D170">
            <v>178414.73067932818</v>
          </cell>
          <cell r="E170">
            <v>1038.8900000000001</v>
          </cell>
          <cell r="F170">
            <v>0</v>
          </cell>
          <cell r="G170">
            <v>822.31260051884431</v>
          </cell>
          <cell r="H170">
            <v>300</v>
          </cell>
          <cell r="I170">
            <v>2161.2026005188445</v>
          </cell>
          <cell r="J170">
            <v>18</v>
          </cell>
          <cell r="K170" t="str">
            <v>XFILL_PMG100%</v>
          </cell>
          <cell r="L170">
            <v>10</v>
          </cell>
          <cell r="M170" t="str">
            <v>TA+CCL100%</v>
          </cell>
          <cell r="N170">
            <v>2160.2753783195149</v>
          </cell>
          <cell r="O170">
            <v>350.62977119256971</v>
          </cell>
          <cell r="P170">
            <v>159</v>
          </cell>
          <cell r="Q170">
            <v>0</v>
          </cell>
          <cell r="S170">
            <v>0</v>
          </cell>
          <cell r="T170">
            <v>252.161</v>
          </cell>
          <cell r="V170">
            <v>0</v>
          </cell>
          <cell r="W170">
            <v>0</v>
          </cell>
          <cell r="X170">
            <v>2922.0661495120848</v>
          </cell>
          <cell r="Y170">
            <v>-65.738610633015952</v>
          </cell>
          <cell r="Z170">
            <v>178348.99206869517</v>
          </cell>
          <cell r="AA170">
            <v>84.097784882093947</v>
          </cell>
          <cell r="AD170">
            <v>29.413646659116651</v>
          </cell>
        </row>
        <row r="171">
          <cell r="A171">
            <v>46362</v>
          </cell>
          <cell r="B171">
            <v>84.097784882093947</v>
          </cell>
          <cell r="C171"/>
          <cell r="D171">
            <v>178348.99206869511</v>
          </cell>
          <cell r="E171">
            <v>681.35799999999995</v>
          </cell>
          <cell r="F171">
            <v>0</v>
          </cell>
          <cell r="G171">
            <v>631.73080392384406</v>
          </cell>
          <cell r="H171">
            <v>300</v>
          </cell>
          <cell r="I171">
            <v>1613.0888039238439</v>
          </cell>
          <cell r="J171">
            <v>18</v>
          </cell>
          <cell r="K171" t="str">
            <v>XFILL_PMG100%</v>
          </cell>
          <cell r="L171">
            <v>10</v>
          </cell>
          <cell r="M171" t="str">
            <v>TA+CCL100%</v>
          </cell>
          <cell r="N171">
            <v>2159.3439597201996</v>
          </cell>
          <cell r="O171">
            <v>656.55109751673467</v>
          </cell>
          <cell r="P171">
            <v>159</v>
          </cell>
          <cell r="Q171">
            <v>0</v>
          </cell>
          <cell r="S171">
            <v>0</v>
          </cell>
          <cell r="T171">
            <v>252.161</v>
          </cell>
          <cell r="V171">
            <v>0</v>
          </cell>
          <cell r="W171">
            <v>0</v>
          </cell>
          <cell r="X171">
            <v>3227.0560572369341</v>
          </cell>
          <cell r="Y171">
            <v>-139.446770686251</v>
          </cell>
          <cell r="Z171">
            <v>178209.54529800886</v>
          </cell>
          <cell r="AA171">
            <v>84.066816798289352</v>
          </cell>
          <cell r="AD171">
            <v>19.290996602491504</v>
          </cell>
        </row>
        <row r="172">
          <cell r="A172">
            <v>46363</v>
          </cell>
          <cell r="B172">
            <v>84.066816798289352</v>
          </cell>
          <cell r="C172"/>
          <cell r="D172">
            <v>178209.54529800886</v>
          </cell>
          <cell r="E172">
            <v>1991.355</v>
          </cell>
          <cell r="F172">
            <v>0</v>
          </cell>
          <cell r="G172">
            <v>463.40370683481405</v>
          </cell>
          <cell r="H172">
            <v>300</v>
          </cell>
          <cell r="I172">
            <v>2754.7587068348139</v>
          </cell>
          <cell r="J172">
            <v>18</v>
          </cell>
          <cell r="K172" t="str">
            <v>XFILL_PMG100%</v>
          </cell>
          <cell r="L172">
            <v>10</v>
          </cell>
          <cell r="M172" t="str">
            <v>TA+CCL100%</v>
          </cell>
          <cell r="N172">
            <v>2157.3676387615769</v>
          </cell>
          <cell r="O172">
            <v>358.60088332736581</v>
          </cell>
          <cell r="P172">
            <v>159</v>
          </cell>
          <cell r="Q172">
            <v>0</v>
          </cell>
          <cell r="S172">
            <v>0</v>
          </cell>
          <cell r="T172">
            <v>252.161</v>
          </cell>
          <cell r="V172">
            <v>0</v>
          </cell>
          <cell r="W172">
            <v>0</v>
          </cell>
          <cell r="X172">
            <v>2927.1295220889428</v>
          </cell>
          <cell r="Y172">
            <v>-14.89283843795674</v>
          </cell>
          <cell r="Z172">
            <v>178194.65245957091</v>
          </cell>
          <cell r="AA172">
            <v>84.063508709703115</v>
          </cell>
          <cell r="AD172">
            <v>56.380379388448468</v>
          </cell>
        </row>
        <row r="173">
          <cell r="A173">
            <v>46364</v>
          </cell>
          <cell r="B173">
            <v>84.063508709703115</v>
          </cell>
          <cell r="C173"/>
          <cell r="D173">
            <v>178194.65245957088</v>
          </cell>
          <cell r="E173">
            <v>2034.259</v>
          </cell>
          <cell r="F173">
            <v>0</v>
          </cell>
          <cell r="G173">
            <v>444.00070157955537</v>
          </cell>
          <cell r="H173">
            <v>300</v>
          </cell>
          <cell r="I173">
            <v>2778.2597015795554</v>
          </cell>
          <cell r="J173">
            <v>18</v>
          </cell>
          <cell r="K173" t="str">
            <v>XFILL_PMG100%</v>
          </cell>
          <cell r="L173">
            <v>10</v>
          </cell>
          <cell r="M173" t="str">
            <v>TA+CCL100%</v>
          </cell>
          <cell r="N173">
            <v>2157.1565231869999</v>
          </cell>
          <cell r="O173">
            <v>502.79094002474278</v>
          </cell>
          <cell r="P173">
            <v>159</v>
          </cell>
          <cell r="Q173">
            <v>0</v>
          </cell>
          <cell r="S173">
            <v>0</v>
          </cell>
          <cell r="T173">
            <v>252.161</v>
          </cell>
          <cell r="V173">
            <v>0</v>
          </cell>
          <cell r="W173">
            <v>0</v>
          </cell>
          <cell r="X173">
            <v>3071.1084632117427</v>
          </cell>
          <cell r="Y173">
            <v>-25.302133005020977</v>
          </cell>
          <cell r="Z173">
            <v>178169.35032656585</v>
          </cell>
          <cell r="AA173">
            <v>84.057888128593518</v>
          </cell>
          <cell r="AD173">
            <v>57.595101925254816</v>
          </cell>
        </row>
        <row r="174">
          <cell r="A174">
            <v>46365</v>
          </cell>
          <cell r="B174">
            <v>84.057888128593518</v>
          </cell>
          <cell r="C174"/>
          <cell r="D174">
            <v>178169.35032656582</v>
          </cell>
          <cell r="E174">
            <v>874.42499999999995</v>
          </cell>
          <cell r="F174">
            <v>0</v>
          </cell>
          <cell r="G174">
            <v>810.53497556842876</v>
          </cell>
          <cell r="H174">
            <v>300</v>
          </cell>
          <cell r="I174">
            <v>1984.9599755684287</v>
          </cell>
          <cell r="J174">
            <v>18</v>
          </cell>
          <cell r="K174" t="str">
            <v>XFILL_PMG100%</v>
          </cell>
          <cell r="L174">
            <v>10</v>
          </cell>
          <cell r="M174" t="str">
            <v>TA+CCL100%</v>
          </cell>
          <cell r="N174">
            <v>2156.7978289805187</v>
          </cell>
          <cell r="O174">
            <v>418.15495166525557</v>
          </cell>
          <cell r="P174">
            <v>159</v>
          </cell>
          <cell r="Q174">
            <v>0</v>
          </cell>
          <cell r="S174">
            <v>0</v>
          </cell>
          <cell r="T174">
            <v>252.161</v>
          </cell>
          <cell r="V174">
            <v>0</v>
          </cell>
          <cell r="W174">
            <v>0</v>
          </cell>
          <cell r="X174">
            <v>2986.1137806457746</v>
          </cell>
          <cell r="Y174">
            <v>-86.49968875868268</v>
          </cell>
          <cell r="Z174">
            <v>178082.85063780713</v>
          </cell>
          <cell r="AA174">
            <v>84.038670198684471</v>
          </cell>
          <cell r="AD174">
            <v>24.757219705549261</v>
          </cell>
        </row>
        <row r="175">
          <cell r="A175">
            <v>46366</v>
          </cell>
          <cell r="B175">
            <v>84.038670198684471</v>
          </cell>
          <cell r="C175"/>
          <cell r="D175">
            <v>178082.8506378071</v>
          </cell>
          <cell r="E175">
            <v>662.76599999999996</v>
          </cell>
          <cell r="F175">
            <v>0</v>
          </cell>
          <cell r="G175">
            <v>629.92785632203754</v>
          </cell>
          <cell r="H175">
            <v>300</v>
          </cell>
          <cell r="I175">
            <v>1592.6938563220374</v>
          </cell>
          <cell r="J175">
            <v>18</v>
          </cell>
          <cell r="K175" t="str">
            <v>XFILL_PMG100%</v>
          </cell>
          <cell r="L175">
            <v>10</v>
          </cell>
          <cell r="M175" t="str">
            <v>TA+CCL100%</v>
          </cell>
          <cell r="N175">
            <v>2155.57137926215</v>
          </cell>
          <cell r="O175">
            <v>200.87491156707412</v>
          </cell>
          <cell r="P175">
            <v>159</v>
          </cell>
          <cell r="Q175">
            <v>0</v>
          </cell>
          <cell r="S175">
            <v>0</v>
          </cell>
          <cell r="T175">
            <v>252.161</v>
          </cell>
          <cell r="V175">
            <v>0</v>
          </cell>
          <cell r="W175">
            <v>0</v>
          </cell>
          <cell r="X175">
            <v>2767.607290829224</v>
          </cell>
          <cell r="Y175">
            <v>-101.51252074142093</v>
          </cell>
          <cell r="Z175">
            <v>177981.33811706569</v>
          </cell>
          <cell r="AA175">
            <v>84.016110877482518</v>
          </cell>
          <cell r="AD175">
            <v>18.764609286523214</v>
          </cell>
        </row>
        <row r="176">
          <cell r="A176">
            <v>46367</v>
          </cell>
          <cell r="B176">
            <v>84.016110877482518</v>
          </cell>
          <cell r="C176"/>
          <cell r="D176">
            <v>177981.33811706572</v>
          </cell>
          <cell r="E176">
            <v>678.49699999999996</v>
          </cell>
          <cell r="F176">
            <v>0</v>
          </cell>
          <cell r="G176">
            <v>473.20760089994451</v>
          </cell>
          <cell r="H176">
            <v>300</v>
          </cell>
          <cell r="I176">
            <v>1451.7046008999446</v>
          </cell>
          <cell r="J176">
            <v>18</v>
          </cell>
          <cell r="K176" t="str">
            <v>XFILL_PMG100%</v>
          </cell>
          <cell r="L176">
            <v>10</v>
          </cell>
          <cell r="M176" t="str">
            <v>TA+CCL100%</v>
          </cell>
          <cell r="N176">
            <v>2154.1316886572986</v>
          </cell>
          <cell r="O176">
            <v>285.26946488727998</v>
          </cell>
          <cell r="P176">
            <v>159</v>
          </cell>
          <cell r="Q176">
            <v>0</v>
          </cell>
          <cell r="S176">
            <v>0</v>
          </cell>
          <cell r="T176">
            <v>252.161</v>
          </cell>
          <cell r="V176">
            <v>0</v>
          </cell>
          <cell r="W176">
            <v>0</v>
          </cell>
          <cell r="X176">
            <v>2850.5621535445785</v>
          </cell>
          <cell r="Y176">
            <v>-120.86129254849635</v>
          </cell>
          <cell r="Z176">
            <v>177860.47682451722</v>
          </cell>
          <cell r="AA176">
            <v>83.98924327071235</v>
          </cell>
          <cell r="AD176">
            <v>19.209994337485842</v>
          </cell>
        </row>
        <row r="177">
          <cell r="A177">
            <v>46368</v>
          </cell>
          <cell r="B177">
            <v>83.98924327071235</v>
          </cell>
          <cell r="C177"/>
          <cell r="D177">
            <v>177860.47682451727</v>
          </cell>
          <cell r="E177">
            <v>995.41399999999999</v>
          </cell>
          <cell r="F177">
            <v>0</v>
          </cell>
          <cell r="G177">
            <v>349.73480263720165</v>
          </cell>
          <cell r="H177">
            <v>300</v>
          </cell>
          <cell r="I177">
            <v>1645.1488026372017</v>
          </cell>
          <cell r="J177">
            <v>18</v>
          </cell>
          <cell r="K177" t="str">
            <v>XFILL_PMG100%</v>
          </cell>
          <cell r="L177">
            <v>10</v>
          </cell>
          <cell r="M177" t="str">
            <v>TA+CCL100%</v>
          </cell>
          <cell r="N177">
            <v>2152.4170519137742</v>
          </cell>
          <cell r="O177">
            <v>404.21286673041908</v>
          </cell>
          <cell r="P177">
            <v>159</v>
          </cell>
          <cell r="Q177">
            <v>0</v>
          </cell>
          <cell r="S177">
            <v>0</v>
          </cell>
          <cell r="T177">
            <v>252.161</v>
          </cell>
          <cell r="V177">
            <v>0</v>
          </cell>
          <cell r="W177">
            <v>0</v>
          </cell>
          <cell r="X177">
            <v>2967.7909186441934</v>
          </cell>
          <cell r="Y177">
            <v>-114.27627882300408</v>
          </cell>
          <cell r="Z177">
            <v>177746.20054569427</v>
          </cell>
          <cell r="AA177">
            <v>83.96383114299833</v>
          </cell>
          <cell r="AD177">
            <v>28.182729331823328</v>
          </cell>
        </row>
        <row r="178">
          <cell r="A178">
            <v>46369</v>
          </cell>
          <cell r="B178">
            <v>83.96383114299833</v>
          </cell>
          <cell r="C178"/>
          <cell r="D178">
            <v>177746.2005456943</v>
          </cell>
          <cell r="E178">
            <v>944.90700000000004</v>
          </cell>
          <cell r="F178">
            <v>0</v>
          </cell>
          <cell r="G178">
            <v>367.68673196874232</v>
          </cell>
          <cell r="H178">
            <v>300</v>
          </cell>
          <cell r="I178">
            <v>1612.5937319687423</v>
          </cell>
          <cell r="J178">
            <v>18</v>
          </cell>
          <cell r="K178" t="str">
            <v>XFILL_PMG100%</v>
          </cell>
          <cell r="L178">
            <v>10</v>
          </cell>
          <cell r="M178" t="str">
            <v>TA+CCL100%</v>
          </cell>
          <cell r="N178">
            <v>2150.7953009226148</v>
          </cell>
          <cell r="O178">
            <v>215.41400254172498</v>
          </cell>
          <cell r="P178">
            <v>159</v>
          </cell>
          <cell r="Q178">
            <v>0</v>
          </cell>
          <cell r="S178">
            <v>0</v>
          </cell>
          <cell r="T178">
            <v>252.161</v>
          </cell>
          <cell r="V178">
            <v>0</v>
          </cell>
          <cell r="W178">
            <v>0</v>
          </cell>
          <cell r="X178">
            <v>2777.3703034643399</v>
          </cell>
          <cell r="Y178">
            <v>-100.63669577721964</v>
          </cell>
          <cell r="Z178">
            <v>177645.56384991709</v>
          </cell>
          <cell r="AA178">
            <v>83.941445361280799</v>
          </cell>
          <cell r="AD178">
            <v>26.752746319365798</v>
          </cell>
        </row>
        <row r="179">
          <cell r="A179">
            <v>46370</v>
          </cell>
          <cell r="B179">
            <v>83.941445361280799</v>
          </cell>
          <cell r="C179"/>
          <cell r="D179">
            <v>177645.56384991706</v>
          </cell>
          <cell r="E179">
            <v>754.10599999999999</v>
          </cell>
          <cell r="F179">
            <v>0</v>
          </cell>
          <cell r="G179">
            <v>320.48428381253791</v>
          </cell>
          <cell r="H179">
            <v>300</v>
          </cell>
          <cell r="I179">
            <v>1374.590283812538</v>
          </cell>
          <cell r="J179">
            <v>18</v>
          </cell>
          <cell r="K179" t="str">
            <v>XFILL_PMG100%</v>
          </cell>
          <cell r="L179">
            <v>10</v>
          </cell>
          <cell r="M179" t="str">
            <v>TA+CCL100%</v>
          </cell>
          <cell r="N179">
            <v>2149.3666852593833</v>
          </cell>
          <cell r="O179">
            <v>653.87037769631911</v>
          </cell>
          <cell r="P179">
            <v>159</v>
          </cell>
          <cell r="Q179">
            <v>0</v>
          </cell>
          <cell r="S179">
            <v>0</v>
          </cell>
          <cell r="T179">
            <v>252.161</v>
          </cell>
          <cell r="V179">
            <v>0</v>
          </cell>
          <cell r="W179">
            <v>0</v>
          </cell>
          <cell r="X179">
            <v>3214.3980629557027</v>
          </cell>
          <cell r="Y179">
            <v>-158.9593921179694</v>
          </cell>
          <cell r="Z179">
            <v>177486.60445779908</v>
          </cell>
          <cell r="AA179">
            <v>83.90607329858949</v>
          </cell>
          <cell r="AD179">
            <v>21.350679501698753</v>
          </cell>
        </row>
        <row r="180">
          <cell r="A180">
            <v>46371</v>
          </cell>
          <cell r="B180">
            <v>83.90607329858949</v>
          </cell>
          <cell r="C180"/>
          <cell r="D180">
            <v>177486.60445779903</v>
          </cell>
          <cell r="E180">
            <v>2291.7379999999998</v>
          </cell>
          <cell r="F180">
            <v>0</v>
          </cell>
          <cell r="G180">
            <v>247.19870890315693</v>
          </cell>
          <cell r="H180">
            <v>300</v>
          </cell>
          <cell r="I180">
            <v>2838.9367089031566</v>
          </cell>
          <cell r="J180">
            <v>18</v>
          </cell>
          <cell r="K180" t="str">
            <v>XFILL_PMG100%</v>
          </cell>
          <cell r="L180">
            <v>10</v>
          </cell>
          <cell r="M180" t="str">
            <v>TA+CCL100%</v>
          </cell>
          <cell r="N180">
            <v>2147.1093112065478</v>
          </cell>
          <cell r="O180">
            <v>537.50418223046199</v>
          </cell>
          <cell r="P180">
            <v>159</v>
          </cell>
          <cell r="Q180">
            <v>0</v>
          </cell>
          <cell r="S180">
            <v>0</v>
          </cell>
          <cell r="T180">
            <v>252.161</v>
          </cell>
          <cell r="V180">
            <v>0</v>
          </cell>
          <cell r="W180">
            <v>0</v>
          </cell>
          <cell r="X180">
            <v>3095.7744934370098</v>
          </cell>
          <cell r="Y180">
            <v>-22.190784583724916</v>
          </cell>
          <cell r="Z180">
            <v>177464.41367321531</v>
          </cell>
          <cell r="AA180">
            <v>83.901134090018573</v>
          </cell>
          <cell r="AD180">
            <v>64.884994337485836</v>
          </cell>
        </row>
        <row r="181">
          <cell r="A181">
            <v>46372</v>
          </cell>
          <cell r="B181">
            <v>83.901134090018573</v>
          </cell>
          <cell r="C181"/>
          <cell r="D181">
            <v>177464.41367321531</v>
          </cell>
          <cell r="E181">
            <v>1522.922</v>
          </cell>
          <cell r="F181">
            <v>0</v>
          </cell>
          <cell r="G181">
            <v>197.45090324637553</v>
          </cell>
          <cell r="H181">
            <v>300</v>
          </cell>
          <cell r="I181">
            <v>2020.3729032463757</v>
          </cell>
          <cell r="J181">
            <v>18</v>
          </cell>
          <cell r="K181" t="str">
            <v>XFILL_PMG100%</v>
          </cell>
          <cell r="L181">
            <v>10</v>
          </cell>
          <cell r="M181" t="str">
            <v>TA+CCL100%</v>
          </cell>
          <cell r="N181">
            <v>2146.7941008280395</v>
          </cell>
          <cell r="O181">
            <v>366.60731656415362</v>
          </cell>
          <cell r="P181">
            <v>159</v>
          </cell>
          <cell r="Q181">
            <v>0</v>
          </cell>
          <cell r="S181">
            <v>0</v>
          </cell>
          <cell r="T181">
            <v>252.161</v>
          </cell>
          <cell r="V181">
            <v>0</v>
          </cell>
          <cell r="W181">
            <v>0</v>
          </cell>
          <cell r="X181">
            <v>2924.5624173921933</v>
          </cell>
          <cell r="Y181">
            <v>-78.121974022198643</v>
          </cell>
          <cell r="Z181">
            <v>177386.29169919313</v>
          </cell>
          <cell r="AA181">
            <v>83.883743306545142</v>
          </cell>
          <cell r="AD181">
            <v>43.1178369195923</v>
          </cell>
        </row>
        <row r="182">
          <cell r="A182">
            <v>46373</v>
          </cell>
          <cell r="B182">
            <v>83.883743306545142</v>
          </cell>
          <cell r="C182"/>
          <cell r="D182">
            <v>177386.29169919319</v>
          </cell>
          <cell r="E182">
            <v>1360.18</v>
          </cell>
          <cell r="F182">
            <v>0</v>
          </cell>
          <cell r="G182">
            <v>576.63822369071238</v>
          </cell>
          <cell r="H182">
            <v>300</v>
          </cell>
          <cell r="I182">
            <v>2236.8182236907123</v>
          </cell>
          <cell r="J182">
            <v>18</v>
          </cell>
          <cell r="K182" t="str">
            <v>XFILL_PMG100%</v>
          </cell>
          <cell r="L182">
            <v>10</v>
          </cell>
          <cell r="M182" t="str">
            <v>TA+CCL100%</v>
          </cell>
          <cell r="N182">
            <v>2145.684255928295</v>
          </cell>
          <cell r="O182">
            <v>278.74740314648295</v>
          </cell>
          <cell r="P182">
            <v>159</v>
          </cell>
          <cell r="Q182">
            <v>0</v>
          </cell>
          <cell r="S182">
            <v>0</v>
          </cell>
          <cell r="T182">
            <v>252.161</v>
          </cell>
          <cell r="V182">
            <v>0</v>
          </cell>
          <cell r="W182">
            <v>0</v>
          </cell>
          <cell r="X182">
            <v>2835.5926590747781</v>
          </cell>
          <cell r="Y182">
            <v>-51.734111217183283</v>
          </cell>
          <cell r="Z182">
            <v>177334.55758797601</v>
          </cell>
          <cell r="AA182">
            <v>83.872224639713764</v>
          </cell>
          <cell r="AD182">
            <v>38.510192525481315</v>
          </cell>
        </row>
        <row r="183">
          <cell r="A183">
            <v>46374</v>
          </cell>
          <cell r="B183">
            <v>83.872224639713764</v>
          </cell>
          <cell r="C183"/>
          <cell r="D183">
            <v>177334.55758797601</v>
          </cell>
          <cell r="E183">
            <v>1172.1849999999999</v>
          </cell>
          <cell r="F183">
            <v>0</v>
          </cell>
          <cell r="G183">
            <v>508.05050135425518</v>
          </cell>
          <cell r="H183">
            <v>300</v>
          </cell>
          <cell r="I183">
            <v>1980.2355013542551</v>
          </cell>
          <cell r="J183">
            <v>18</v>
          </cell>
          <cell r="K183" t="str">
            <v>XFILL_PMG100%</v>
          </cell>
          <cell r="L183">
            <v>10</v>
          </cell>
          <cell r="M183" t="str">
            <v>TA+CCL100%</v>
          </cell>
          <cell r="N183">
            <v>2144.9491577279068</v>
          </cell>
          <cell r="O183">
            <v>514.15377119392417</v>
          </cell>
          <cell r="P183">
            <v>159</v>
          </cell>
          <cell r="Q183">
            <v>0</v>
          </cell>
          <cell r="S183">
            <v>0</v>
          </cell>
          <cell r="T183">
            <v>252.161</v>
          </cell>
          <cell r="V183">
            <v>0</v>
          </cell>
          <cell r="W183">
            <v>0</v>
          </cell>
          <cell r="X183">
            <v>3070.2639289218309</v>
          </cell>
          <cell r="Y183">
            <v>-94.178456141838552</v>
          </cell>
          <cell r="Z183">
            <v>177240.37913183417</v>
          </cell>
          <cell r="AA183">
            <v>83.851251380768204</v>
          </cell>
          <cell r="AD183">
            <v>33.187570781426949</v>
          </cell>
        </row>
        <row r="184">
          <cell r="A184">
            <v>46375</v>
          </cell>
          <cell r="B184">
            <v>83.851251380768204</v>
          </cell>
          <cell r="C184"/>
          <cell r="D184">
            <v>177240.3791318342</v>
          </cell>
          <cell r="E184">
            <v>2017.664</v>
          </cell>
          <cell r="F184">
            <v>0</v>
          </cell>
          <cell r="G184">
            <v>404.47050243476286</v>
          </cell>
          <cell r="H184">
            <v>300</v>
          </cell>
          <cell r="I184">
            <v>2722.1345024347629</v>
          </cell>
          <cell r="J184">
            <v>18</v>
          </cell>
          <cell r="K184" t="str">
            <v>XFILL_PMG100%</v>
          </cell>
          <cell r="L184">
            <v>10</v>
          </cell>
          <cell r="M184" t="str">
            <v>TA+CCL100%</v>
          </cell>
          <cell r="N184">
            <v>2143.6106864331932</v>
          </cell>
          <cell r="O184">
            <v>279.96570428907245</v>
          </cell>
          <cell r="P184">
            <v>159</v>
          </cell>
          <cell r="Q184">
            <v>0</v>
          </cell>
          <cell r="S184">
            <v>0</v>
          </cell>
          <cell r="T184">
            <v>252.161</v>
          </cell>
          <cell r="V184">
            <v>0</v>
          </cell>
          <cell r="W184">
            <v>0</v>
          </cell>
          <cell r="X184">
            <v>2834.7373907222659</v>
          </cell>
          <cell r="Y184">
            <v>-9.7288895480402591</v>
          </cell>
          <cell r="Z184">
            <v>177230.65024228615</v>
          </cell>
          <cell r="AA184">
            <v>83.849084469583644</v>
          </cell>
          <cell r="AD184">
            <v>57.125254813137033</v>
          </cell>
        </row>
        <row r="185">
          <cell r="A185">
            <v>46376</v>
          </cell>
          <cell r="B185">
            <v>83.849084469583644</v>
          </cell>
          <cell r="C185"/>
          <cell r="D185">
            <v>177230.65024228612</v>
          </cell>
          <cell r="E185">
            <v>1432.925</v>
          </cell>
          <cell r="F185">
            <v>0</v>
          </cell>
          <cell r="G185">
            <v>509.73000017795044</v>
          </cell>
          <cell r="H185">
            <v>300</v>
          </cell>
          <cell r="I185">
            <v>2242.6550001779506</v>
          </cell>
          <cell r="J185">
            <v>18</v>
          </cell>
          <cell r="K185" t="str">
            <v>XFILL_PMG100%</v>
          </cell>
          <cell r="L185">
            <v>10</v>
          </cell>
          <cell r="M185" t="str">
            <v>TA+CCL100%</v>
          </cell>
          <cell r="N185">
            <v>2143.4723985101637</v>
          </cell>
          <cell r="O185">
            <v>315.67415178033036</v>
          </cell>
          <cell r="P185">
            <v>159</v>
          </cell>
          <cell r="Q185">
            <v>0</v>
          </cell>
          <cell r="S185">
            <v>0</v>
          </cell>
          <cell r="T185">
            <v>252.161</v>
          </cell>
          <cell r="V185">
            <v>0</v>
          </cell>
          <cell r="W185">
            <v>0</v>
          </cell>
          <cell r="X185">
            <v>2870.307550290494</v>
          </cell>
          <cell r="Y185">
            <v>-54.229180329723746</v>
          </cell>
          <cell r="Z185">
            <v>177176.42106195641</v>
          </cell>
          <cell r="AA185">
            <v>83.837004941469331</v>
          </cell>
          <cell r="AD185">
            <v>40.569790486976217</v>
          </cell>
        </row>
        <row r="186">
          <cell r="A186">
            <v>46377</v>
          </cell>
          <cell r="B186">
            <v>83.837004941469331</v>
          </cell>
          <cell r="C186"/>
          <cell r="D186">
            <v>177176.42106195638</v>
          </cell>
          <cell r="E186">
            <v>1026.1500000000001</v>
          </cell>
          <cell r="F186">
            <v>0</v>
          </cell>
          <cell r="G186">
            <v>514.77947069265042</v>
          </cell>
          <cell r="H186">
            <v>300</v>
          </cell>
          <cell r="I186">
            <v>1840.9294706926505</v>
          </cell>
          <cell r="J186">
            <v>18</v>
          </cell>
          <cell r="K186" t="str">
            <v>XFILL_PMG100%</v>
          </cell>
          <cell r="L186">
            <v>10</v>
          </cell>
          <cell r="M186" t="str">
            <v>TA+CCL100%</v>
          </cell>
          <cell r="N186">
            <v>2142.7015072682907</v>
          </cell>
          <cell r="O186">
            <v>230.52832881070449</v>
          </cell>
          <cell r="P186">
            <v>159</v>
          </cell>
          <cell r="Q186">
            <v>0</v>
          </cell>
          <cell r="S186">
            <v>0</v>
          </cell>
          <cell r="T186">
            <v>252.161</v>
          </cell>
          <cell r="V186">
            <v>0</v>
          </cell>
          <cell r="W186">
            <v>0</v>
          </cell>
          <cell r="X186">
            <v>2784.3908360789951</v>
          </cell>
          <cell r="Y186">
            <v>-81.51506196938017</v>
          </cell>
          <cell r="Z186">
            <v>177094.90599998701</v>
          </cell>
          <cell r="AA186">
            <v>83.81884402422105</v>
          </cell>
          <cell r="AD186">
            <v>29.052944507361271</v>
          </cell>
        </row>
        <row r="187">
          <cell r="A187">
            <v>46378</v>
          </cell>
          <cell r="B187">
            <v>83.81884402422105</v>
          </cell>
          <cell r="C187"/>
          <cell r="D187">
            <v>177094.90599998698</v>
          </cell>
          <cell r="E187">
            <v>1005.811</v>
          </cell>
          <cell r="F187">
            <v>0</v>
          </cell>
          <cell r="G187">
            <v>471.56891065748835</v>
          </cell>
          <cell r="H187">
            <v>300</v>
          </cell>
          <cell r="I187">
            <v>1777.3799106574884</v>
          </cell>
          <cell r="J187">
            <v>18</v>
          </cell>
          <cell r="K187" t="str">
            <v>XFILL_PMG100%</v>
          </cell>
          <cell r="L187">
            <v>10</v>
          </cell>
          <cell r="M187" t="str">
            <v>TA+CCL100%</v>
          </cell>
          <cell r="N187">
            <v>2141.5425139766148</v>
          </cell>
          <cell r="O187">
            <v>475.28014385570833</v>
          </cell>
          <cell r="P187">
            <v>159</v>
          </cell>
          <cell r="Q187">
            <v>0</v>
          </cell>
          <cell r="S187">
            <v>0</v>
          </cell>
          <cell r="T187">
            <v>252.161</v>
          </cell>
          <cell r="V187">
            <v>0</v>
          </cell>
          <cell r="W187">
            <v>0</v>
          </cell>
          <cell r="X187">
            <v>3027.9836578323234</v>
          </cell>
          <cell r="Y187">
            <v>-108.05216375590572</v>
          </cell>
          <cell r="Z187">
            <v>176986.85383623108</v>
          </cell>
          <cell r="AA187">
            <v>83.794764420792134</v>
          </cell>
          <cell r="AD187">
            <v>28.477095130237828</v>
          </cell>
        </row>
        <row r="188">
          <cell r="A188">
            <v>46379</v>
          </cell>
          <cell r="B188">
            <v>83.794764420792134</v>
          </cell>
          <cell r="C188"/>
          <cell r="D188">
            <v>176986.85383623111</v>
          </cell>
          <cell r="E188">
            <v>899.03300000000002</v>
          </cell>
          <cell r="F188">
            <v>0</v>
          </cell>
          <cell r="G188">
            <v>402.91479492390971</v>
          </cell>
          <cell r="H188">
            <v>300</v>
          </cell>
          <cell r="I188">
            <v>1601.9477949239099</v>
          </cell>
          <cell r="J188">
            <v>18</v>
          </cell>
          <cell r="K188" t="str">
            <v>XFILL_PMG100%</v>
          </cell>
          <cell r="L188">
            <v>10</v>
          </cell>
          <cell r="M188" t="str">
            <v>TA+CCL100%</v>
          </cell>
          <cell r="N188">
            <v>2140.0058020110901</v>
          </cell>
          <cell r="O188">
            <v>545.54326451130476</v>
          </cell>
          <cell r="P188">
            <v>159</v>
          </cell>
          <cell r="Q188">
            <v>0</v>
          </cell>
          <cell r="S188">
            <v>0</v>
          </cell>
          <cell r="T188">
            <v>252.161</v>
          </cell>
          <cell r="V188">
            <v>0</v>
          </cell>
          <cell r="W188">
            <v>0</v>
          </cell>
          <cell r="X188">
            <v>3096.7100665223948</v>
          </cell>
          <cell r="Y188">
            <v>-129.14746026610908</v>
          </cell>
          <cell r="Z188">
            <v>176857.706375965</v>
          </cell>
          <cell r="AA188">
            <v>83.765974073882376</v>
          </cell>
          <cell r="AD188">
            <v>25.453935447338619</v>
          </cell>
        </row>
        <row r="189">
          <cell r="A189">
            <v>46380</v>
          </cell>
          <cell r="B189">
            <v>83.765974073882376</v>
          </cell>
          <cell r="C189"/>
          <cell r="D189">
            <v>176857.70637596498</v>
          </cell>
          <cell r="E189">
            <v>883.27</v>
          </cell>
          <cell r="F189">
            <v>0</v>
          </cell>
          <cell r="G189">
            <v>340.87101871568836</v>
          </cell>
          <cell r="H189">
            <v>300</v>
          </cell>
          <cell r="I189">
            <v>1524.1410187156885</v>
          </cell>
          <cell r="J189">
            <v>18</v>
          </cell>
          <cell r="K189" t="str">
            <v>XFILL_PMG100%</v>
          </cell>
          <cell r="L189">
            <v>10</v>
          </cell>
          <cell r="M189" t="str">
            <v>TA+CCL100%</v>
          </cell>
          <cell r="N189">
            <v>2138.1684598506008</v>
          </cell>
          <cell r="O189">
            <v>527.56897250272857</v>
          </cell>
          <cell r="P189">
            <v>159</v>
          </cell>
          <cell r="Q189">
            <v>0</v>
          </cell>
          <cell r="S189">
            <v>0</v>
          </cell>
          <cell r="T189">
            <v>252.161</v>
          </cell>
          <cell r="V189">
            <v>0</v>
          </cell>
          <cell r="W189">
            <v>0</v>
          </cell>
          <cell r="X189">
            <v>3076.8984323533296</v>
          </cell>
          <cell r="Y189">
            <v>-134.1582405382922</v>
          </cell>
          <cell r="Z189">
            <v>176723.54813542668</v>
          </cell>
          <cell r="AA189">
            <v>83.736055586238763</v>
          </cell>
          <cell r="AD189">
            <v>25.007644394110983</v>
          </cell>
        </row>
        <row r="190">
          <cell r="A190">
            <v>46381</v>
          </cell>
          <cell r="B190">
            <v>83.736055586238763</v>
          </cell>
          <cell r="C190"/>
          <cell r="D190">
            <v>176723.54813542659</v>
          </cell>
          <cell r="E190">
            <v>824.79600000000005</v>
          </cell>
          <cell r="F190">
            <v>0</v>
          </cell>
          <cell r="G190">
            <v>285.1320414578542</v>
          </cell>
          <cell r="H190">
            <v>300</v>
          </cell>
          <cell r="I190">
            <v>1409.9280414578543</v>
          </cell>
          <cell r="J190">
            <v>18</v>
          </cell>
          <cell r="K190" t="str">
            <v>XFILL_PMG100%</v>
          </cell>
          <cell r="L190">
            <v>10</v>
          </cell>
          <cell r="M190" t="str">
            <v>TA+CCL100%</v>
          </cell>
          <cell r="N190">
            <v>2136.25912201254</v>
          </cell>
          <cell r="O190">
            <v>651.07199871969351</v>
          </cell>
          <cell r="P190">
            <v>159</v>
          </cell>
          <cell r="Q190">
            <v>0</v>
          </cell>
          <cell r="S190">
            <v>0</v>
          </cell>
          <cell r="T190">
            <v>252.161</v>
          </cell>
          <cell r="V190">
            <v>0</v>
          </cell>
          <cell r="W190">
            <v>0</v>
          </cell>
          <cell r="X190">
            <v>3198.4921207322336</v>
          </cell>
          <cell r="Y190">
            <v>-154.53193644930639</v>
          </cell>
          <cell r="Z190">
            <v>176569.01619897728</v>
          </cell>
          <cell r="AA190">
            <v>83.701579538793737</v>
          </cell>
          <cell r="AD190">
            <v>23.352095130237828</v>
          </cell>
        </row>
        <row r="191">
          <cell r="A191">
            <v>46382</v>
          </cell>
          <cell r="B191">
            <v>83.701579538793737</v>
          </cell>
          <cell r="C191"/>
          <cell r="D191">
            <v>176569.01619897725</v>
          </cell>
          <cell r="E191">
            <v>678.65599999999995</v>
          </cell>
          <cell r="F191">
            <v>0</v>
          </cell>
          <cell r="G191">
            <v>231.49925718141105</v>
          </cell>
          <cell r="H191">
            <v>300</v>
          </cell>
          <cell r="I191">
            <v>1210.1552571814109</v>
          </cell>
          <cell r="J191">
            <v>18</v>
          </cell>
          <cell r="K191" t="str">
            <v>XFILL_PMG100%</v>
          </cell>
          <cell r="L191">
            <v>10</v>
          </cell>
          <cell r="M191" t="str">
            <v>TA+CCL100%</v>
          </cell>
          <cell r="N191">
            <v>2134.0589298545101</v>
          </cell>
          <cell r="O191">
            <v>189.24815435000002</v>
          </cell>
          <cell r="P191">
            <v>159</v>
          </cell>
          <cell r="Q191">
            <v>0</v>
          </cell>
          <cell r="S191">
            <v>0</v>
          </cell>
          <cell r="T191">
            <v>252.161</v>
          </cell>
          <cell r="V191">
            <v>0</v>
          </cell>
          <cell r="W191">
            <v>0</v>
          </cell>
          <cell r="X191">
            <v>2734.46808420451</v>
          </cell>
          <cell r="Y191">
            <v>-131.70062825479576</v>
          </cell>
          <cell r="Z191">
            <v>176437.31557072245</v>
          </cell>
          <cell r="AA191">
            <v>83.672185271386653</v>
          </cell>
          <cell r="AD191">
            <v>19.214496036240089</v>
          </cell>
        </row>
        <row r="192">
          <cell r="A192">
            <v>46383</v>
          </cell>
          <cell r="B192">
            <v>83.672185271386653</v>
          </cell>
          <cell r="C192"/>
          <cell r="D192">
            <v>176437.31557072245</v>
          </cell>
          <cell r="E192">
            <v>756.971</v>
          </cell>
          <cell r="F192">
            <v>0</v>
          </cell>
          <cell r="G192">
            <v>151.56021587416086</v>
          </cell>
          <cell r="H192">
            <v>300</v>
          </cell>
          <cell r="I192">
            <v>1208.5312158741608</v>
          </cell>
          <cell r="J192">
            <v>18</v>
          </cell>
          <cell r="K192" t="str">
            <v>XFILL_PMG100%</v>
          </cell>
          <cell r="L192">
            <v>10</v>
          </cell>
          <cell r="M192" t="str">
            <v>TA+CCL100%</v>
          </cell>
          <cell r="N192">
            <v>2132.1830466998881</v>
          </cell>
          <cell r="O192">
            <v>408.5246635734141</v>
          </cell>
          <cell r="P192">
            <v>159</v>
          </cell>
          <cell r="Q192">
            <v>0</v>
          </cell>
          <cell r="S192">
            <v>0</v>
          </cell>
          <cell r="T192">
            <v>252.161</v>
          </cell>
          <cell r="V192">
            <v>0</v>
          </cell>
          <cell r="W192">
            <v>0</v>
          </cell>
          <cell r="X192">
            <v>2951.8687102733024</v>
          </cell>
          <cell r="Y192">
            <v>-150.62435951608583</v>
          </cell>
          <cell r="Z192">
            <v>176286.69121120637</v>
          </cell>
          <cell r="AA192">
            <v>83.63855399687985</v>
          </cell>
          <cell r="AD192">
            <v>21.431795016987543</v>
          </cell>
        </row>
        <row r="193">
          <cell r="A193">
            <v>46384</v>
          </cell>
          <cell r="B193">
            <v>83.63855399687985</v>
          </cell>
          <cell r="C193"/>
          <cell r="D193">
            <v>176286.69121120637</v>
          </cell>
          <cell r="E193">
            <v>1255.607</v>
          </cell>
          <cell r="F193">
            <v>0</v>
          </cell>
          <cell r="G193">
            <v>166.40803655093663</v>
          </cell>
          <cell r="H193">
            <v>300</v>
          </cell>
          <cell r="I193">
            <v>1722.0150365509367</v>
          </cell>
          <cell r="J193">
            <v>18</v>
          </cell>
          <cell r="K193" t="str">
            <v>XFILL_PMG100%</v>
          </cell>
          <cell r="L193">
            <v>10</v>
          </cell>
          <cell r="M193" t="str">
            <v>TA+CCL100%</v>
          </cell>
          <cell r="N193">
            <v>2130.0367662554036</v>
          </cell>
          <cell r="O193">
            <v>230.53585505549364</v>
          </cell>
          <cell r="P193">
            <v>159</v>
          </cell>
          <cell r="Q193">
            <v>0</v>
          </cell>
          <cell r="S193">
            <v>0</v>
          </cell>
          <cell r="T193">
            <v>252.161</v>
          </cell>
          <cell r="V193">
            <v>0</v>
          </cell>
          <cell r="W193">
            <v>0</v>
          </cell>
          <cell r="X193">
            <v>2771.7336213108974</v>
          </cell>
          <cell r="Y193">
            <v>-90.69568572326061</v>
          </cell>
          <cell r="Z193">
            <v>176195.9955254831</v>
          </cell>
          <cell r="AA193">
            <v>83.618296630236117</v>
          </cell>
          <cell r="AD193">
            <v>35.549462061155154</v>
          </cell>
        </row>
        <row r="194">
          <cell r="A194">
            <v>46385</v>
          </cell>
          <cell r="B194">
            <v>83.618296630236117</v>
          </cell>
          <cell r="C194"/>
          <cell r="D194">
            <v>176195.9955254831</v>
          </cell>
          <cell r="E194">
            <v>1107.9000000000001</v>
          </cell>
          <cell r="F194">
            <v>0</v>
          </cell>
          <cell r="G194">
            <v>349.73480263720165</v>
          </cell>
          <cell r="H194">
            <v>300</v>
          </cell>
          <cell r="I194">
            <v>1757.6348026372018</v>
          </cell>
          <cell r="J194">
            <v>18</v>
          </cell>
          <cell r="K194" t="str">
            <v>XFILL_PMG100%</v>
          </cell>
          <cell r="L194">
            <v>10</v>
          </cell>
          <cell r="M194" t="str">
            <v>TA+CCL100%</v>
          </cell>
          <cell r="N194">
            <v>2128.7439817706695</v>
          </cell>
          <cell r="O194">
            <v>344.66041175525959</v>
          </cell>
          <cell r="P194">
            <v>159</v>
          </cell>
          <cell r="Q194">
            <v>0</v>
          </cell>
          <cell r="S194">
            <v>0</v>
          </cell>
          <cell r="T194">
            <v>252.161</v>
          </cell>
          <cell r="V194">
            <v>0</v>
          </cell>
          <cell r="W194">
            <v>0</v>
          </cell>
          <cell r="X194">
            <v>2884.5653935259293</v>
          </cell>
          <cell r="Y194">
            <v>-97.366803052786054</v>
          </cell>
          <cell r="Z194">
            <v>176098.62872243032</v>
          </cell>
          <cell r="AA194">
            <v>83.596543444087089</v>
          </cell>
          <cell r="AD194">
            <v>31.367497168742926</v>
          </cell>
        </row>
        <row r="195">
          <cell r="A195">
            <v>46386</v>
          </cell>
          <cell r="B195">
            <v>83.596543444087089</v>
          </cell>
          <cell r="C195"/>
          <cell r="D195">
            <v>176098.62872243027</v>
          </cell>
          <cell r="E195">
            <v>1832.559</v>
          </cell>
          <cell r="F195">
            <v>0</v>
          </cell>
          <cell r="G195">
            <v>297.70092958526288</v>
          </cell>
          <cell r="H195">
            <v>300</v>
          </cell>
          <cell r="I195">
            <v>2430.2599295852629</v>
          </cell>
          <cell r="J195">
            <v>18</v>
          </cell>
          <cell r="K195" t="str">
            <v>XFILL_PMG100%</v>
          </cell>
          <cell r="L195">
            <v>10</v>
          </cell>
          <cell r="M195" t="str">
            <v>TA+CCL100%</v>
          </cell>
          <cell r="N195">
            <v>2127.3557370870649</v>
          </cell>
          <cell r="O195">
            <v>267.73365818051064</v>
          </cell>
          <cell r="P195">
            <v>159</v>
          </cell>
          <cell r="Q195">
            <v>0</v>
          </cell>
          <cell r="S195">
            <v>0</v>
          </cell>
          <cell r="T195">
            <v>252.161</v>
          </cell>
          <cell r="V195">
            <v>0</v>
          </cell>
          <cell r="W195">
            <v>0</v>
          </cell>
          <cell r="X195">
            <v>2806.2503952675756</v>
          </cell>
          <cell r="Y195">
            <v>-32.485576234951822</v>
          </cell>
          <cell r="Z195">
            <v>176066.1431461953</v>
          </cell>
          <cell r="AA195">
            <v>83.589284350505579</v>
          </cell>
          <cell r="AD195">
            <v>51.884456398640992</v>
          </cell>
        </row>
        <row r="196">
          <cell r="A196">
            <v>46387</v>
          </cell>
          <cell r="B196">
            <v>83.589284350505579</v>
          </cell>
          <cell r="C196"/>
          <cell r="D196">
            <v>176066.14314619525</v>
          </cell>
          <cell r="E196">
            <v>685.59500000000003</v>
          </cell>
          <cell r="F196">
            <v>0</v>
          </cell>
          <cell r="G196">
            <v>225.05930860400531</v>
          </cell>
          <cell r="H196">
            <v>0</v>
          </cell>
          <cell r="I196">
            <v>910.65430860400534</v>
          </cell>
          <cell r="J196">
            <v>18</v>
          </cell>
          <cell r="K196" t="str">
            <v>XFILL_PMG100%</v>
          </cell>
          <cell r="L196">
            <v>10</v>
          </cell>
          <cell r="M196" t="str">
            <v>TA+CCL100%</v>
          </cell>
          <cell r="N196">
            <v>2126.8924763029545</v>
          </cell>
          <cell r="O196">
            <v>431.66569957125824</v>
          </cell>
          <cell r="P196">
            <v>159</v>
          </cell>
          <cell r="Q196">
            <v>0</v>
          </cell>
          <cell r="S196">
            <v>0</v>
          </cell>
          <cell r="T196">
            <v>252.161</v>
          </cell>
          <cell r="V196">
            <v>0</v>
          </cell>
          <cell r="W196">
            <v>0</v>
          </cell>
          <cell r="X196">
            <v>2969.7191758742129</v>
          </cell>
          <cell r="Y196">
            <v>-177.90320453214591</v>
          </cell>
          <cell r="Z196">
            <v>175888.23994166311</v>
          </cell>
          <cell r="AA196">
            <v>83.549518978009246</v>
          </cell>
          <cell r="AD196">
            <v>19.410956964892414</v>
          </cell>
        </row>
        <row r="197">
          <cell r="A197">
            <v>46388</v>
          </cell>
          <cell r="B197">
            <v>83.549518978009246</v>
          </cell>
          <cell r="C197"/>
          <cell r="D197">
            <v>175888.23994166311</v>
          </cell>
          <cell r="E197">
            <v>549.78399999999999</v>
          </cell>
          <cell r="F197">
            <v>0</v>
          </cell>
          <cell r="G197">
            <v>0</v>
          </cell>
          <cell r="H197">
            <v>0</v>
          </cell>
          <cell r="I197">
            <v>549.78399999999999</v>
          </cell>
          <cell r="J197">
            <v>18</v>
          </cell>
          <cell r="K197" t="str">
            <v>XFILL_PMG100%</v>
          </cell>
          <cell r="L197">
            <v>10</v>
          </cell>
          <cell r="M197" t="str">
            <v>TA+CCL100%</v>
          </cell>
          <cell r="N197">
            <v>2124.3547300352866</v>
          </cell>
          <cell r="O197">
            <v>352.47927615833476</v>
          </cell>
          <cell r="P197">
            <v>159</v>
          </cell>
          <cell r="Q197">
            <v>0</v>
          </cell>
          <cell r="S197">
            <v>0</v>
          </cell>
          <cell r="T197">
            <v>252.161</v>
          </cell>
          <cell r="V197">
            <v>0</v>
          </cell>
          <cell r="W197">
            <v>0</v>
          </cell>
          <cell r="X197">
            <v>2887.9950061936215</v>
          </cell>
          <cell r="Y197">
            <v>-202.0214309351289</v>
          </cell>
          <cell r="Z197">
            <v>175686.21851072798</v>
          </cell>
          <cell r="AA197">
            <v>83.504338305543271</v>
          </cell>
          <cell r="AD197">
            <v>15.565798414496037</v>
          </cell>
        </row>
        <row r="198">
          <cell r="A198">
            <v>46389</v>
          </cell>
          <cell r="B198">
            <v>83.504338305543271</v>
          </cell>
          <cell r="C198"/>
          <cell r="D198">
            <v>175686.21851072795</v>
          </cell>
          <cell r="F198">
            <v>0</v>
          </cell>
          <cell r="G198" t="e">
            <v>#N/A</v>
          </cell>
          <cell r="H198">
            <v>0</v>
          </cell>
          <cell r="I198" t="e">
            <v>#N/A</v>
          </cell>
          <cell r="J198">
            <v>18</v>
          </cell>
          <cell r="K198" t="str">
            <v>XFILL_PMG100%</v>
          </cell>
          <cell r="L198">
            <v>10</v>
          </cell>
          <cell r="M198" t="str">
            <v>TA+CCL100%</v>
          </cell>
          <cell r="N198">
            <v>2121.4713901915115</v>
          </cell>
          <cell r="O198">
            <v>393.36490990636821</v>
          </cell>
          <cell r="P198">
            <v>159</v>
          </cell>
          <cell r="Q198">
            <v>0</v>
          </cell>
          <cell r="S198">
            <v>0</v>
          </cell>
          <cell r="T198">
            <v>252.161</v>
          </cell>
          <cell r="V198">
            <v>0</v>
          </cell>
          <cell r="W198">
            <v>0</v>
          </cell>
          <cell r="X198">
            <v>2925.9973000978798</v>
          </cell>
          <cell r="Y198" t="e">
            <v>#N/A</v>
          </cell>
          <cell r="Z198" t="e">
            <v>#N/A</v>
          </cell>
          <cell r="AA198" t="e">
            <v>#N/A</v>
          </cell>
          <cell r="AD198">
            <v>0</v>
          </cell>
        </row>
        <row r="199">
          <cell r="A199">
            <v>46390</v>
          </cell>
          <cell r="B199" t="e">
            <v>#N/A</v>
          </cell>
          <cell r="C199"/>
          <cell r="D199" t="e">
            <v>#N/A</v>
          </cell>
          <cell r="F199">
            <v>0</v>
          </cell>
          <cell r="G199" t="e">
            <v>#N/A</v>
          </cell>
          <cell r="H199">
            <v>0</v>
          </cell>
          <cell r="I199" t="e">
            <v>#N/A</v>
          </cell>
          <cell r="J199">
            <v>18</v>
          </cell>
          <cell r="K199" t="str">
            <v>XFILL_PMG100%</v>
          </cell>
          <cell r="L199">
            <v>10</v>
          </cell>
          <cell r="M199" t="str">
            <v>TA+CCL100%</v>
          </cell>
          <cell r="N199" t="e">
            <v>#N/A</v>
          </cell>
          <cell r="O199" t="e">
            <v>#N/A</v>
          </cell>
          <cell r="P199">
            <v>159</v>
          </cell>
          <cell r="Q199">
            <v>0</v>
          </cell>
          <cell r="S199">
            <v>0</v>
          </cell>
          <cell r="T199">
            <v>252.161</v>
          </cell>
          <cell r="V199">
            <v>0</v>
          </cell>
          <cell r="W199" t="e">
            <v>#N/A</v>
          </cell>
          <cell r="X199" t="e">
            <v>#N/A</v>
          </cell>
          <cell r="Y199" t="e">
            <v>#N/A</v>
          </cell>
          <cell r="Z199" t="e">
            <v>#N/A</v>
          </cell>
          <cell r="AA199" t="e">
            <v>#N/A</v>
          </cell>
          <cell r="AD199">
            <v>0</v>
          </cell>
        </row>
        <row r="200">
          <cell r="A200">
            <v>46391</v>
          </cell>
          <cell r="B200" t="e">
            <v>#N/A</v>
          </cell>
          <cell r="C200"/>
          <cell r="D200" t="e">
            <v>#N/A</v>
          </cell>
          <cell r="F200">
            <v>0</v>
          </cell>
          <cell r="G200" t="e">
            <v>#N/A</v>
          </cell>
          <cell r="H200">
            <v>0</v>
          </cell>
          <cell r="I200" t="e">
            <v>#N/A</v>
          </cell>
          <cell r="J200">
            <v>18</v>
          </cell>
          <cell r="K200" t="str">
            <v>XFILL_PMG100%</v>
          </cell>
          <cell r="L200">
            <v>10</v>
          </cell>
          <cell r="M200" t="str">
            <v>TA+CCL100%</v>
          </cell>
          <cell r="N200" t="e">
            <v>#N/A</v>
          </cell>
          <cell r="O200" t="e">
            <v>#N/A</v>
          </cell>
          <cell r="P200">
            <v>159</v>
          </cell>
          <cell r="Q200">
            <v>0</v>
          </cell>
          <cell r="S200">
            <v>0</v>
          </cell>
          <cell r="T200">
            <v>252.161</v>
          </cell>
          <cell r="V200">
            <v>0</v>
          </cell>
          <cell r="W200" t="e">
            <v>#N/A</v>
          </cell>
          <cell r="X200" t="e">
            <v>#N/A</v>
          </cell>
          <cell r="Y200" t="e">
            <v>#N/A</v>
          </cell>
          <cell r="Z200" t="e">
            <v>#N/A</v>
          </cell>
          <cell r="AA200" t="e">
            <v>#N/A</v>
          </cell>
          <cell r="AD200">
            <v>0</v>
          </cell>
        </row>
        <row r="201">
          <cell r="A201">
            <v>46392</v>
          </cell>
          <cell r="B201" t="e">
            <v>#N/A</v>
          </cell>
          <cell r="C201"/>
          <cell r="D201" t="e">
            <v>#N/A</v>
          </cell>
          <cell r="F201">
            <v>0</v>
          </cell>
          <cell r="G201" t="e">
            <v>#N/A</v>
          </cell>
          <cell r="H201">
            <v>0</v>
          </cell>
          <cell r="I201" t="e">
            <v>#N/A</v>
          </cell>
          <cell r="J201">
            <v>18</v>
          </cell>
          <cell r="K201" t="str">
            <v>XFILL_PMG100%</v>
          </cell>
          <cell r="L201">
            <v>10</v>
          </cell>
          <cell r="M201" t="str">
            <v>TA+CCL100%</v>
          </cell>
          <cell r="N201" t="e">
            <v>#N/A</v>
          </cell>
          <cell r="O201" t="e">
            <v>#N/A</v>
          </cell>
          <cell r="P201">
            <v>159</v>
          </cell>
          <cell r="Q201">
            <v>0</v>
          </cell>
          <cell r="S201">
            <v>0</v>
          </cell>
          <cell r="T201">
            <v>252.161</v>
          </cell>
          <cell r="V201">
            <v>0</v>
          </cell>
          <cell r="W201" t="e">
            <v>#N/A</v>
          </cell>
          <cell r="X201" t="e">
            <v>#N/A</v>
          </cell>
          <cell r="Y201" t="e">
            <v>#N/A</v>
          </cell>
          <cell r="Z201" t="e">
            <v>#N/A</v>
          </cell>
          <cell r="AA201" t="e">
            <v>#N/A</v>
          </cell>
          <cell r="AD201">
            <v>0</v>
          </cell>
        </row>
        <row r="202">
          <cell r="A202">
            <v>46393</v>
          </cell>
          <cell r="B202" t="e">
            <v>#N/A</v>
          </cell>
          <cell r="C202"/>
          <cell r="D202" t="e">
            <v>#N/A</v>
          </cell>
          <cell r="F202">
            <v>0</v>
          </cell>
          <cell r="G202" t="e">
            <v>#N/A</v>
          </cell>
          <cell r="H202">
            <v>0</v>
          </cell>
          <cell r="I202" t="e">
            <v>#N/A</v>
          </cell>
          <cell r="J202">
            <v>18</v>
          </cell>
          <cell r="K202" t="str">
            <v>XFILL_PMG100%</v>
          </cell>
          <cell r="L202">
            <v>10</v>
          </cell>
          <cell r="M202" t="str">
            <v>TA+CCL100%</v>
          </cell>
          <cell r="N202" t="e">
            <v>#N/A</v>
          </cell>
          <cell r="O202" t="e">
            <v>#N/A</v>
          </cell>
          <cell r="P202">
            <v>159</v>
          </cell>
          <cell r="Q202">
            <v>0</v>
          </cell>
          <cell r="S202">
            <v>0</v>
          </cell>
          <cell r="T202">
            <v>252.161</v>
          </cell>
          <cell r="V202">
            <v>0</v>
          </cell>
          <cell r="W202" t="e">
            <v>#N/A</v>
          </cell>
          <cell r="X202" t="e">
            <v>#N/A</v>
          </cell>
          <cell r="Y202" t="e">
            <v>#N/A</v>
          </cell>
          <cell r="Z202" t="e">
            <v>#N/A</v>
          </cell>
          <cell r="AA202" t="e">
            <v>#N/A</v>
          </cell>
          <cell r="AD202">
            <v>0</v>
          </cell>
        </row>
        <row r="203">
          <cell r="A203">
            <v>46394</v>
          </cell>
          <cell r="B203" t="e">
            <v>#N/A</v>
          </cell>
          <cell r="C203"/>
          <cell r="D203" t="e">
            <v>#N/A</v>
          </cell>
          <cell r="F203">
            <v>0</v>
          </cell>
          <cell r="G203" t="e">
            <v>#N/A</v>
          </cell>
          <cell r="H203">
            <v>0</v>
          </cell>
          <cell r="I203" t="e">
            <v>#N/A</v>
          </cell>
          <cell r="J203">
            <v>18</v>
          </cell>
          <cell r="K203" t="str">
            <v>XFILL_PMG100%</v>
          </cell>
          <cell r="L203">
            <v>10</v>
          </cell>
          <cell r="M203" t="str">
            <v>TA+CCL100%</v>
          </cell>
          <cell r="N203" t="e">
            <v>#N/A</v>
          </cell>
          <cell r="O203" t="e">
            <v>#N/A</v>
          </cell>
          <cell r="P203">
            <v>159</v>
          </cell>
          <cell r="Q203">
            <v>0</v>
          </cell>
          <cell r="S203">
            <v>0</v>
          </cell>
          <cell r="T203">
            <v>252.161</v>
          </cell>
          <cell r="V203">
            <v>0</v>
          </cell>
          <cell r="W203" t="e">
            <v>#N/A</v>
          </cell>
          <cell r="X203" t="e">
            <v>#N/A</v>
          </cell>
          <cell r="Y203" t="e">
            <v>#N/A</v>
          </cell>
          <cell r="Z203" t="e">
            <v>#N/A</v>
          </cell>
          <cell r="AA203" t="e">
            <v>#N/A</v>
          </cell>
          <cell r="AD203">
            <v>0</v>
          </cell>
        </row>
        <row r="204">
          <cell r="A204">
            <v>46395</v>
          </cell>
          <cell r="B204" t="e">
            <v>#N/A</v>
          </cell>
          <cell r="C204"/>
          <cell r="D204" t="e">
            <v>#N/A</v>
          </cell>
          <cell r="F204">
            <v>0</v>
          </cell>
          <cell r="G204" t="e">
            <v>#N/A</v>
          </cell>
          <cell r="H204">
            <v>0</v>
          </cell>
          <cell r="I204" t="e">
            <v>#N/A</v>
          </cell>
          <cell r="J204">
            <v>18</v>
          </cell>
          <cell r="K204" t="str">
            <v>XFILL_PMG100%</v>
          </cell>
          <cell r="L204">
            <v>10</v>
          </cell>
          <cell r="M204" t="str">
            <v>TA+CCL100%</v>
          </cell>
          <cell r="N204" t="e">
            <v>#N/A</v>
          </cell>
          <cell r="O204" t="e">
            <v>#N/A</v>
          </cell>
          <cell r="P204">
            <v>159</v>
          </cell>
          <cell r="Q204">
            <v>0</v>
          </cell>
          <cell r="S204">
            <v>0</v>
          </cell>
          <cell r="T204">
            <v>252.161</v>
          </cell>
          <cell r="V204">
            <v>0</v>
          </cell>
          <cell r="W204" t="e">
            <v>#N/A</v>
          </cell>
          <cell r="X204" t="e">
            <v>#N/A</v>
          </cell>
          <cell r="Y204" t="e">
            <v>#N/A</v>
          </cell>
          <cell r="Z204" t="e">
            <v>#N/A</v>
          </cell>
          <cell r="AA204" t="e">
            <v>#N/A</v>
          </cell>
          <cell r="AD204">
            <v>0</v>
          </cell>
        </row>
        <row r="205">
          <cell r="A205">
            <v>46396</v>
          </cell>
          <cell r="B205" t="e">
            <v>#N/A</v>
          </cell>
          <cell r="C205"/>
          <cell r="D205" t="e">
            <v>#N/A</v>
          </cell>
          <cell r="F205">
            <v>0</v>
          </cell>
          <cell r="G205" t="e">
            <v>#N/A</v>
          </cell>
          <cell r="H205">
            <v>0</v>
          </cell>
          <cell r="I205" t="e">
            <v>#N/A</v>
          </cell>
          <cell r="J205">
            <v>18</v>
          </cell>
          <cell r="K205" t="str">
            <v>XFILL_PMG100%</v>
          </cell>
          <cell r="L205">
            <v>10</v>
          </cell>
          <cell r="M205" t="str">
            <v>TA+CCL100%</v>
          </cell>
          <cell r="N205" t="e">
            <v>#N/A</v>
          </cell>
          <cell r="O205" t="e">
            <v>#N/A</v>
          </cell>
          <cell r="P205">
            <v>159</v>
          </cell>
          <cell r="Q205">
            <v>0</v>
          </cell>
          <cell r="S205">
            <v>0</v>
          </cell>
          <cell r="T205">
            <v>252.161</v>
          </cell>
          <cell r="V205">
            <v>0</v>
          </cell>
          <cell r="W205" t="e">
            <v>#N/A</v>
          </cell>
          <cell r="X205" t="e">
            <v>#N/A</v>
          </cell>
          <cell r="Y205" t="e">
            <v>#N/A</v>
          </cell>
          <cell r="Z205" t="e">
            <v>#N/A</v>
          </cell>
          <cell r="AA205" t="e">
            <v>#N/A</v>
          </cell>
          <cell r="AD205">
            <v>0</v>
          </cell>
        </row>
        <row r="206">
          <cell r="A206">
            <v>46397</v>
          </cell>
          <cell r="B206" t="e">
            <v>#N/A</v>
          </cell>
          <cell r="C206"/>
          <cell r="D206" t="e">
            <v>#N/A</v>
          </cell>
          <cell r="F206">
            <v>0</v>
          </cell>
          <cell r="G206" t="e">
            <v>#N/A</v>
          </cell>
          <cell r="H206">
            <v>0</v>
          </cell>
          <cell r="I206" t="e">
            <v>#N/A</v>
          </cell>
          <cell r="J206">
            <v>18</v>
          </cell>
          <cell r="K206" t="str">
            <v>XFILL_PMG100%</v>
          </cell>
          <cell r="L206">
            <v>10</v>
          </cell>
          <cell r="M206" t="str">
            <v>TA+CCL100%</v>
          </cell>
          <cell r="N206" t="e">
            <v>#N/A</v>
          </cell>
          <cell r="O206" t="e">
            <v>#N/A</v>
          </cell>
          <cell r="P206">
            <v>159</v>
          </cell>
          <cell r="Q206">
            <v>0</v>
          </cell>
          <cell r="S206">
            <v>0</v>
          </cell>
          <cell r="T206">
            <v>252.161</v>
          </cell>
          <cell r="V206">
            <v>0</v>
          </cell>
          <cell r="W206" t="e">
            <v>#N/A</v>
          </cell>
          <cell r="X206" t="e">
            <v>#N/A</v>
          </cell>
          <cell r="Y206" t="e">
            <v>#N/A</v>
          </cell>
          <cell r="Z206" t="e">
            <v>#N/A</v>
          </cell>
          <cell r="AA206" t="e">
            <v>#N/A</v>
          </cell>
          <cell r="AD206">
            <v>0</v>
          </cell>
        </row>
        <row r="207">
          <cell r="A207">
            <v>46398</v>
          </cell>
          <cell r="B207" t="e">
            <v>#N/A</v>
          </cell>
          <cell r="C207"/>
          <cell r="D207" t="e">
            <v>#N/A</v>
          </cell>
          <cell r="F207">
            <v>0</v>
          </cell>
          <cell r="G207" t="e">
            <v>#N/A</v>
          </cell>
          <cell r="H207">
            <v>0</v>
          </cell>
          <cell r="I207" t="e">
            <v>#N/A</v>
          </cell>
          <cell r="J207">
            <v>18</v>
          </cell>
          <cell r="K207" t="str">
            <v>XFILL_PMG100%</v>
          </cell>
          <cell r="L207">
            <v>10</v>
          </cell>
          <cell r="M207" t="str">
            <v>TA+CCL100%</v>
          </cell>
          <cell r="N207" t="e">
            <v>#N/A</v>
          </cell>
          <cell r="O207" t="e">
            <v>#N/A</v>
          </cell>
          <cell r="P207">
            <v>159</v>
          </cell>
          <cell r="Q207">
            <v>0</v>
          </cell>
          <cell r="S207">
            <v>0</v>
          </cell>
          <cell r="T207">
            <v>252.161</v>
          </cell>
          <cell r="V207">
            <v>0</v>
          </cell>
          <cell r="W207" t="e">
            <v>#N/A</v>
          </cell>
          <cell r="X207" t="e">
            <v>#N/A</v>
          </cell>
          <cell r="Y207" t="e">
            <v>#N/A</v>
          </cell>
          <cell r="Z207" t="e">
            <v>#N/A</v>
          </cell>
          <cell r="AA207" t="e">
            <v>#N/A</v>
          </cell>
          <cell r="AD207">
            <v>0</v>
          </cell>
        </row>
        <row r="208">
          <cell r="A208">
            <v>46399</v>
          </cell>
          <cell r="B208" t="e">
            <v>#N/A</v>
          </cell>
          <cell r="C208"/>
          <cell r="D208" t="e">
            <v>#N/A</v>
          </cell>
          <cell r="F208">
            <v>0</v>
          </cell>
          <cell r="G208" t="e">
            <v>#N/A</v>
          </cell>
          <cell r="H208">
            <v>0</v>
          </cell>
          <cell r="I208" t="e">
            <v>#N/A</v>
          </cell>
          <cell r="J208">
            <v>18</v>
          </cell>
          <cell r="K208" t="str">
            <v>XFILL_PMG100%</v>
          </cell>
          <cell r="L208">
            <v>10</v>
          </cell>
          <cell r="M208" t="str">
            <v>TA+CCL100%</v>
          </cell>
          <cell r="N208" t="e">
            <v>#N/A</v>
          </cell>
          <cell r="O208" t="e">
            <v>#N/A</v>
          </cell>
          <cell r="P208">
            <v>159</v>
          </cell>
          <cell r="Q208">
            <v>0</v>
          </cell>
          <cell r="S208">
            <v>0</v>
          </cell>
          <cell r="T208">
            <v>252.161</v>
          </cell>
          <cell r="V208">
            <v>0</v>
          </cell>
          <cell r="W208" t="e">
            <v>#N/A</v>
          </cell>
          <cell r="X208" t="e">
            <v>#N/A</v>
          </cell>
          <cell r="Y208" t="e">
            <v>#N/A</v>
          </cell>
          <cell r="Z208" t="e">
            <v>#N/A</v>
          </cell>
          <cell r="AA208" t="e">
            <v>#N/A</v>
          </cell>
          <cell r="AD208">
            <v>0</v>
          </cell>
        </row>
        <row r="209">
          <cell r="A209">
            <v>46400</v>
          </cell>
          <cell r="B209" t="e">
            <v>#N/A</v>
          </cell>
          <cell r="C209"/>
          <cell r="D209" t="e">
            <v>#N/A</v>
          </cell>
          <cell r="F209">
            <v>0</v>
          </cell>
          <cell r="G209" t="e">
            <v>#N/A</v>
          </cell>
          <cell r="H209">
            <v>0</v>
          </cell>
          <cell r="I209" t="e">
            <v>#N/A</v>
          </cell>
          <cell r="J209">
            <v>18</v>
          </cell>
          <cell r="K209" t="str">
            <v>XFILL_PMG100%</v>
          </cell>
          <cell r="L209">
            <v>10</v>
          </cell>
          <cell r="M209" t="str">
            <v>TA+CCL100%</v>
          </cell>
          <cell r="N209" t="e">
            <v>#N/A</v>
          </cell>
          <cell r="O209" t="e">
            <v>#N/A</v>
          </cell>
          <cell r="P209">
            <v>159</v>
          </cell>
          <cell r="Q209">
            <v>0</v>
          </cell>
          <cell r="S209">
            <v>0</v>
          </cell>
          <cell r="T209">
            <v>252.161</v>
          </cell>
          <cell r="V209">
            <v>0</v>
          </cell>
          <cell r="W209" t="e">
            <v>#N/A</v>
          </cell>
          <cell r="X209" t="e">
            <v>#N/A</v>
          </cell>
          <cell r="Y209" t="e">
            <v>#N/A</v>
          </cell>
          <cell r="Z209" t="e">
            <v>#N/A</v>
          </cell>
          <cell r="AA209" t="e">
            <v>#N/A</v>
          </cell>
          <cell r="AD209">
            <v>0</v>
          </cell>
        </row>
        <row r="210">
          <cell r="A210">
            <v>46401</v>
          </cell>
          <cell r="B210" t="e">
            <v>#N/A</v>
          </cell>
          <cell r="C210"/>
          <cell r="D210" t="e">
            <v>#N/A</v>
          </cell>
          <cell r="F210">
            <v>0</v>
          </cell>
          <cell r="G210" t="e">
            <v>#N/A</v>
          </cell>
          <cell r="H210">
            <v>0</v>
          </cell>
          <cell r="I210" t="e">
            <v>#N/A</v>
          </cell>
          <cell r="J210">
            <v>18</v>
          </cell>
          <cell r="K210" t="str">
            <v>XFILL_PMG100%</v>
          </cell>
          <cell r="L210">
            <v>10</v>
          </cell>
          <cell r="M210" t="str">
            <v>TA+CCL100%</v>
          </cell>
          <cell r="N210" t="e">
            <v>#N/A</v>
          </cell>
          <cell r="O210" t="e">
            <v>#N/A</v>
          </cell>
          <cell r="P210">
            <v>159</v>
          </cell>
          <cell r="Q210">
            <v>0</v>
          </cell>
          <cell r="S210">
            <v>0</v>
          </cell>
          <cell r="T210">
            <v>252.161</v>
          </cell>
          <cell r="V210">
            <v>0</v>
          </cell>
          <cell r="W210" t="e">
            <v>#N/A</v>
          </cell>
          <cell r="X210" t="e">
            <v>#N/A</v>
          </cell>
          <cell r="Y210" t="e">
            <v>#N/A</v>
          </cell>
          <cell r="Z210" t="e">
            <v>#N/A</v>
          </cell>
          <cell r="AA210" t="e">
            <v>#N/A</v>
          </cell>
          <cell r="AD210">
            <v>0</v>
          </cell>
        </row>
        <row r="211">
          <cell r="A211">
            <v>46402</v>
          </cell>
          <cell r="B211" t="e">
            <v>#N/A</v>
          </cell>
          <cell r="C211"/>
          <cell r="D211" t="e">
            <v>#N/A</v>
          </cell>
          <cell r="F211">
            <v>0</v>
          </cell>
          <cell r="G211" t="e">
            <v>#N/A</v>
          </cell>
          <cell r="H211">
            <v>0</v>
          </cell>
          <cell r="I211" t="e">
            <v>#N/A</v>
          </cell>
          <cell r="J211">
            <v>18</v>
          </cell>
          <cell r="K211" t="str">
            <v>XFILL_PMG100%</v>
          </cell>
          <cell r="L211">
            <v>10</v>
          </cell>
          <cell r="M211" t="str">
            <v>TA+CCL100%</v>
          </cell>
          <cell r="N211" t="e">
            <v>#N/A</v>
          </cell>
          <cell r="O211" t="e">
            <v>#N/A</v>
          </cell>
          <cell r="P211">
            <v>159</v>
          </cell>
          <cell r="Q211">
            <v>0</v>
          </cell>
          <cell r="S211">
            <v>0</v>
          </cell>
          <cell r="T211">
            <v>252.161</v>
          </cell>
          <cell r="V211">
            <v>0</v>
          </cell>
          <cell r="W211" t="e">
            <v>#N/A</v>
          </cell>
          <cell r="X211" t="e">
            <v>#N/A</v>
          </cell>
          <cell r="Y211" t="e">
            <v>#N/A</v>
          </cell>
          <cell r="Z211" t="e">
            <v>#N/A</v>
          </cell>
          <cell r="AA211" t="e">
            <v>#N/A</v>
          </cell>
          <cell r="AD211">
            <v>0</v>
          </cell>
        </row>
        <row r="212">
          <cell r="A212">
            <v>46403</v>
          </cell>
          <cell r="B212" t="e">
            <v>#N/A</v>
          </cell>
          <cell r="C212"/>
          <cell r="D212" t="e">
            <v>#N/A</v>
          </cell>
          <cell r="F212">
            <v>0</v>
          </cell>
          <cell r="G212" t="e">
            <v>#N/A</v>
          </cell>
          <cell r="H212">
            <v>0</v>
          </cell>
          <cell r="I212" t="e">
            <v>#N/A</v>
          </cell>
          <cell r="J212">
            <v>18</v>
          </cell>
          <cell r="K212" t="str">
            <v>XFILL_PMG100%</v>
          </cell>
          <cell r="L212">
            <v>10</v>
          </cell>
          <cell r="M212" t="str">
            <v>TA+CCL100%</v>
          </cell>
          <cell r="N212" t="e">
            <v>#N/A</v>
          </cell>
          <cell r="O212" t="e">
            <v>#N/A</v>
          </cell>
          <cell r="P212">
            <v>159</v>
          </cell>
          <cell r="Q212">
            <v>0</v>
          </cell>
          <cell r="S212">
            <v>0</v>
          </cell>
          <cell r="T212">
            <v>252.161</v>
          </cell>
          <cell r="V212">
            <v>0</v>
          </cell>
          <cell r="W212" t="e">
            <v>#N/A</v>
          </cell>
          <cell r="X212" t="e">
            <v>#N/A</v>
          </cell>
          <cell r="Y212" t="e">
            <v>#N/A</v>
          </cell>
          <cell r="Z212" t="e">
            <v>#N/A</v>
          </cell>
          <cell r="AA212" t="e">
            <v>#N/A</v>
          </cell>
          <cell r="AD212">
            <v>0</v>
          </cell>
        </row>
        <row r="213">
          <cell r="A213">
            <v>46404</v>
          </cell>
          <cell r="B213" t="e">
            <v>#N/A</v>
          </cell>
          <cell r="C213"/>
          <cell r="D213" t="e">
            <v>#N/A</v>
          </cell>
          <cell r="F213">
            <v>0</v>
          </cell>
          <cell r="G213" t="e">
            <v>#N/A</v>
          </cell>
          <cell r="H213">
            <v>0</v>
          </cell>
          <cell r="I213" t="e">
            <v>#N/A</v>
          </cell>
          <cell r="J213">
            <v>18</v>
          </cell>
          <cell r="K213" t="str">
            <v>XFILL_PMG100%</v>
          </cell>
          <cell r="L213">
            <v>10</v>
          </cell>
          <cell r="M213" t="str">
            <v>TA+CCL100%</v>
          </cell>
          <cell r="N213" t="e">
            <v>#N/A</v>
          </cell>
          <cell r="O213" t="e">
            <v>#N/A</v>
          </cell>
          <cell r="P213">
            <v>159</v>
          </cell>
          <cell r="Q213">
            <v>0</v>
          </cell>
          <cell r="S213">
            <v>0</v>
          </cell>
          <cell r="T213">
            <v>252.161</v>
          </cell>
          <cell r="V213">
            <v>0</v>
          </cell>
          <cell r="W213" t="e">
            <v>#N/A</v>
          </cell>
          <cell r="X213" t="e">
            <v>#N/A</v>
          </cell>
          <cell r="Y213" t="e">
            <v>#N/A</v>
          </cell>
          <cell r="Z213" t="e">
            <v>#N/A</v>
          </cell>
          <cell r="AA213" t="e">
            <v>#N/A</v>
          </cell>
          <cell r="AD213">
            <v>0</v>
          </cell>
        </row>
        <row r="214">
          <cell r="A214">
            <v>46405</v>
          </cell>
          <cell r="B214" t="e">
            <v>#N/A</v>
          </cell>
          <cell r="C214"/>
          <cell r="D214" t="e">
            <v>#N/A</v>
          </cell>
          <cell r="F214">
            <v>0</v>
          </cell>
          <cell r="G214" t="e">
            <v>#N/A</v>
          </cell>
          <cell r="H214">
            <v>0</v>
          </cell>
          <cell r="I214" t="e">
            <v>#N/A</v>
          </cell>
          <cell r="J214">
            <v>18</v>
          </cell>
          <cell r="K214" t="str">
            <v>XFILL_PMG100%</v>
          </cell>
          <cell r="L214">
            <v>10</v>
          </cell>
          <cell r="M214" t="str">
            <v>TA+CCL100%</v>
          </cell>
          <cell r="N214" t="e">
            <v>#N/A</v>
          </cell>
          <cell r="O214" t="e">
            <v>#N/A</v>
          </cell>
          <cell r="P214">
            <v>159</v>
          </cell>
          <cell r="Q214">
            <v>0</v>
          </cell>
          <cell r="S214">
            <v>0</v>
          </cell>
          <cell r="T214">
            <v>252.161</v>
          </cell>
          <cell r="V214">
            <v>0</v>
          </cell>
          <cell r="W214" t="e">
            <v>#N/A</v>
          </cell>
          <cell r="X214" t="e">
            <v>#N/A</v>
          </cell>
          <cell r="Y214" t="e">
            <v>#N/A</v>
          </cell>
          <cell r="Z214" t="e">
            <v>#N/A</v>
          </cell>
          <cell r="AA214" t="e">
            <v>#N/A</v>
          </cell>
          <cell r="AD214">
            <v>0</v>
          </cell>
        </row>
        <row r="215">
          <cell r="A215">
            <v>46406</v>
          </cell>
          <cell r="B215" t="e">
            <v>#N/A</v>
          </cell>
          <cell r="C215"/>
          <cell r="D215" t="e">
            <v>#N/A</v>
          </cell>
          <cell r="F215">
            <v>0</v>
          </cell>
          <cell r="G215" t="e">
            <v>#N/A</v>
          </cell>
          <cell r="H215">
            <v>0</v>
          </cell>
          <cell r="I215" t="e">
            <v>#N/A</v>
          </cell>
          <cell r="J215">
            <v>18</v>
          </cell>
          <cell r="K215" t="str">
            <v>XFILL_PMG100%</v>
          </cell>
          <cell r="L215">
            <v>10</v>
          </cell>
          <cell r="M215" t="str">
            <v>TA+CCL100%</v>
          </cell>
          <cell r="N215" t="e">
            <v>#N/A</v>
          </cell>
          <cell r="O215" t="e">
            <v>#N/A</v>
          </cell>
          <cell r="P215">
            <v>159</v>
          </cell>
          <cell r="Q215">
            <v>0</v>
          </cell>
          <cell r="S215">
            <v>0</v>
          </cell>
          <cell r="T215">
            <v>252.161</v>
          </cell>
          <cell r="V215">
            <v>0</v>
          </cell>
          <cell r="W215" t="e">
            <v>#N/A</v>
          </cell>
          <cell r="X215" t="e">
            <v>#N/A</v>
          </cell>
          <cell r="Y215" t="e">
            <v>#N/A</v>
          </cell>
          <cell r="Z215" t="e">
            <v>#N/A</v>
          </cell>
          <cell r="AA215" t="e">
            <v>#N/A</v>
          </cell>
          <cell r="AD215">
            <v>0</v>
          </cell>
        </row>
        <row r="216">
          <cell r="A216">
            <v>46407</v>
          </cell>
          <cell r="B216" t="e">
            <v>#N/A</v>
          </cell>
          <cell r="C216"/>
          <cell r="D216" t="e">
            <v>#N/A</v>
          </cell>
          <cell r="F216">
            <v>0</v>
          </cell>
          <cell r="G216" t="e">
            <v>#N/A</v>
          </cell>
          <cell r="H216">
            <v>0</v>
          </cell>
          <cell r="I216" t="e">
            <v>#N/A</v>
          </cell>
          <cell r="J216">
            <v>18</v>
          </cell>
          <cell r="K216" t="str">
            <v>XFILL_PMG100%</v>
          </cell>
          <cell r="L216">
            <v>10</v>
          </cell>
          <cell r="M216" t="str">
            <v>TA+CCL100%</v>
          </cell>
          <cell r="N216" t="e">
            <v>#N/A</v>
          </cell>
          <cell r="O216" t="e">
            <v>#N/A</v>
          </cell>
          <cell r="P216">
            <v>159</v>
          </cell>
          <cell r="Q216">
            <v>0</v>
          </cell>
          <cell r="S216">
            <v>0</v>
          </cell>
          <cell r="T216">
            <v>252.161</v>
          </cell>
          <cell r="V216">
            <v>0</v>
          </cell>
          <cell r="W216" t="e">
            <v>#N/A</v>
          </cell>
          <cell r="X216" t="e">
            <v>#N/A</v>
          </cell>
          <cell r="Y216" t="e">
            <v>#N/A</v>
          </cell>
          <cell r="Z216" t="e">
            <v>#N/A</v>
          </cell>
          <cell r="AA216" t="e">
            <v>#N/A</v>
          </cell>
          <cell r="AD216">
            <v>0</v>
          </cell>
        </row>
        <row r="217">
          <cell r="A217">
            <v>46408</v>
          </cell>
          <cell r="B217" t="e">
            <v>#N/A</v>
          </cell>
          <cell r="C217"/>
          <cell r="D217" t="e">
            <v>#N/A</v>
          </cell>
          <cell r="F217">
            <v>0</v>
          </cell>
          <cell r="G217" t="e">
            <v>#N/A</v>
          </cell>
          <cell r="H217">
            <v>0</v>
          </cell>
          <cell r="I217" t="e">
            <v>#N/A</v>
          </cell>
          <cell r="J217">
            <v>18</v>
          </cell>
          <cell r="K217" t="str">
            <v>XFILL_PMG100%</v>
          </cell>
          <cell r="L217">
            <v>10</v>
          </cell>
          <cell r="M217" t="str">
            <v>TA+CCL100%</v>
          </cell>
          <cell r="N217" t="e">
            <v>#N/A</v>
          </cell>
          <cell r="O217" t="e">
            <v>#N/A</v>
          </cell>
          <cell r="P217">
            <v>159</v>
          </cell>
          <cell r="Q217">
            <v>0</v>
          </cell>
          <cell r="S217">
            <v>0</v>
          </cell>
          <cell r="T217">
            <v>252.161</v>
          </cell>
          <cell r="V217">
            <v>0</v>
          </cell>
          <cell r="W217" t="e">
            <v>#N/A</v>
          </cell>
          <cell r="X217" t="e">
            <v>#N/A</v>
          </cell>
          <cell r="Y217" t="e">
            <v>#N/A</v>
          </cell>
          <cell r="Z217" t="e">
            <v>#N/A</v>
          </cell>
          <cell r="AA217" t="e">
            <v>#N/A</v>
          </cell>
          <cell r="AD217">
            <v>0</v>
          </cell>
        </row>
        <row r="218">
          <cell r="A218">
            <v>46409</v>
          </cell>
          <cell r="B218" t="e">
            <v>#N/A</v>
          </cell>
          <cell r="C218"/>
          <cell r="D218" t="e">
            <v>#N/A</v>
          </cell>
          <cell r="F218">
            <v>0</v>
          </cell>
          <cell r="G218" t="e">
            <v>#N/A</v>
          </cell>
          <cell r="H218">
            <v>0</v>
          </cell>
          <cell r="I218" t="e">
            <v>#N/A</v>
          </cell>
          <cell r="J218">
            <v>18</v>
          </cell>
          <cell r="K218" t="str">
            <v>XFILL_PMG100%</v>
          </cell>
          <cell r="L218">
            <v>10</v>
          </cell>
          <cell r="M218" t="str">
            <v>TA+CCL100%</v>
          </cell>
          <cell r="N218" t="e">
            <v>#N/A</v>
          </cell>
          <cell r="O218" t="e">
            <v>#N/A</v>
          </cell>
          <cell r="P218">
            <v>159</v>
          </cell>
          <cell r="Q218">
            <v>0</v>
          </cell>
          <cell r="S218">
            <v>0</v>
          </cell>
          <cell r="T218">
            <v>252.161</v>
          </cell>
          <cell r="V218">
            <v>0</v>
          </cell>
          <cell r="W218" t="e">
            <v>#N/A</v>
          </cell>
          <cell r="X218" t="e">
            <v>#N/A</v>
          </cell>
          <cell r="Y218" t="e">
            <v>#N/A</v>
          </cell>
          <cell r="Z218" t="e">
            <v>#N/A</v>
          </cell>
          <cell r="AA218" t="e">
            <v>#N/A</v>
          </cell>
          <cell r="AD218">
            <v>0</v>
          </cell>
        </row>
        <row r="219">
          <cell r="A219">
            <v>46410</v>
          </cell>
          <cell r="B219" t="e">
            <v>#N/A</v>
          </cell>
          <cell r="C219"/>
          <cell r="D219" t="e">
            <v>#N/A</v>
          </cell>
          <cell r="F219">
            <v>0</v>
          </cell>
          <cell r="G219" t="e">
            <v>#N/A</v>
          </cell>
          <cell r="H219">
            <v>0</v>
          </cell>
          <cell r="I219" t="e">
            <v>#N/A</v>
          </cell>
          <cell r="J219">
            <v>18</v>
          </cell>
          <cell r="K219" t="str">
            <v>XFILL_PMG100%</v>
          </cell>
          <cell r="L219">
            <v>10</v>
          </cell>
          <cell r="M219" t="str">
            <v>TA+CCL100%</v>
          </cell>
          <cell r="N219" t="e">
            <v>#N/A</v>
          </cell>
          <cell r="O219" t="e">
            <v>#N/A</v>
          </cell>
          <cell r="P219">
            <v>159</v>
          </cell>
          <cell r="Q219">
            <v>0</v>
          </cell>
          <cell r="S219">
            <v>0</v>
          </cell>
          <cell r="T219">
            <v>252.161</v>
          </cell>
          <cell r="V219">
            <v>0</v>
          </cell>
          <cell r="W219" t="e">
            <v>#N/A</v>
          </cell>
          <cell r="X219" t="e">
            <v>#N/A</v>
          </cell>
          <cell r="Y219" t="e">
            <v>#N/A</v>
          </cell>
          <cell r="Z219" t="e">
            <v>#N/A</v>
          </cell>
          <cell r="AA219" t="e">
            <v>#N/A</v>
          </cell>
          <cell r="AD219">
            <v>0</v>
          </cell>
        </row>
        <row r="220">
          <cell r="A220">
            <v>46411</v>
          </cell>
          <cell r="B220" t="e">
            <v>#N/A</v>
          </cell>
          <cell r="C220"/>
          <cell r="D220" t="e">
            <v>#N/A</v>
          </cell>
          <cell r="F220">
            <v>0</v>
          </cell>
          <cell r="G220" t="e">
            <v>#N/A</v>
          </cell>
          <cell r="H220">
            <v>0</v>
          </cell>
          <cell r="I220" t="e">
            <v>#N/A</v>
          </cell>
          <cell r="J220">
            <v>18</v>
          </cell>
          <cell r="K220" t="str">
            <v>XFILL_PMG100%</v>
          </cell>
          <cell r="L220">
            <v>10</v>
          </cell>
          <cell r="M220" t="str">
            <v>TA+CCL100%</v>
          </cell>
          <cell r="N220" t="e">
            <v>#N/A</v>
          </cell>
          <cell r="O220" t="e">
            <v>#N/A</v>
          </cell>
          <cell r="P220">
            <v>159</v>
          </cell>
          <cell r="Q220">
            <v>0</v>
          </cell>
          <cell r="S220">
            <v>0</v>
          </cell>
          <cell r="T220">
            <v>252.161</v>
          </cell>
          <cell r="V220">
            <v>0</v>
          </cell>
          <cell r="W220" t="e">
            <v>#N/A</v>
          </cell>
          <cell r="X220" t="e">
            <v>#N/A</v>
          </cell>
          <cell r="Y220" t="e">
            <v>#N/A</v>
          </cell>
          <cell r="Z220" t="e">
            <v>#N/A</v>
          </cell>
          <cell r="AA220" t="e">
            <v>#N/A</v>
          </cell>
          <cell r="AD220">
            <v>0</v>
          </cell>
        </row>
        <row r="221">
          <cell r="A221">
            <v>46412</v>
          </cell>
          <cell r="B221" t="e">
            <v>#N/A</v>
          </cell>
          <cell r="C221"/>
          <cell r="D221" t="e">
            <v>#N/A</v>
          </cell>
          <cell r="F221">
            <v>0</v>
          </cell>
          <cell r="G221" t="e">
            <v>#N/A</v>
          </cell>
          <cell r="H221">
            <v>0</v>
          </cell>
          <cell r="I221" t="e">
            <v>#N/A</v>
          </cell>
          <cell r="J221">
            <v>18</v>
          </cell>
          <cell r="K221" t="str">
            <v>XFILL_PMG100%</v>
          </cell>
          <cell r="L221">
            <v>10</v>
          </cell>
          <cell r="M221" t="str">
            <v>TA+CCL100%</v>
          </cell>
          <cell r="N221" t="e">
            <v>#N/A</v>
          </cell>
          <cell r="O221" t="e">
            <v>#N/A</v>
          </cell>
          <cell r="P221">
            <v>159</v>
          </cell>
          <cell r="Q221">
            <v>0</v>
          </cell>
          <cell r="S221">
            <v>0</v>
          </cell>
          <cell r="T221">
            <v>252.161</v>
          </cell>
          <cell r="V221">
            <v>0</v>
          </cell>
          <cell r="W221" t="e">
            <v>#N/A</v>
          </cell>
          <cell r="X221" t="e">
            <v>#N/A</v>
          </cell>
          <cell r="Y221" t="e">
            <v>#N/A</v>
          </cell>
          <cell r="Z221" t="e">
            <v>#N/A</v>
          </cell>
          <cell r="AA221" t="e">
            <v>#N/A</v>
          </cell>
          <cell r="AD221">
            <v>0</v>
          </cell>
        </row>
        <row r="222">
          <cell r="A222">
            <v>46413</v>
          </cell>
          <cell r="B222" t="e">
            <v>#N/A</v>
          </cell>
          <cell r="C222"/>
          <cell r="D222" t="e">
            <v>#N/A</v>
          </cell>
          <cell r="F222">
            <v>0</v>
          </cell>
          <cell r="G222" t="e">
            <v>#N/A</v>
          </cell>
          <cell r="H222">
            <v>0</v>
          </cell>
          <cell r="I222" t="e">
            <v>#N/A</v>
          </cell>
          <cell r="J222">
            <v>18</v>
          </cell>
          <cell r="K222" t="str">
            <v>XFILL_PMG100%</v>
          </cell>
          <cell r="L222">
            <v>10</v>
          </cell>
          <cell r="M222" t="str">
            <v>TA+CCL100%</v>
          </cell>
          <cell r="N222" t="e">
            <v>#N/A</v>
          </cell>
          <cell r="O222" t="e">
            <v>#N/A</v>
          </cell>
          <cell r="P222">
            <v>159</v>
          </cell>
          <cell r="Q222">
            <v>0</v>
          </cell>
          <cell r="S222">
            <v>0</v>
          </cell>
          <cell r="T222">
            <v>252.161</v>
          </cell>
          <cell r="V222">
            <v>0</v>
          </cell>
          <cell r="W222" t="e">
            <v>#N/A</v>
          </cell>
          <cell r="X222" t="e">
            <v>#N/A</v>
          </cell>
          <cell r="Y222" t="e">
            <v>#N/A</v>
          </cell>
          <cell r="Z222" t="e">
            <v>#N/A</v>
          </cell>
          <cell r="AA222" t="e">
            <v>#N/A</v>
          </cell>
          <cell r="AD222">
            <v>0</v>
          </cell>
        </row>
        <row r="223">
          <cell r="A223">
            <v>46414</v>
          </cell>
          <cell r="B223" t="e">
            <v>#N/A</v>
          </cell>
          <cell r="C223"/>
          <cell r="D223" t="e">
            <v>#N/A</v>
          </cell>
          <cell r="F223">
            <v>0</v>
          </cell>
          <cell r="G223" t="e">
            <v>#N/A</v>
          </cell>
          <cell r="H223">
            <v>0</v>
          </cell>
          <cell r="I223" t="e">
            <v>#N/A</v>
          </cell>
          <cell r="J223">
            <v>18</v>
          </cell>
          <cell r="K223" t="str">
            <v>XFILL_PMG100%</v>
          </cell>
          <cell r="L223">
            <v>10</v>
          </cell>
          <cell r="M223" t="str">
            <v>TA+CCL100%</v>
          </cell>
          <cell r="N223" t="e">
            <v>#N/A</v>
          </cell>
          <cell r="O223" t="e">
            <v>#N/A</v>
          </cell>
          <cell r="P223">
            <v>159</v>
          </cell>
          <cell r="Q223">
            <v>0</v>
          </cell>
          <cell r="S223">
            <v>0</v>
          </cell>
          <cell r="T223">
            <v>252.161</v>
          </cell>
          <cell r="V223">
            <v>0</v>
          </cell>
          <cell r="W223" t="e">
            <v>#N/A</v>
          </cell>
          <cell r="X223" t="e">
            <v>#N/A</v>
          </cell>
          <cell r="Y223" t="e">
            <v>#N/A</v>
          </cell>
          <cell r="Z223" t="e">
            <v>#N/A</v>
          </cell>
          <cell r="AA223" t="e">
            <v>#N/A</v>
          </cell>
          <cell r="AD223">
            <v>0</v>
          </cell>
        </row>
        <row r="224">
          <cell r="A224">
            <v>46415</v>
          </cell>
          <cell r="B224" t="e">
            <v>#N/A</v>
          </cell>
          <cell r="C224"/>
          <cell r="D224" t="e">
            <v>#N/A</v>
          </cell>
          <cell r="F224">
            <v>0</v>
          </cell>
          <cell r="G224" t="e">
            <v>#N/A</v>
          </cell>
          <cell r="H224">
            <v>0</v>
          </cell>
          <cell r="I224" t="e">
            <v>#N/A</v>
          </cell>
          <cell r="J224">
            <v>18</v>
          </cell>
          <cell r="K224" t="str">
            <v>XFILL_PMG100%</v>
          </cell>
          <cell r="L224">
            <v>10</v>
          </cell>
          <cell r="M224" t="str">
            <v>TA+CCL100%</v>
          </cell>
          <cell r="N224" t="e">
            <v>#N/A</v>
          </cell>
          <cell r="O224" t="e">
            <v>#N/A</v>
          </cell>
          <cell r="P224">
            <v>159</v>
          </cell>
          <cell r="Q224">
            <v>0</v>
          </cell>
          <cell r="S224">
            <v>0</v>
          </cell>
          <cell r="T224">
            <v>252.161</v>
          </cell>
          <cell r="V224">
            <v>0</v>
          </cell>
          <cell r="W224" t="e">
            <v>#N/A</v>
          </cell>
          <cell r="X224" t="e">
            <v>#N/A</v>
          </cell>
          <cell r="Y224" t="e">
            <v>#N/A</v>
          </cell>
          <cell r="Z224" t="e">
            <v>#N/A</v>
          </cell>
          <cell r="AA224" t="e">
            <v>#N/A</v>
          </cell>
          <cell r="AD224">
            <v>0</v>
          </cell>
        </row>
        <row r="225">
          <cell r="A225">
            <v>46416</v>
          </cell>
          <cell r="B225" t="e">
            <v>#N/A</v>
          </cell>
          <cell r="C225"/>
          <cell r="D225" t="e">
            <v>#N/A</v>
          </cell>
          <cell r="F225">
            <v>0</v>
          </cell>
          <cell r="G225" t="e">
            <v>#N/A</v>
          </cell>
          <cell r="H225">
            <v>0</v>
          </cell>
          <cell r="I225" t="e">
            <v>#N/A</v>
          </cell>
          <cell r="J225">
            <v>18</v>
          </cell>
          <cell r="K225" t="str">
            <v>XFILL_PMG100%</v>
          </cell>
          <cell r="L225">
            <v>10</v>
          </cell>
          <cell r="M225" t="str">
            <v>TA+CCL100%</v>
          </cell>
          <cell r="N225" t="e">
            <v>#N/A</v>
          </cell>
          <cell r="O225" t="e">
            <v>#N/A</v>
          </cell>
          <cell r="P225">
            <v>159</v>
          </cell>
          <cell r="Q225">
            <v>0</v>
          </cell>
          <cell r="S225">
            <v>0</v>
          </cell>
          <cell r="T225">
            <v>252.161</v>
          </cell>
          <cell r="V225">
            <v>0</v>
          </cell>
          <cell r="W225" t="e">
            <v>#N/A</v>
          </cell>
          <cell r="X225" t="e">
            <v>#N/A</v>
          </cell>
          <cell r="Y225" t="e">
            <v>#N/A</v>
          </cell>
          <cell r="Z225" t="e">
            <v>#N/A</v>
          </cell>
          <cell r="AA225" t="e">
            <v>#N/A</v>
          </cell>
          <cell r="AD225">
            <v>0</v>
          </cell>
        </row>
        <row r="226">
          <cell r="A226">
            <v>46417</v>
          </cell>
          <cell r="B226" t="e">
            <v>#N/A</v>
          </cell>
          <cell r="C226"/>
          <cell r="D226" t="e">
            <v>#N/A</v>
          </cell>
          <cell r="F226">
            <v>0</v>
          </cell>
          <cell r="G226" t="e">
            <v>#N/A</v>
          </cell>
          <cell r="H226">
            <v>0</v>
          </cell>
          <cell r="I226" t="e">
            <v>#N/A</v>
          </cell>
          <cell r="J226">
            <v>18</v>
          </cell>
          <cell r="K226" t="str">
            <v>XFILL_PMG100%</v>
          </cell>
          <cell r="L226">
            <v>10</v>
          </cell>
          <cell r="M226" t="str">
            <v>TA+CCL100%</v>
          </cell>
          <cell r="N226" t="e">
            <v>#N/A</v>
          </cell>
          <cell r="O226" t="e">
            <v>#N/A</v>
          </cell>
          <cell r="P226">
            <v>159</v>
          </cell>
          <cell r="Q226">
            <v>0</v>
          </cell>
          <cell r="S226">
            <v>0</v>
          </cell>
          <cell r="T226">
            <v>252.161</v>
          </cell>
          <cell r="V226">
            <v>0</v>
          </cell>
          <cell r="W226" t="e">
            <v>#N/A</v>
          </cell>
          <cell r="X226" t="e">
            <v>#N/A</v>
          </cell>
          <cell r="Y226" t="e">
            <v>#N/A</v>
          </cell>
          <cell r="Z226" t="e">
            <v>#N/A</v>
          </cell>
          <cell r="AA226" t="e">
            <v>#N/A</v>
          </cell>
          <cell r="AD226">
            <v>0</v>
          </cell>
        </row>
        <row r="227">
          <cell r="A227">
            <v>46418</v>
          </cell>
          <cell r="B227" t="e">
            <v>#N/A</v>
          </cell>
          <cell r="C227"/>
          <cell r="D227" t="e">
            <v>#N/A</v>
          </cell>
          <cell r="F227">
            <v>0</v>
          </cell>
          <cell r="G227" t="e">
            <v>#N/A</v>
          </cell>
          <cell r="H227">
            <v>0</v>
          </cell>
          <cell r="I227" t="e">
            <v>#N/A</v>
          </cell>
          <cell r="J227">
            <v>18</v>
          </cell>
          <cell r="K227" t="str">
            <v>XFILL_PMG100%</v>
          </cell>
          <cell r="L227">
            <v>10</v>
          </cell>
          <cell r="M227" t="str">
            <v>TA+CCL100%</v>
          </cell>
          <cell r="N227" t="e">
            <v>#N/A</v>
          </cell>
          <cell r="O227" t="e">
            <v>#N/A</v>
          </cell>
          <cell r="P227">
            <v>159</v>
          </cell>
          <cell r="Q227">
            <v>0</v>
          </cell>
          <cell r="S227">
            <v>0</v>
          </cell>
          <cell r="T227">
            <v>252.161</v>
          </cell>
          <cell r="V227">
            <v>0</v>
          </cell>
          <cell r="W227" t="e">
            <v>#N/A</v>
          </cell>
          <cell r="X227" t="e">
            <v>#N/A</v>
          </cell>
          <cell r="Y227" t="e">
            <v>#N/A</v>
          </cell>
          <cell r="Z227" t="e">
            <v>#N/A</v>
          </cell>
          <cell r="AA227" t="e">
            <v>#N/A</v>
          </cell>
          <cell r="AD227">
            <v>0</v>
          </cell>
        </row>
        <row r="228">
          <cell r="A228">
            <v>46419</v>
          </cell>
          <cell r="B228" t="e">
            <v>#N/A</v>
          </cell>
          <cell r="C228"/>
          <cell r="D228" t="e">
            <v>#N/A</v>
          </cell>
          <cell r="F228">
            <v>0</v>
          </cell>
          <cell r="G228" t="e">
            <v>#N/A</v>
          </cell>
          <cell r="H228">
            <v>0</v>
          </cell>
          <cell r="I228" t="e">
            <v>#N/A</v>
          </cell>
          <cell r="J228">
            <v>18</v>
          </cell>
          <cell r="K228" t="str">
            <v>XFILL_PMG100%</v>
          </cell>
          <cell r="L228">
            <v>10</v>
          </cell>
          <cell r="M228" t="str">
            <v>TA+CCL100%</v>
          </cell>
          <cell r="N228" t="e">
            <v>#N/A</v>
          </cell>
          <cell r="O228" t="e">
            <v>#N/A</v>
          </cell>
          <cell r="P228">
            <v>159</v>
          </cell>
          <cell r="Q228">
            <v>0</v>
          </cell>
          <cell r="S228">
            <v>0</v>
          </cell>
          <cell r="T228">
            <v>252.161</v>
          </cell>
          <cell r="V228">
            <v>0</v>
          </cell>
          <cell r="W228" t="e">
            <v>#N/A</v>
          </cell>
          <cell r="X228" t="e">
            <v>#N/A</v>
          </cell>
          <cell r="Y228" t="e">
            <v>#N/A</v>
          </cell>
          <cell r="Z228" t="e">
            <v>#N/A</v>
          </cell>
          <cell r="AA228" t="e">
            <v>#N/A</v>
          </cell>
          <cell r="AD228">
            <v>0</v>
          </cell>
        </row>
        <row r="229">
          <cell r="A229">
            <v>46420</v>
          </cell>
          <cell r="B229" t="e">
            <v>#N/A</v>
          </cell>
          <cell r="C229"/>
          <cell r="D229" t="e">
            <v>#N/A</v>
          </cell>
          <cell r="F229">
            <v>0</v>
          </cell>
          <cell r="G229" t="e">
            <v>#N/A</v>
          </cell>
          <cell r="H229">
            <v>0</v>
          </cell>
          <cell r="I229" t="e">
            <v>#N/A</v>
          </cell>
          <cell r="J229">
            <v>18</v>
          </cell>
          <cell r="K229" t="str">
            <v>XFILL_PMG100%</v>
          </cell>
          <cell r="L229">
            <v>10</v>
          </cell>
          <cell r="M229" t="str">
            <v>TA+CCL100%</v>
          </cell>
          <cell r="N229" t="e">
            <v>#N/A</v>
          </cell>
          <cell r="O229" t="e">
            <v>#N/A</v>
          </cell>
          <cell r="P229">
            <v>159</v>
          </cell>
          <cell r="Q229">
            <v>0</v>
          </cell>
          <cell r="S229">
            <v>0</v>
          </cell>
          <cell r="T229">
            <v>252.161</v>
          </cell>
          <cell r="V229">
            <v>0</v>
          </cell>
          <cell r="W229" t="e">
            <v>#N/A</v>
          </cell>
          <cell r="X229" t="e">
            <v>#N/A</v>
          </cell>
          <cell r="Y229" t="e">
            <v>#N/A</v>
          </cell>
          <cell r="Z229" t="e">
            <v>#N/A</v>
          </cell>
          <cell r="AA229" t="e">
            <v>#N/A</v>
          </cell>
          <cell r="AD229">
            <v>0</v>
          </cell>
        </row>
        <row r="230">
          <cell r="A230">
            <v>46421</v>
          </cell>
          <cell r="B230" t="e">
            <v>#N/A</v>
          </cell>
          <cell r="C230"/>
          <cell r="D230" t="e">
            <v>#N/A</v>
          </cell>
          <cell r="F230">
            <v>0</v>
          </cell>
          <cell r="G230" t="e">
            <v>#N/A</v>
          </cell>
          <cell r="H230">
            <v>0</v>
          </cell>
          <cell r="I230" t="e">
            <v>#N/A</v>
          </cell>
          <cell r="J230">
            <v>18</v>
          </cell>
          <cell r="K230" t="str">
            <v>XFILL_PMG100%</v>
          </cell>
          <cell r="L230">
            <v>10</v>
          </cell>
          <cell r="M230" t="str">
            <v>TA+CCL100%</v>
          </cell>
          <cell r="N230" t="e">
            <v>#N/A</v>
          </cell>
          <cell r="O230" t="e">
            <v>#N/A</v>
          </cell>
          <cell r="P230">
            <v>159</v>
          </cell>
          <cell r="Q230">
            <v>0</v>
          </cell>
          <cell r="S230">
            <v>0</v>
          </cell>
          <cell r="T230">
            <v>252.161</v>
          </cell>
          <cell r="V230">
            <v>0</v>
          </cell>
          <cell r="W230" t="e">
            <v>#N/A</v>
          </cell>
          <cell r="X230" t="e">
            <v>#N/A</v>
          </cell>
          <cell r="Y230" t="e">
            <v>#N/A</v>
          </cell>
          <cell r="Z230" t="e">
            <v>#N/A</v>
          </cell>
          <cell r="AA230" t="e">
            <v>#N/A</v>
          </cell>
          <cell r="AD230">
            <v>0</v>
          </cell>
        </row>
        <row r="231">
          <cell r="A231">
            <v>46422</v>
          </cell>
          <cell r="B231" t="e">
            <v>#N/A</v>
          </cell>
          <cell r="C231"/>
          <cell r="D231" t="e">
            <v>#N/A</v>
          </cell>
          <cell r="F231">
            <v>0</v>
          </cell>
          <cell r="G231" t="e">
            <v>#N/A</v>
          </cell>
          <cell r="H231">
            <v>0</v>
          </cell>
          <cell r="I231" t="e">
            <v>#N/A</v>
          </cell>
          <cell r="J231">
            <v>18</v>
          </cell>
          <cell r="K231" t="str">
            <v>XFILL_PMG100%</v>
          </cell>
          <cell r="L231">
            <v>10</v>
          </cell>
          <cell r="M231" t="str">
            <v>TA+CCL100%</v>
          </cell>
          <cell r="N231" t="e">
            <v>#N/A</v>
          </cell>
          <cell r="O231" t="e">
            <v>#N/A</v>
          </cell>
          <cell r="P231">
            <v>159</v>
          </cell>
          <cell r="Q231">
            <v>0</v>
          </cell>
          <cell r="S231">
            <v>0</v>
          </cell>
          <cell r="T231">
            <v>252.161</v>
          </cell>
          <cell r="V231">
            <v>0</v>
          </cell>
          <cell r="W231" t="e">
            <v>#N/A</v>
          </cell>
          <cell r="X231" t="e">
            <v>#N/A</v>
          </cell>
          <cell r="Y231" t="e">
            <v>#N/A</v>
          </cell>
          <cell r="Z231" t="e">
            <v>#N/A</v>
          </cell>
          <cell r="AA231" t="e">
            <v>#N/A</v>
          </cell>
          <cell r="AD231">
            <v>0</v>
          </cell>
        </row>
        <row r="232">
          <cell r="A232">
            <v>46423</v>
          </cell>
          <cell r="B232" t="e">
            <v>#N/A</v>
          </cell>
          <cell r="C232"/>
          <cell r="D232" t="e">
            <v>#N/A</v>
          </cell>
          <cell r="F232">
            <v>0</v>
          </cell>
          <cell r="G232" t="e">
            <v>#N/A</v>
          </cell>
          <cell r="H232">
            <v>0</v>
          </cell>
          <cell r="I232" t="e">
            <v>#N/A</v>
          </cell>
          <cell r="J232">
            <v>18</v>
          </cell>
          <cell r="K232" t="str">
            <v>XFILL_PMG100%</v>
          </cell>
          <cell r="L232">
            <v>10</v>
          </cell>
          <cell r="M232" t="str">
            <v>TA+CCL100%</v>
          </cell>
          <cell r="N232" t="e">
            <v>#N/A</v>
          </cell>
          <cell r="O232" t="e">
            <v>#N/A</v>
          </cell>
          <cell r="P232">
            <v>159</v>
          </cell>
          <cell r="Q232">
            <v>0</v>
          </cell>
          <cell r="S232">
            <v>0</v>
          </cell>
          <cell r="T232">
            <v>252.161</v>
          </cell>
          <cell r="V232">
            <v>0</v>
          </cell>
          <cell r="W232" t="e">
            <v>#N/A</v>
          </cell>
          <cell r="X232" t="e">
            <v>#N/A</v>
          </cell>
          <cell r="Y232" t="e">
            <v>#N/A</v>
          </cell>
          <cell r="Z232" t="e">
            <v>#N/A</v>
          </cell>
          <cell r="AA232" t="e">
            <v>#N/A</v>
          </cell>
          <cell r="AD232">
            <v>0</v>
          </cell>
        </row>
        <row r="233">
          <cell r="A233">
            <v>46424</v>
          </cell>
          <cell r="B233" t="e">
            <v>#N/A</v>
          </cell>
          <cell r="C233"/>
          <cell r="D233" t="e">
            <v>#N/A</v>
          </cell>
          <cell r="F233">
            <v>0</v>
          </cell>
          <cell r="G233" t="e">
            <v>#N/A</v>
          </cell>
          <cell r="H233">
            <v>0</v>
          </cell>
          <cell r="I233" t="e">
            <v>#N/A</v>
          </cell>
          <cell r="J233">
            <v>18</v>
          </cell>
          <cell r="K233" t="str">
            <v>XFILL_PMG100%</v>
          </cell>
          <cell r="L233">
            <v>10</v>
          </cell>
          <cell r="M233" t="str">
            <v>TA+CCL100%</v>
          </cell>
          <cell r="N233" t="e">
            <v>#N/A</v>
          </cell>
          <cell r="O233" t="e">
            <v>#N/A</v>
          </cell>
          <cell r="P233">
            <v>159</v>
          </cell>
          <cell r="Q233">
            <v>0</v>
          </cell>
          <cell r="S233">
            <v>0</v>
          </cell>
          <cell r="T233">
            <v>252.161</v>
          </cell>
          <cell r="V233">
            <v>0</v>
          </cell>
          <cell r="W233" t="e">
            <v>#N/A</v>
          </cell>
          <cell r="X233" t="e">
            <v>#N/A</v>
          </cell>
          <cell r="Y233" t="e">
            <v>#N/A</v>
          </cell>
          <cell r="Z233" t="e">
            <v>#N/A</v>
          </cell>
          <cell r="AA233" t="e">
            <v>#N/A</v>
          </cell>
          <cell r="AD233">
            <v>0</v>
          </cell>
        </row>
        <row r="234">
          <cell r="A234">
            <v>46425</v>
          </cell>
          <cell r="B234" t="e">
            <v>#N/A</v>
          </cell>
          <cell r="C234"/>
          <cell r="D234" t="e">
            <v>#N/A</v>
          </cell>
          <cell r="F234">
            <v>0</v>
          </cell>
          <cell r="G234" t="e">
            <v>#N/A</v>
          </cell>
          <cell r="H234">
            <v>0</v>
          </cell>
          <cell r="I234" t="e">
            <v>#N/A</v>
          </cell>
          <cell r="J234">
            <v>18</v>
          </cell>
          <cell r="K234" t="str">
            <v>XFILL_PMG100%</v>
          </cell>
          <cell r="L234">
            <v>10</v>
          </cell>
          <cell r="M234" t="str">
            <v>TA+CCL100%</v>
          </cell>
          <cell r="N234" t="e">
            <v>#N/A</v>
          </cell>
          <cell r="O234" t="e">
            <v>#N/A</v>
          </cell>
          <cell r="P234">
            <v>159</v>
          </cell>
          <cell r="Q234">
            <v>0</v>
          </cell>
          <cell r="S234">
            <v>0</v>
          </cell>
          <cell r="T234">
            <v>252.161</v>
          </cell>
          <cell r="V234">
            <v>0</v>
          </cell>
          <cell r="W234" t="e">
            <v>#N/A</v>
          </cell>
          <cell r="X234" t="e">
            <v>#N/A</v>
          </cell>
          <cell r="Y234" t="e">
            <v>#N/A</v>
          </cell>
          <cell r="Z234" t="e">
            <v>#N/A</v>
          </cell>
          <cell r="AA234" t="e">
            <v>#N/A</v>
          </cell>
          <cell r="AD234">
            <v>0</v>
          </cell>
        </row>
        <row r="235">
          <cell r="A235">
            <v>46426</v>
          </cell>
          <cell r="B235" t="e">
            <v>#N/A</v>
          </cell>
          <cell r="C235"/>
          <cell r="D235" t="e">
            <v>#N/A</v>
          </cell>
          <cell r="F235">
            <v>0</v>
          </cell>
          <cell r="G235" t="e">
            <v>#N/A</v>
          </cell>
          <cell r="H235">
            <v>0</v>
          </cell>
          <cell r="I235" t="e">
            <v>#N/A</v>
          </cell>
          <cell r="J235">
            <v>18</v>
          </cell>
          <cell r="K235" t="str">
            <v>XFILL_PMG100%</v>
          </cell>
          <cell r="L235">
            <v>10</v>
          </cell>
          <cell r="M235" t="str">
            <v>TA+CCL100%</v>
          </cell>
          <cell r="N235" t="e">
            <v>#N/A</v>
          </cell>
          <cell r="O235" t="e">
            <v>#N/A</v>
          </cell>
          <cell r="P235">
            <v>159</v>
          </cell>
          <cell r="Q235">
            <v>0</v>
          </cell>
          <cell r="S235">
            <v>0</v>
          </cell>
          <cell r="T235">
            <v>252.161</v>
          </cell>
          <cell r="V235">
            <v>0</v>
          </cell>
          <cell r="W235" t="e">
            <v>#N/A</v>
          </cell>
          <cell r="X235" t="e">
            <v>#N/A</v>
          </cell>
          <cell r="Y235" t="e">
            <v>#N/A</v>
          </cell>
          <cell r="Z235" t="e">
            <v>#N/A</v>
          </cell>
          <cell r="AA235" t="e">
            <v>#N/A</v>
          </cell>
          <cell r="AD235">
            <v>0</v>
          </cell>
        </row>
        <row r="236">
          <cell r="A236">
            <v>46427</v>
          </cell>
          <cell r="B236" t="e">
            <v>#N/A</v>
          </cell>
          <cell r="C236"/>
          <cell r="D236" t="e">
            <v>#N/A</v>
          </cell>
          <cell r="F236">
            <v>0</v>
          </cell>
          <cell r="G236" t="e">
            <v>#N/A</v>
          </cell>
          <cell r="H236">
            <v>0</v>
          </cell>
          <cell r="I236" t="e">
            <v>#N/A</v>
          </cell>
          <cell r="J236">
            <v>18</v>
          </cell>
          <cell r="K236" t="str">
            <v>XFILL_PMG100%</v>
          </cell>
          <cell r="L236">
            <v>10</v>
          </cell>
          <cell r="M236" t="str">
            <v>TA+CCL100%</v>
          </cell>
          <cell r="N236" t="e">
            <v>#N/A</v>
          </cell>
          <cell r="O236" t="e">
            <v>#N/A</v>
          </cell>
          <cell r="P236">
            <v>159</v>
          </cell>
          <cell r="Q236">
            <v>0</v>
          </cell>
          <cell r="S236">
            <v>0</v>
          </cell>
          <cell r="T236">
            <v>252.161</v>
          </cell>
          <cell r="V236">
            <v>0</v>
          </cell>
          <cell r="W236" t="e">
            <v>#N/A</v>
          </cell>
          <cell r="X236" t="e">
            <v>#N/A</v>
          </cell>
          <cell r="Y236" t="e">
            <v>#N/A</v>
          </cell>
          <cell r="Z236" t="e">
            <v>#N/A</v>
          </cell>
          <cell r="AA236" t="e">
            <v>#N/A</v>
          </cell>
          <cell r="AD236">
            <v>0</v>
          </cell>
        </row>
        <row r="237">
          <cell r="A237">
            <v>46428</v>
          </cell>
          <cell r="B237" t="e">
            <v>#N/A</v>
          </cell>
          <cell r="C237"/>
          <cell r="D237" t="e">
            <v>#N/A</v>
          </cell>
          <cell r="F237">
            <v>0</v>
          </cell>
          <cell r="G237" t="e">
            <v>#N/A</v>
          </cell>
          <cell r="H237">
            <v>0</v>
          </cell>
          <cell r="I237" t="e">
            <v>#N/A</v>
          </cell>
          <cell r="J237">
            <v>18</v>
          </cell>
          <cell r="K237" t="str">
            <v>XFILL_PMG100%</v>
          </cell>
          <cell r="L237">
            <v>10</v>
          </cell>
          <cell r="M237" t="str">
            <v>TA+CCL100%</v>
          </cell>
          <cell r="N237" t="e">
            <v>#N/A</v>
          </cell>
          <cell r="O237" t="e">
            <v>#N/A</v>
          </cell>
          <cell r="P237">
            <v>159</v>
          </cell>
          <cell r="Q237">
            <v>0</v>
          </cell>
          <cell r="S237">
            <v>0</v>
          </cell>
          <cell r="T237">
            <v>252.161</v>
          </cell>
          <cell r="V237">
            <v>0</v>
          </cell>
          <cell r="W237" t="e">
            <v>#N/A</v>
          </cell>
          <cell r="X237" t="e">
            <v>#N/A</v>
          </cell>
          <cell r="Y237" t="e">
            <v>#N/A</v>
          </cell>
          <cell r="Z237" t="e">
            <v>#N/A</v>
          </cell>
          <cell r="AA237" t="e">
            <v>#N/A</v>
          </cell>
          <cell r="AD237">
            <v>0</v>
          </cell>
        </row>
        <row r="238">
          <cell r="A238">
            <v>46429</v>
          </cell>
          <cell r="B238" t="e">
            <v>#N/A</v>
          </cell>
          <cell r="C238"/>
          <cell r="D238" t="e">
            <v>#N/A</v>
          </cell>
          <cell r="F238">
            <v>0</v>
          </cell>
          <cell r="G238" t="e">
            <v>#N/A</v>
          </cell>
          <cell r="H238">
            <v>0</v>
          </cell>
          <cell r="I238" t="e">
            <v>#N/A</v>
          </cell>
          <cell r="J238">
            <v>18</v>
          </cell>
          <cell r="K238" t="str">
            <v>XFILL_PMG100%</v>
          </cell>
          <cell r="L238">
            <v>10</v>
          </cell>
          <cell r="M238" t="str">
            <v>TA+CCL100%</v>
          </cell>
          <cell r="N238" t="e">
            <v>#N/A</v>
          </cell>
          <cell r="O238" t="e">
            <v>#N/A</v>
          </cell>
          <cell r="P238">
            <v>159</v>
          </cell>
          <cell r="Q238">
            <v>0</v>
          </cell>
          <cell r="S238">
            <v>0</v>
          </cell>
          <cell r="T238">
            <v>252.161</v>
          </cell>
          <cell r="V238">
            <v>0</v>
          </cell>
          <cell r="W238" t="e">
            <v>#N/A</v>
          </cell>
          <cell r="X238" t="e">
            <v>#N/A</v>
          </cell>
          <cell r="Y238" t="e">
            <v>#N/A</v>
          </cell>
          <cell r="Z238" t="e">
            <v>#N/A</v>
          </cell>
          <cell r="AA238" t="e">
            <v>#N/A</v>
          </cell>
          <cell r="AD238">
            <v>0</v>
          </cell>
        </row>
        <row r="239">
          <cell r="A239">
            <v>46430</v>
          </cell>
          <cell r="B239" t="e">
            <v>#N/A</v>
          </cell>
          <cell r="C239"/>
          <cell r="D239" t="e">
            <v>#N/A</v>
          </cell>
          <cell r="F239">
            <v>0</v>
          </cell>
          <cell r="G239" t="e">
            <v>#N/A</v>
          </cell>
          <cell r="H239">
            <v>0</v>
          </cell>
          <cell r="I239" t="e">
            <v>#N/A</v>
          </cell>
          <cell r="J239">
            <v>18</v>
          </cell>
          <cell r="K239" t="str">
            <v>XFILL_PMG100%</v>
          </cell>
          <cell r="L239">
            <v>10</v>
          </cell>
          <cell r="M239" t="str">
            <v>TA+CCL100%</v>
          </cell>
          <cell r="N239" t="e">
            <v>#N/A</v>
          </cell>
          <cell r="O239" t="e">
            <v>#N/A</v>
          </cell>
          <cell r="P239">
            <v>159</v>
          </cell>
          <cell r="Q239">
            <v>0</v>
          </cell>
          <cell r="S239">
            <v>0</v>
          </cell>
          <cell r="T239">
            <v>252.161</v>
          </cell>
          <cell r="V239">
            <v>0</v>
          </cell>
          <cell r="W239" t="e">
            <v>#N/A</v>
          </cell>
          <cell r="X239" t="e">
            <v>#N/A</v>
          </cell>
          <cell r="Y239" t="e">
            <v>#N/A</v>
          </cell>
          <cell r="Z239" t="e">
            <v>#N/A</v>
          </cell>
          <cell r="AA239" t="e">
            <v>#N/A</v>
          </cell>
          <cell r="AD239">
            <v>0</v>
          </cell>
        </row>
        <row r="240">
          <cell r="A240">
            <v>46431</v>
          </cell>
          <cell r="B240" t="e">
            <v>#N/A</v>
          </cell>
          <cell r="C240"/>
          <cell r="D240" t="e">
            <v>#N/A</v>
          </cell>
          <cell r="F240">
            <v>0</v>
          </cell>
          <cell r="G240" t="e">
            <v>#N/A</v>
          </cell>
          <cell r="H240">
            <v>0</v>
          </cell>
          <cell r="I240" t="e">
            <v>#N/A</v>
          </cell>
          <cell r="J240">
            <v>18</v>
          </cell>
          <cell r="K240" t="str">
            <v>XFILL_PMG100%</v>
          </cell>
          <cell r="L240">
            <v>10</v>
          </cell>
          <cell r="M240" t="str">
            <v>TA+CCL100%</v>
          </cell>
          <cell r="N240" t="e">
            <v>#N/A</v>
          </cell>
          <cell r="O240" t="e">
            <v>#N/A</v>
          </cell>
          <cell r="P240">
            <v>159</v>
          </cell>
          <cell r="Q240">
            <v>0</v>
          </cell>
          <cell r="S240">
            <v>0</v>
          </cell>
          <cell r="T240">
            <v>252.161</v>
          </cell>
          <cell r="V240">
            <v>0</v>
          </cell>
          <cell r="W240" t="e">
            <v>#N/A</v>
          </cell>
          <cell r="X240" t="e">
            <v>#N/A</v>
          </cell>
          <cell r="Y240" t="e">
            <v>#N/A</v>
          </cell>
          <cell r="Z240" t="e">
            <v>#N/A</v>
          </cell>
          <cell r="AA240" t="e">
            <v>#N/A</v>
          </cell>
          <cell r="AD240">
            <v>0</v>
          </cell>
        </row>
        <row r="241">
          <cell r="A241">
            <v>46432</v>
          </cell>
          <cell r="B241" t="e">
            <v>#N/A</v>
          </cell>
          <cell r="C241"/>
          <cell r="D241" t="e">
            <v>#N/A</v>
          </cell>
          <cell r="F241">
            <v>0</v>
          </cell>
          <cell r="G241" t="e">
            <v>#N/A</v>
          </cell>
          <cell r="H241">
            <v>0</v>
          </cell>
          <cell r="I241" t="e">
            <v>#N/A</v>
          </cell>
          <cell r="J241">
            <v>18</v>
          </cell>
          <cell r="K241" t="str">
            <v>XFILL_PMG100%</v>
          </cell>
          <cell r="L241">
            <v>10</v>
          </cell>
          <cell r="M241" t="str">
            <v>TA+CCL100%</v>
          </cell>
          <cell r="N241" t="e">
            <v>#N/A</v>
          </cell>
          <cell r="O241" t="e">
            <v>#N/A</v>
          </cell>
          <cell r="P241">
            <v>159</v>
          </cell>
          <cell r="Q241">
            <v>0</v>
          </cell>
          <cell r="S241">
            <v>0</v>
          </cell>
          <cell r="T241">
            <v>252.161</v>
          </cell>
          <cell r="V241">
            <v>0</v>
          </cell>
          <cell r="W241" t="e">
            <v>#N/A</v>
          </cell>
          <cell r="X241" t="e">
            <v>#N/A</v>
          </cell>
          <cell r="Y241" t="e">
            <v>#N/A</v>
          </cell>
          <cell r="Z241" t="e">
            <v>#N/A</v>
          </cell>
          <cell r="AA241" t="e">
            <v>#N/A</v>
          </cell>
          <cell r="AD241">
            <v>0</v>
          </cell>
        </row>
        <row r="242">
          <cell r="A242">
            <v>46433</v>
          </cell>
          <cell r="B242" t="e">
            <v>#N/A</v>
          </cell>
          <cell r="C242"/>
          <cell r="D242" t="e">
            <v>#N/A</v>
          </cell>
          <cell r="F242">
            <v>0</v>
          </cell>
          <cell r="G242" t="e">
            <v>#N/A</v>
          </cell>
          <cell r="H242">
            <v>0</v>
          </cell>
          <cell r="I242" t="e">
            <v>#N/A</v>
          </cell>
          <cell r="J242">
            <v>18</v>
          </cell>
          <cell r="K242" t="str">
            <v>XFILL_PMG100%</v>
          </cell>
          <cell r="L242">
            <v>10</v>
          </cell>
          <cell r="M242" t="str">
            <v>TA+CCL100%</v>
          </cell>
          <cell r="N242" t="e">
            <v>#N/A</v>
          </cell>
          <cell r="O242" t="e">
            <v>#N/A</v>
          </cell>
          <cell r="P242">
            <v>159</v>
          </cell>
          <cell r="Q242">
            <v>0</v>
          </cell>
          <cell r="S242">
            <v>0</v>
          </cell>
          <cell r="T242">
            <v>252.161</v>
          </cell>
          <cell r="V242">
            <v>0</v>
          </cell>
          <cell r="W242" t="e">
            <v>#N/A</v>
          </cell>
          <cell r="X242" t="e">
            <v>#N/A</v>
          </cell>
          <cell r="Y242" t="e">
            <v>#N/A</v>
          </cell>
          <cell r="Z242" t="e">
            <v>#N/A</v>
          </cell>
          <cell r="AA242" t="e">
            <v>#N/A</v>
          </cell>
          <cell r="AD242">
            <v>0</v>
          </cell>
        </row>
        <row r="243">
          <cell r="A243">
            <v>46434</v>
          </cell>
          <cell r="B243" t="e">
            <v>#N/A</v>
          </cell>
          <cell r="C243"/>
          <cell r="D243" t="e">
            <v>#N/A</v>
          </cell>
          <cell r="F243">
            <v>0</v>
          </cell>
          <cell r="G243" t="e">
            <v>#N/A</v>
          </cell>
          <cell r="H243">
            <v>0</v>
          </cell>
          <cell r="I243" t="e">
            <v>#N/A</v>
          </cell>
          <cell r="J243">
            <v>18</v>
          </cell>
          <cell r="K243" t="str">
            <v>XFILL_PMG100%</v>
          </cell>
          <cell r="L243">
            <v>10</v>
          </cell>
          <cell r="M243" t="str">
            <v>TA+CCL100%</v>
          </cell>
          <cell r="N243" t="e">
            <v>#N/A</v>
          </cell>
          <cell r="O243" t="e">
            <v>#N/A</v>
          </cell>
          <cell r="P243">
            <v>159</v>
          </cell>
          <cell r="Q243">
            <v>0</v>
          </cell>
          <cell r="S243">
            <v>0</v>
          </cell>
          <cell r="T243">
            <v>252.161</v>
          </cell>
          <cell r="V243">
            <v>0</v>
          </cell>
          <cell r="W243" t="e">
            <v>#N/A</v>
          </cell>
          <cell r="X243" t="e">
            <v>#N/A</v>
          </cell>
          <cell r="Y243" t="e">
            <v>#N/A</v>
          </cell>
          <cell r="Z243" t="e">
            <v>#N/A</v>
          </cell>
          <cell r="AA243" t="e">
            <v>#N/A</v>
          </cell>
          <cell r="AD243">
            <v>0</v>
          </cell>
        </row>
        <row r="244">
          <cell r="A244">
            <v>46435</v>
          </cell>
          <cell r="B244" t="e">
            <v>#N/A</v>
          </cell>
          <cell r="C244"/>
          <cell r="D244" t="e">
            <v>#N/A</v>
          </cell>
          <cell r="F244">
            <v>0</v>
          </cell>
          <cell r="G244" t="e">
            <v>#N/A</v>
          </cell>
          <cell r="H244">
            <v>0</v>
          </cell>
          <cell r="I244" t="e">
            <v>#N/A</v>
          </cell>
          <cell r="J244">
            <v>18</v>
          </cell>
          <cell r="K244" t="str">
            <v>XFILL_PMG100%</v>
          </cell>
          <cell r="L244">
            <v>10</v>
          </cell>
          <cell r="M244" t="str">
            <v>TA+CCL100%</v>
          </cell>
          <cell r="N244" t="e">
            <v>#N/A</v>
          </cell>
          <cell r="O244" t="e">
            <v>#N/A</v>
          </cell>
          <cell r="P244">
            <v>159</v>
          </cell>
          <cell r="Q244">
            <v>0</v>
          </cell>
          <cell r="S244">
            <v>0</v>
          </cell>
          <cell r="T244">
            <v>252.161</v>
          </cell>
          <cell r="V244">
            <v>0</v>
          </cell>
          <cell r="W244" t="e">
            <v>#N/A</v>
          </cell>
          <cell r="X244" t="e">
            <v>#N/A</v>
          </cell>
          <cell r="Y244" t="e">
            <v>#N/A</v>
          </cell>
          <cell r="Z244" t="e">
            <v>#N/A</v>
          </cell>
          <cell r="AA244" t="e">
            <v>#N/A</v>
          </cell>
          <cell r="AD244">
            <v>0</v>
          </cell>
        </row>
        <row r="245">
          <cell r="A245">
            <v>46436</v>
          </cell>
          <cell r="B245" t="e">
            <v>#N/A</v>
          </cell>
          <cell r="C245"/>
          <cell r="D245" t="e">
            <v>#N/A</v>
          </cell>
          <cell r="F245">
            <v>0</v>
          </cell>
          <cell r="G245" t="e">
            <v>#N/A</v>
          </cell>
          <cell r="H245">
            <v>0</v>
          </cell>
          <cell r="I245" t="e">
            <v>#N/A</v>
          </cell>
          <cell r="J245">
            <v>18</v>
          </cell>
          <cell r="K245" t="str">
            <v>XFILL_PMG100%</v>
          </cell>
          <cell r="L245">
            <v>10</v>
          </cell>
          <cell r="M245" t="str">
            <v>TA+CCL100%</v>
          </cell>
          <cell r="N245" t="e">
            <v>#N/A</v>
          </cell>
          <cell r="O245" t="e">
            <v>#N/A</v>
          </cell>
          <cell r="P245">
            <v>159</v>
          </cell>
          <cell r="Q245">
            <v>0</v>
          </cell>
          <cell r="S245">
            <v>0</v>
          </cell>
          <cell r="T245">
            <v>252.161</v>
          </cell>
          <cell r="V245">
            <v>0</v>
          </cell>
          <cell r="W245" t="e">
            <v>#N/A</v>
          </cell>
          <cell r="X245" t="e">
            <v>#N/A</v>
          </cell>
          <cell r="Y245" t="e">
            <v>#N/A</v>
          </cell>
          <cell r="Z245" t="e">
            <v>#N/A</v>
          </cell>
          <cell r="AA245" t="e">
            <v>#N/A</v>
          </cell>
          <cell r="AD245">
            <v>0</v>
          </cell>
        </row>
        <row r="246">
          <cell r="A246">
            <v>46437</v>
          </cell>
          <cell r="B246" t="e">
            <v>#N/A</v>
          </cell>
          <cell r="C246"/>
          <cell r="D246" t="e">
            <v>#N/A</v>
          </cell>
          <cell r="F246">
            <v>0</v>
          </cell>
          <cell r="G246" t="e">
            <v>#N/A</v>
          </cell>
          <cell r="H246">
            <v>0</v>
          </cell>
          <cell r="I246" t="e">
            <v>#N/A</v>
          </cell>
          <cell r="J246">
            <v>18</v>
          </cell>
          <cell r="K246" t="str">
            <v>XFILL_PMG100%</v>
          </cell>
          <cell r="L246">
            <v>10</v>
          </cell>
          <cell r="M246" t="str">
            <v>TA+CCL100%</v>
          </cell>
          <cell r="N246" t="e">
            <v>#N/A</v>
          </cell>
          <cell r="O246" t="e">
            <v>#N/A</v>
          </cell>
          <cell r="P246">
            <v>159</v>
          </cell>
          <cell r="Q246">
            <v>0</v>
          </cell>
          <cell r="S246">
            <v>0</v>
          </cell>
          <cell r="T246">
            <v>314.041</v>
          </cell>
          <cell r="V246">
            <v>0</v>
          </cell>
          <cell r="W246" t="e">
            <v>#N/A</v>
          </cell>
          <cell r="X246" t="e">
            <v>#N/A</v>
          </cell>
          <cell r="Y246" t="e">
            <v>#N/A</v>
          </cell>
          <cell r="Z246" t="e">
            <v>#N/A</v>
          </cell>
          <cell r="AA246" t="e">
            <v>#N/A</v>
          </cell>
          <cell r="AD246">
            <v>0</v>
          </cell>
        </row>
        <row r="247">
          <cell r="A247">
            <v>46438</v>
          </cell>
          <cell r="B247" t="e">
            <v>#N/A</v>
          </cell>
          <cell r="C247"/>
          <cell r="D247" t="e">
            <v>#N/A</v>
          </cell>
          <cell r="F247">
            <v>0</v>
          </cell>
          <cell r="G247" t="e">
            <v>#N/A</v>
          </cell>
          <cell r="H247">
            <v>0</v>
          </cell>
          <cell r="I247" t="e">
            <v>#N/A</v>
          </cell>
          <cell r="J247">
            <v>18</v>
          </cell>
          <cell r="K247" t="str">
            <v>XFILL_PMG100%</v>
          </cell>
          <cell r="L247">
            <v>10</v>
          </cell>
          <cell r="M247" t="str">
            <v>TA+CCL100%</v>
          </cell>
          <cell r="N247" t="e">
            <v>#N/A</v>
          </cell>
          <cell r="O247" t="e">
            <v>#N/A</v>
          </cell>
          <cell r="P247">
            <v>159</v>
          </cell>
          <cell r="Q247">
            <v>0</v>
          </cell>
          <cell r="S247">
            <v>0</v>
          </cell>
          <cell r="T247">
            <v>314.041</v>
          </cell>
          <cell r="V247">
            <v>0</v>
          </cell>
          <cell r="W247" t="e">
            <v>#N/A</v>
          </cell>
          <cell r="X247" t="e">
            <v>#N/A</v>
          </cell>
          <cell r="Y247" t="e">
            <v>#N/A</v>
          </cell>
          <cell r="Z247" t="e">
            <v>#N/A</v>
          </cell>
          <cell r="AA247" t="e">
            <v>#N/A</v>
          </cell>
          <cell r="AD247">
            <v>0</v>
          </cell>
        </row>
        <row r="248">
          <cell r="A248">
            <v>46439</v>
          </cell>
          <cell r="B248" t="e">
            <v>#N/A</v>
          </cell>
          <cell r="C248"/>
          <cell r="D248" t="e">
            <v>#N/A</v>
          </cell>
          <cell r="F248">
            <v>0</v>
          </cell>
          <cell r="G248" t="e">
            <v>#N/A</v>
          </cell>
          <cell r="H248">
            <v>0</v>
          </cell>
          <cell r="I248" t="e">
            <v>#N/A</v>
          </cell>
          <cell r="J248">
            <v>18</v>
          </cell>
          <cell r="K248" t="str">
            <v>XFILL_PMG100%</v>
          </cell>
          <cell r="L248">
            <v>10</v>
          </cell>
          <cell r="M248" t="str">
            <v>TA+CCL100%</v>
          </cell>
          <cell r="N248" t="e">
            <v>#N/A</v>
          </cell>
          <cell r="O248" t="e">
            <v>#N/A</v>
          </cell>
          <cell r="P248">
            <v>159</v>
          </cell>
          <cell r="Q248">
            <v>0</v>
          </cell>
          <cell r="S248">
            <v>0</v>
          </cell>
          <cell r="T248">
            <v>314.041</v>
          </cell>
          <cell r="V248">
            <v>0</v>
          </cell>
          <cell r="W248" t="e">
            <v>#N/A</v>
          </cell>
          <cell r="X248" t="e">
            <v>#N/A</v>
          </cell>
          <cell r="Y248" t="e">
            <v>#N/A</v>
          </cell>
          <cell r="Z248" t="e">
            <v>#N/A</v>
          </cell>
          <cell r="AA248" t="e">
            <v>#N/A</v>
          </cell>
          <cell r="AD248">
            <v>0</v>
          </cell>
        </row>
        <row r="249">
          <cell r="A249">
            <v>46440</v>
          </cell>
          <cell r="B249" t="e">
            <v>#N/A</v>
          </cell>
          <cell r="C249"/>
          <cell r="D249" t="e">
            <v>#N/A</v>
          </cell>
          <cell r="F249">
            <v>0</v>
          </cell>
          <cell r="G249" t="e">
            <v>#N/A</v>
          </cell>
          <cell r="H249">
            <v>0</v>
          </cell>
          <cell r="I249" t="e">
            <v>#N/A</v>
          </cell>
          <cell r="J249">
            <v>18</v>
          </cell>
          <cell r="K249" t="str">
            <v>XFILL_PMG100%</v>
          </cell>
          <cell r="L249">
            <v>10</v>
          </cell>
          <cell r="M249" t="str">
            <v>TA+CCL100%</v>
          </cell>
          <cell r="N249" t="e">
            <v>#N/A</v>
          </cell>
          <cell r="O249" t="e">
            <v>#N/A</v>
          </cell>
          <cell r="P249">
            <v>159</v>
          </cell>
          <cell r="Q249">
            <v>0</v>
          </cell>
          <cell r="S249">
            <v>0</v>
          </cell>
          <cell r="T249">
            <v>314.041</v>
          </cell>
          <cell r="V249">
            <v>0</v>
          </cell>
          <cell r="W249" t="e">
            <v>#N/A</v>
          </cell>
          <cell r="X249" t="e">
            <v>#N/A</v>
          </cell>
          <cell r="Y249" t="e">
            <v>#N/A</v>
          </cell>
          <cell r="Z249" t="e">
            <v>#N/A</v>
          </cell>
          <cell r="AA249" t="e">
            <v>#N/A</v>
          </cell>
          <cell r="AD249">
            <v>0</v>
          </cell>
        </row>
        <row r="250">
          <cell r="A250">
            <v>46441</v>
          </cell>
          <cell r="B250" t="e">
            <v>#N/A</v>
          </cell>
          <cell r="C250"/>
          <cell r="D250" t="e">
            <v>#N/A</v>
          </cell>
          <cell r="F250">
            <v>0</v>
          </cell>
          <cell r="G250" t="e">
            <v>#N/A</v>
          </cell>
          <cell r="H250">
            <v>0</v>
          </cell>
          <cell r="I250" t="e">
            <v>#N/A</v>
          </cell>
          <cell r="J250">
            <v>18</v>
          </cell>
          <cell r="K250" t="str">
            <v>XFILL_PMG100%</v>
          </cell>
          <cell r="L250">
            <v>10</v>
          </cell>
          <cell r="M250" t="str">
            <v>TA+CCL100%</v>
          </cell>
          <cell r="N250" t="e">
            <v>#N/A</v>
          </cell>
          <cell r="O250" t="e">
            <v>#N/A</v>
          </cell>
          <cell r="P250">
            <v>159</v>
          </cell>
          <cell r="Q250">
            <v>0</v>
          </cell>
          <cell r="S250">
            <v>0</v>
          </cell>
          <cell r="T250">
            <v>314.041</v>
          </cell>
          <cell r="V250">
            <v>0</v>
          </cell>
          <cell r="W250" t="e">
            <v>#N/A</v>
          </cell>
          <cell r="X250" t="e">
            <v>#N/A</v>
          </cell>
          <cell r="Y250" t="e">
            <v>#N/A</v>
          </cell>
          <cell r="Z250" t="e">
            <v>#N/A</v>
          </cell>
          <cell r="AA250" t="e">
            <v>#N/A</v>
          </cell>
          <cell r="AD250">
            <v>0</v>
          </cell>
        </row>
        <row r="251">
          <cell r="A251">
            <v>46442</v>
          </cell>
          <cell r="B251" t="e">
            <v>#N/A</v>
          </cell>
          <cell r="C251"/>
          <cell r="D251" t="e">
            <v>#N/A</v>
          </cell>
          <cell r="F251">
            <v>0</v>
          </cell>
          <cell r="G251" t="e">
            <v>#N/A</v>
          </cell>
          <cell r="H251">
            <v>0</v>
          </cell>
          <cell r="I251" t="e">
            <v>#N/A</v>
          </cell>
          <cell r="J251">
            <v>18</v>
          </cell>
          <cell r="K251" t="str">
            <v>XFILL_PMG100%</v>
          </cell>
          <cell r="L251">
            <v>10</v>
          </cell>
          <cell r="M251" t="str">
            <v>TA+CCL100%</v>
          </cell>
          <cell r="N251" t="e">
            <v>#N/A</v>
          </cell>
          <cell r="O251" t="e">
            <v>#N/A</v>
          </cell>
          <cell r="P251">
            <v>159</v>
          </cell>
          <cell r="Q251">
            <v>0</v>
          </cell>
          <cell r="S251">
            <v>0</v>
          </cell>
          <cell r="T251">
            <v>314.041</v>
          </cell>
          <cell r="V251">
            <v>0</v>
          </cell>
          <cell r="W251" t="e">
            <v>#N/A</v>
          </cell>
          <cell r="X251" t="e">
            <v>#N/A</v>
          </cell>
          <cell r="Y251" t="e">
            <v>#N/A</v>
          </cell>
          <cell r="Z251" t="e">
            <v>#N/A</v>
          </cell>
          <cell r="AA251" t="e">
            <v>#N/A</v>
          </cell>
          <cell r="AD251">
            <v>0</v>
          </cell>
        </row>
        <row r="252">
          <cell r="A252">
            <v>46443</v>
          </cell>
          <cell r="B252" t="e">
            <v>#N/A</v>
          </cell>
          <cell r="C252"/>
          <cell r="D252" t="e">
            <v>#N/A</v>
          </cell>
          <cell r="F252">
            <v>0</v>
          </cell>
          <cell r="G252" t="e">
            <v>#N/A</v>
          </cell>
          <cell r="H252">
            <v>0</v>
          </cell>
          <cell r="I252" t="e">
            <v>#N/A</v>
          </cell>
          <cell r="J252">
            <v>18</v>
          </cell>
          <cell r="K252" t="str">
            <v>XFILL_PMG100%</v>
          </cell>
          <cell r="L252">
            <v>10</v>
          </cell>
          <cell r="M252" t="str">
            <v>TA+CCL100%</v>
          </cell>
          <cell r="N252" t="e">
            <v>#N/A</v>
          </cell>
          <cell r="O252" t="e">
            <v>#N/A</v>
          </cell>
          <cell r="P252">
            <v>159</v>
          </cell>
          <cell r="Q252">
            <v>0</v>
          </cell>
          <cell r="S252">
            <v>0</v>
          </cell>
          <cell r="T252">
            <v>314.041</v>
          </cell>
          <cell r="V252">
            <v>0</v>
          </cell>
          <cell r="W252" t="e">
            <v>#N/A</v>
          </cell>
          <cell r="X252" t="e">
            <v>#N/A</v>
          </cell>
          <cell r="Y252" t="e">
            <v>#N/A</v>
          </cell>
          <cell r="Z252" t="e">
            <v>#N/A</v>
          </cell>
          <cell r="AA252" t="e">
            <v>#N/A</v>
          </cell>
          <cell r="AD252">
            <v>0</v>
          </cell>
        </row>
        <row r="253">
          <cell r="A253">
            <v>46444</v>
          </cell>
          <cell r="B253" t="e">
            <v>#N/A</v>
          </cell>
          <cell r="C253"/>
          <cell r="D253" t="e">
            <v>#N/A</v>
          </cell>
          <cell r="F253">
            <v>0</v>
          </cell>
          <cell r="G253" t="e">
            <v>#N/A</v>
          </cell>
          <cell r="H253">
            <v>0</v>
          </cell>
          <cell r="I253" t="e">
            <v>#N/A</v>
          </cell>
          <cell r="J253">
            <v>18</v>
          </cell>
          <cell r="K253" t="str">
            <v>XFILL_PMG100%</v>
          </cell>
          <cell r="L253">
            <v>10</v>
          </cell>
          <cell r="M253" t="str">
            <v>TA+CCL100%</v>
          </cell>
          <cell r="N253" t="e">
            <v>#N/A</v>
          </cell>
          <cell r="O253" t="e">
            <v>#N/A</v>
          </cell>
          <cell r="P253">
            <v>159</v>
          </cell>
          <cell r="Q253">
            <v>0</v>
          </cell>
          <cell r="S253">
            <v>0</v>
          </cell>
          <cell r="T253">
            <v>314.041</v>
          </cell>
          <cell r="V253">
            <v>0</v>
          </cell>
          <cell r="W253" t="e">
            <v>#N/A</v>
          </cell>
          <cell r="X253" t="e">
            <v>#N/A</v>
          </cell>
          <cell r="Y253" t="e">
            <v>#N/A</v>
          </cell>
          <cell r="Z253" t="e">
            <v>#N/A</v>
          </cell>
          <cell r="AA253" t="e">
            <v>#N/A</v>
          </cell>
          <cell r="AD253">
            <v>0</v>
          </cell>
        </row>
        <row r="254">
          <cell r="A254">
            <v>46445</v>
          </cell>
          <cell r="B254" t="e">
            <v>#N/A</v>
          </cell>
          <cell r="C254"/>
          <cell r="D254" t="e">
            <v>#N/A</v>
          </cell>
          <cell r="F254">
            <v>0</v>
          </cell>
          <cell r="G254" t="e">
            <v>#N/A</v>
          </cell>
          <cell r="H254">
            <v>0</v>
          </cell>
          <cell r="I254" t="e">
            <v>#N/A</v>
          </cell>
          <cell r="J254">
            <v>18</v>
          </cell>
          <cell r="K254" t="str">
            <v>XFILL_PMG100%</v>
          </cell>
          <cell r="L254">
            <v>10</v>
          </cell>
          <cell r="M254" t="str">
            <v>TA+CCL100%</v>
          </cell>
          <cell r="N254" t="e">
            <v>#N/A</v>
          </cell>
          <cell r="O254" t="e">
            <v>#N/A</v>
          </cell>
          <cell r="P254">
            <v>159</v>
          </cell>
          <cell r="Q254">
            <v>0</v>
          </cell>
          <cell r="S254">
            <v>0</v>
          </cell>
          <cell r="T254">
            <v>314.041</v>
          </cell>
          <cell r="V254">
            <v>0</v>
          </cell>
          <cell r="W254" t="e">
            <v>#N/A</v>
          </cell>
          <cell r="X254" t="e">
            <v>#N/A</v>
          </cell>
          <cell r="Y254" t="e">
            <v>#N/A</v>
          </cell>
          <cell r="Z254" t="e">
            <v>#N/A</v>
          </cell>
          <cell r="AA254" t="e">
            <v>#N/A</v>
          </cell>
          <cell r="AD254">
            <v>0</v>
          </cell>
        </row>
        <row r="255">
          <cell r="A255">
            <v>46446</v>
          </cell>
          <cell r="B255" t="e">
            <v>#N/A</v>
          </cell>
          <cell r="C255"/>
          <cell r="D255" t="e">
            <v>#N/A</v>
          </cell>
          <cell r="F255">
            <v>0</v>
          </cell>
          <cell r="G255" t="e">
            <v>#N/A</v>
          </cell>
          <cell r="H255">
            <v>0</v>
          </cell>
          <cell r="I255" t="e">
            <v>#N/A</v>
          </cell>
          <cell r="J255">
            <v>18</v>
          </cell>
          <cell r="K255" t="str">
            <v>XFILL_PMG100%</v>
          </cell>
          <cell r="L255">
            <v>10</v>
          </cell>
          <cell r="M255" t="str">
            <v>TA+CCL100%</v>
          </cell>
          <cell r="N255" t="e">
            <v>#N/A</v>
          </cell>
          <cell r="O255" t="e">
            <v>#N/A</v>
          </cell>
          <cell r="P255">
            <v>159</v>
          </cell>
          <cell r="Q255">
            <v>0</v>
          </cell>
          <cell r="S255">
            <v>0</v>
          </cell>
          <cell r="T255">
            <v>314.041</v>
          </cell>
          <cell r="V255">
            <v>0</v>
          </cell>
          <cell r="W255" t="e">
            <v>#N/A</v>
          </cell>
          <cell r="X255" t="e">
            <v>#N/A</v>
          </cell>
          <cell r="Y255" t="e">
            <v>#N/A</v>
          </cell>
          <cell r="Z255" t="e">
            <v>#N/A</v>
          </cell>
          <cell r="AA255" t="e">
            <v>#N/A</v>
          </cell>
          <cell r="AD255">
            <v>0</v>
          </cell>
        </row>
        <row r="256">
          <cell r="A256">
            <v>46447</v>
          </cell>
          <cell r="B256" t="e">
            <v>#N/A</v>
          </cell>
          <cell r="C256"/>
          <cell r="D256" t="e">
            <v>#N/A</v>
          </cell>
          <cell r="F256">
            <v>0</v>
          </cell>
          <cell r="G256" t="e">
            <v>#N/A</v>
          </cell>
          <cell r="H256">
            <v>0</v>
          </cell>
          <cell r="I256" t="e">
            <v>#N/A</v>
          </cell>
          <cell r="J256">
            <v>18</v>
          </cell>
          <cell r="K256" t="str">
            <v>XFILL_PMG100%</v>
          </cell>
          <cell r="L256">
            <v>10</v>
          </cell>
          <cell r="M256" t="str">
            <v>TA+CCL100%</v>
          </cell>
          <cell r="N256" t="e">
            <v>#N/A</v>
          </cell>
          <cell r="O256" t="e">
            <v>#N/A</v>
          </cell>
          <cell r="P256">
            <v>159</v>
          </cell>
          <cell r="Q256">
            <v>0</v>
          </cell>
          <cell r="S256">
            <v>0</v>
          </cell>
          <cell r="T256">
            <v>314.041</v>
          </cell>
          <cell r="V256">
            <v>0</v>
          </cell>
          <cell r="W256" t="e">
            <v>#N/A</v>
          </cell>
          <cell r="X256" t="e">
            <v>#N/A</v>
          </cell>
          <cell r="Y256" t="e">
            <v>#N/A</v>
          </cell>
          <cell r="Z256" t="e">
            <v>#N/A</v>
          </cell>
          <cell r="AA256" t="e">
            <v>#N/A</v>
          </cell>
          <cell r="AD256">
            <v>0</v>
          </cell>
        </row>
        <row r="257">
          <cell r="A257">
            <v>46448</v>
          </cell>
          <cell r="B257" t="e">
            <v>#N/A</v>
          </cell>
          <cell r="C257"/>
          <cell r="D257" t="e">
            <v>#N/A</v>
          </cell>
          <cell r="F257">
            <v>0</v>
          </cell>
          <cell r="G257" t="e">
            <v>#N/A</v>
          </cell>
          <cell r="H257">
            <v>0</v>
          </cell>
          <cell r="I257" t="e">
            <v>#N/A</v>
          </cell>
          <cell r="J257">
            <v>18</v>
          </cell>
          <cell r="K257" t="str">
            <v>XFILL_PMG100%</v>
          </cell>
          <cell r="L257">
            <v>10</v>
          </cell>
          <cell r="M257" t="str">
            <v>TA+CCL100%</v>
          </cell>
          <cell r="N257" t="e">
            <v>#N/A</v>
          </cell>
          <cell r="O257" t="e">
            <v>#N/A</v>
          </cell>
          <cell r="P257">
            <v>159</v>
          </cell>
          <cell r="Q257">
            <v>0</v>
          </cell>
          <cell r="S257">
            <v>0</v>
          </cell>
          <cell r="T257">
            <v>314.041</v>
          </cell>
          <cell r="V257">
            <v>0</v>
          </cell>
          <cell r="W257" t="e">
            <v>#N/A</v>
          </cell>
          <cell r="X257" t="e">
            <v>#N/A</v>
          </cell>
          <cell r="Y257" t="e">
            <v>#N/A</v>
          </cell>
          <cell r="Z257" t="e">
            <v>#N/A</v>
          </cell>
          <cell r="AA257" t="e">
            <v>#N/A</v>
          </cell>
          <cell r="AD257">
            <v>0</v>
          </cell>
        </row>
        <row r="258">
          <cell r="A258">
            <v>46449</v>
          </cell>
          <cell r="B258" t="e">
            <v>#N/A</v>
          </cell>
          <cell r="C258"/>
          <cell r="D258" t="e">
            <v>#N/A</v>
          </cell>
          <cell r="F258">
            <v>0</v>
          </cell>
          <cell r="G258" t="e">
            <v>#N/A</v>
          </cell>
          <cell r="H258">
            <v>0</v>
          </cell>
          <cell r="I258" t="e">
            <v>#N/A</v>
          </cell>
          <cell r="J258">
            <v>18</v>
          </cell>
          <cell r="K258" t="str">
            <v>XFILL_PMG100%</v>
          </cell>
          <cell r="L258">
            <v>10</v>
          </cell>
          <cell r="M258" t="str">
            <v>TA+CCL100%</v>
          </cell>
          <cell r="N258" t="e">
            <v>#N/A</v>
          </cell>
          <cell r="O258" t="e">
            <v>#N/A</v>
          </cell>
          <cell r="P258">
            <v>159</v>
          </cell>
          <cell r="Q258">
            <v>0</v>
          </cell>
          <cell r="S258">
            <v>0</v>
          </cell>
          <cell r="T258">
            <v>314.041</v>
          </cell>
          <cell r="V258">
            <v>0</v>
          </cell>
          <cell r="W258" t="e">
            <v>#N/A</v>
          </cell>
          <cell r="X258" t="e">
            <v>#N/A</v>
          </cell>
          <cell r="Y258" t="e">
            <v>#N/A</v>
          </cell>
          <cell r="Z258" t="e">
            <v>#N/A</v>
          </cell>
          <cell r="AA258" t="e">
            <v>#N/A</v>
          </cell>
          <cell r="AD258">
            <v>0</v>
          </cell>
        </row>
        <row r="259">
          <cell r="A259">
            <v>46450</v>
          </cell>
          <cell r="B259" t="e">
            <v>#N/A</v>
          </cell>
          <cell r="C259"/>
          <cell r="D259" t="e">
            <v>#N/A</v>
          </cell>
          <cell r="F259">
            <v>0</v>
          </cell>
          <cell r="G259" t="e">
            <v>#N/A</v>
          </cell>
          <cell r="H259">
            <v>0</v>
          </cell>
          <cell r="I259" t="e">
            <v>#N/A</v>
          </cell>
          <cell r="J259">
            <v>18</v>
          </cell>
          <cell r="K259" t="str">
            <v>XFILL_PMG100%</v>
          </cell>
          <cell r="L259">
            <v>10</v>
          </cell>
          <cell r="M259" t="str">
            <v>TA+CCL100%</v>
          </cell>
          <cell r="N259" t="e">
            <v>#N/A</v>
          </cell>
          <cell r="O259" t="e">
            <v>#N/A</v>
          </cell>
          <cell r="P259">
            <v>159</v>
          </cell>
          <cell r="Q259">
            <v>0</v>
          </cell>
          <cell r="S259">
            <v>0</v>
          </cell>
          <cell r="T259">
            <v>314.041</v>
          </cell>
          <cell r="V259">
            <v>0</v>
          </cell>
          <cell r="W259" t="e">
            <v>#N/A</v>
          </cell>
          <cell r="X259" t="e">
            <v>#N/A</v>
          </cell>
          <cell r="Y259" t="e">
            <v>#N/A</v>
          </cell>
          <cell r="Z259" t="e">
            <v>#N/A</v>
          </cell>
          <cell r="AA259" t="e">
            <v>#N/A</v>
          </cell>
          <cell r="AD259">
            <v>0</v>
          </cell>
        </row>
        <row r="260">
          <cell r="A260">
            <v>46451</v>
          </cell>
          <cell r="B260" t="e">
            <v>#N/A</v>
          </cell>
          <cell r="C260"/>
          <cell r="D260" t="e">
            <v>#N/A</v>
          </cell>
          <cell r="F260">
            <v>0</v>
          </cell>
          <cell r="G260" t="e">
            <v>#N/A</v>
          </cell>
          <cell r="H260">
            <v>0</v>
          </cell>
          <cell r="I260" t="e">
            <v>#N/A</v>
          </cell>
          <cell r="J260">
            <v>18</v>
          </cell>
          <cell r="K260" t="str">
            <v>XFILL_PMG100%</v>
          </cell>
          <cell r="L260">
            <v>10</v>
          </cell>
          <cell r="M260" t="str">
            <v>TA+CCL100%</v>
          </cell>
          <cell r="N260" t="e">
            <v>#N/A</v>
          </cell>
          <cell r="O260" t="e">
            <v>#N/A</v>
          </cell>
          <cell r="P260">
            <v>159</v>
          </cell>
          <cell r="Q260">
            <v>0</v>
          </cell>
          <cell r="S260">
            <v>0</v>
          </cell>
          <cell r="T260">
            <v>314.041</v>
          </cell>
          <cell r="V260">
            <v>0</v>
          </cell>
          <cell r="W260" t="e">
            <v>#N/A</v>
          </cell>
          <cell r="X260" t="e">
            <v>#N/A</v>
          </cell>
          <cell r="Y260" t="e">
            <v>#N/A</v>
          </cell>
          <cell r="Z260" t="e">
            <v>#N/A</v>
          </cell>
          <cell r="AA260" t="e">
            <v>#N/A</v>
          </cell>
          <cell r="AD260">
            <v>0</v>
          </cell>
        </row>
        <row r="261">
          <cell r="A261">
            <v>46452</v>
          </cell>
          <cell r="B261" t="e">
            <v>#N/A</v>
          </cell>
          <cell r="C261"/>
          <cell r="D261" t="e">
            <v>#N/A</v>
          </cell>
          <cell r="F261">
            <v>0</v>
          </cell>
          <cell r="G261" t="e">
            <v>#N/A</v>
          </cell>
          <cell r="H261">
            <v>0</v>
          </cell>
          <cell r="I261" t="e">
            <v>#N/A</v>
          </cell>
          <cell r="J261">
            <v>18</v>
          </cell>
          <cell r="K261" t="str">
            <v>XFILL_PMG100%</v>
          </cell>
          <cell r="L261">
            <v>10</v>
          </cell>
          <cell r="M261" t="str">
            <v>TA+CCL100%</v>
          </cell>
          <cell r="N261" t="e">
            <v>#N/A</v>
          </cell>
          <cell r="O261" t="e">
            <v>#N/A</v>
          </cell>
          <cell r="P261">
            <v>159</v>
          </cell>
          <cell r="Q261">
            <v>0</v>
          </cell>
          <cell r="S261">
            <v>0</v>
          </cell>
          <cell r="T261">
            <v>314.041</v>
          </cell>
          <cell r="V261">
            <v>0</v>
          </cell>
          <cell r="W261" t="e">
            <v>#N/A</v>
          </cell>
          <cell r="X261" t="e">
            <v>#N/A</v>
          </cell>
          <cell r="Y261" t="e">
            <v>#N/A</v>
          </cell>
          <cell r="Z261" t="e">
            <v>#N/A</v>
          </cell>
          <cell r="AA261" t="e">
            <v>#N/A</v>
          </cell>
          <cell r="AD261">
            <v>0</v>
          </cell>
        </row>
        <row r="262">
          <cell r="A262">
            <v>46453</v>
          </cell>
          <cell r="B262" t="e">
            <v>#N/A</v>
          </cell>
          <cell r="C262"/>
          <cell r="D262" t="e">
            <v>#N/A</v>
          </cell>
          <cell r="F262">
            <v>0</v>
          </cell>
          <cell r="G262" t="e">
            <v>#N/A</v>
          </cell>
          <cell r="H262">
            <v>0</v>
          </cell>
          <cell r="I262" t="e">
            <v>#N/A</v>
          </cell>
          <cell r="J262">
            <v>18</v>
          </cell>
          <cell r="K262" t="str">
            <v>XFILL_PMG100%</v>
          </cell>
          <cell r="L262">
            <v>10</v>
          </cell>
          <cell r="M262" t="str">
            <v>TA+CCL100%</v>
          </cell>
          <cell r="N262" t="e">
            <v>#N/A</v>
          </cell>
          <cell r="O262" t="e">
            <v>#N/A</v>
          </cell>
          <cell r="P262">
            <v>159</v>
          </cell>
          <cell r="Q262">
            <v>0</v>
          </cell>
          <cell r="S262">
            <v>0</v>
          </cell>
          <cell r="T262">
            <v>314.041</v>
          </cell>
          <cell r="V262">
            <v>0</v>
          </cell>
          <cell r="W262" t="e">
            <v>#N/A</v>
          </cell>
          <cell r="X262" t="e">
            <v>#N/A</v>
          </cell>
          <cell r="Y262" t="e">
            <v>#N/A</v>
          </cell>
          <cell r="Z262" t="e">
            <v>#N/A</v>
          </cell>
          <cell r="AA262" t="e">
            <v>#N/A</v>
          </cell>
          <cell r="AD262">
            <v>0</v>
          </cell>
        </row>
        <row r="263">
          <cell r="A263">
            <v>46454</v>
          </cell>
          <cell r="B263" t="e">
            <v>#N/A</v>
          </cell>
          <cell r="C263"/>
          <cell r="D263" t="e">
            <v>#N/A</v>
          </cell>
          <cell r="F263">
            <v>0</v>
          </cell>
          <cell r="G263" t="e">
            <v>#N/A</v>
          </cell>
          <cell r="H263">
            <v>0</v>
          </cell>
          <cell r="I263" t="e">
            <v>#N/A</v>
          </cell>
          <cell r="J263">
            <v>18</v>
          </cell>
          <cell r="K263" t="str">
            <v>XFILL_PMG100%</v>
          </cell>
          <cell r="L263">
            <v>10</v>
          </cell>
          <cell r="M263" t="str">
            <v>TA+CCL100%</v>
          </cell>
          <cell r="N263" t="e">
            <v>#N/A</v>
          </cell>
          <cell r="O263" t="e">
            <v>#N/A</v>
          </cell>
          <cell r="P263">
            <v>159</v>
          </cell>
          <cell r="Q263">
            <v>0</v>
          </cell>
          <cell r="S263">
            <v>0</v>
          </cell>
          <cell r="T263">
            <v>314.041</v>
          </cell>
          <cell r="V263">
            <v>0</v>
          </cell>
          <cell r="W263" t="e">
            <v>#N/A</v>
          </cell>
          <cell r="X263" t="e">
            <v>#N/A</v>
          </cell>
          <cell r="Y263" t="e">
            <v>#N/A</v>
          </cell>
          <cell r="Z263" t="e">
            <v>#N/A</v>
          </cell>
          <cell r="AA263" t="e">
            <v>#N/A</v>
          </cell>
          <cell r="AD263">
            <v>0</v>
          </cell>
        </row>
        <row r="264">
          <cell r="A264">
            <v>46455</v>
          </cell>
          <cell r="B264" t="e">
            <v>#N/A</v>
          </cell>
          <cell r="C264"/>
          <cell r="D264" t="e">
            <v>#N/A</v>
          </cell>
          <cell r="F264">
            <v>0</v>
          </cell>
          <cell r="G264" t="e">
            <v>#N/A</v>
          </cell>
          <cell r="H264">
            <v>0</v>
          </cell>
          <cell r="I264" t="e">
            <v>#N/A</v>
          </cell>
          <cell r="J264">
            <v>18</v>
          </cell>
          <cell r="K264" t="str">
            <v>XFILL_PMG100%</v>
          </cell>
          <cell r="L264">
            <v>10</v>
          </cell>
          <cell r="M264" t="str">
            <v>TA+CCL100%</v>
          </cell>
          <cell r="N264" t="e">
            <v>#N/A</v>
          </cell>
          <cell r="O264" t="e">
            <v>#N/A</v>
          </cell>
          <cell r="P264">
            <v>159</v>
          </cell>
          <cell r="Q264">
            <v>0</v>
          </cell>
          <cell r="S264">
            <v>0</v>
          </cell>
          <cell r="T264">
            <v>314.041</v>
          </cell>
          <cell r="V264">
            <v>0</v>
          </cell>
          <cell r="W264" t="e">
            <v>#N/A</v>
          </cell>
          <cell r="X264" t="e">
            <v>#N/A</v>
          </cell>
          <cell r="Y264" t="e">
            <v>#N/A</v>
          </cell>
          <cell r="Z264" t="e">
            <v>#N/A</v>
          </cell>
          <cell r="AA264" t="e">
            <v>#N/A</v>
          </cell>
          <cell r="AD264">
            <v>0</v>
          </cell>
        </row>
        <row r="265">
          <cell r="A265">
            <v>46456</v>
          </cell>
          <cell r="B265" t="e">
            <v>#N/A</v>
          </cell>
          <cell r="C265"/>
          <cell r="D265" t="e">
            <v>#N/A</v>
          </cell>
          <cell r="F265">
            <v>0</v>
          </cell>
          <cell r="G265" t="e">
            <v>#N/A</v>
          </cell>
          <cell r="H265">
            <v>0</v>
          </cell>
          <cell r="I265" t="e">
            <v>#N/A</v>
          </cell>
          <cell r="J265">
            <v>18</v>
          </cell>
          <cell r="K265" t="str">
            <v>XFILL_PMG100%</v>
          </cell>
          <cell r="L265">
            <v>10</v>
          </cell>
          <cell r="M265" t="str">
            <v>TA+CCL100%</v>
          </cell>
          <cell r="N265" t="e">
            <v>#N/A</v>
          </cell>
          <cell r="O265" t="e">
            <v>#N/A</v>
          </cell>
          <cell r="P265">
            <v>159</v>
          </cell>
          <cell r="Q265">
            <v>0</v>
          </cell>
          <cell r="S265">
            <v>0</v>
          </cell>
          <cell r="T265">
            <v>314.041</v>
          </cell>
          <cell r="V265">
            <v>0</v>
          </cell>
          <cell r="W265" t="e">
            <v>#N/A</v>
          </cell>
          <cell r="X265" t="e">
            <v>#N/A</v>
          </cell>
          <cell r="Y265" t="e">
            <v>#N/A</v>
          </cell>
          <cell r="Z265" t="e">
            <v>#N/A</v>
          </cell>
          <cell r="AA265" t="e">
            <v>#N/A</v>
          </cell>
          <cell r="AD265">
            <v>0</v>
          </cell>
        </row>
        <row r="266">
          <cell r="A266">
            <v>46457</v>
          </cell>
          <cell r="B266" t="e">
            <v>#N/A</v>
          </cell>
          <cell r="C266"/>
          <cell r="D266" t="e">
            <v>#N/A</v>
          </cell>
          <cell r="F266">
            <v>0</v>
          </cell>
          <cell r="G266" t="e">
            <v>#N/A</v>
          </cell>
          <cell r="H266">
            <v>0</v>
          </cell>
          <cell r="I266" t="e">
            <v>#N/A</v>
          </cell>
          <cell r="J266">
            <v>18</v>
          </cell>
          <cell r="K266" t="str">
            <v>XFILL_PMG100%</v>
          </cell>
          <cell r="L266">
            <v>10</v>
          </cell>
          <cell r="M266" t="str">
            <v>TA+CCL100%</v>
          </cell>
          <cell r="N266" t="e">
            <v>#N/A</v>
          </cell>
          <cell r="O266" t="e">
            <v>#N/A</v>
          </cell>
          <cell r="P266">
            <v>159</v>
          </cell>
          <cell r="Q266">
            <v>0</v>
          </cell>
          <cell r="S266">
            <v>0</v>
          </cell>
          <cell r="T266">
            <v>314.041</v>
          </cell>
          <cell r="V266">
            <v>0</v>
          </cell>
          <cell r="W266" t="e">
            <v>#N/A</v>
          </cell>
          <cell r="X266" t="e">
            <v>#N/A</v>
          </cell>
          <cell r="Y266" t="e">
            <v>#N/A</v>
          </cell>
          <cell r="Z266" t="e">
            <v>#N/A</v>
          </cell>
          <cell r="AA266" t="e">
            <v>#N/A</v>
          </cell>
          <cell r="AD266">
            <v>0</v>
          </cell>
        </row>
        <row r="267">
          <cell r="A267">
            <v>46458</v>
          </cell>
          <cell r="B267" t="e">
            <v>#N/A</v>
          </cell>
          <cell r="C267"/>
          <cell r="D267" t="e">
            <v>#N/A</v>
          </cell>
          <cell r="F267">
            <v>0</v>
          </cell>
          <cell r="G267" t="e">
            <v>#N/A</v>
          </cell>
          <cell r="H267">
            <v>0</v>
          </cell>
          <cell r="I267" t="e">
            <v>#N/A</v>
          </cell>
          <cell r="J267">
            <v>18</v>
          </cell>
          <cell r="K267" t="str">
            <v>XFILL_PMG100%</v>
          </cell>
          <cell r="L267">
            <v>10</v>
          </cell>
          <cell r="M267" t="str">
            <v>TA+CCL100%</v>
          </cell>
          <cell r="N267" t="e">
            <v>#N/A</v>
          </cell>
          <cell r="O267" t="e">
            <v>#N/A</v>
          </cell>
          <cell r="P267">
            <v>159</v>
          </cell>
          <cell r="Q267">
            <v>0</v>
          </cell>
          <cell r="S267">
            <v>0</v>
          </cell>
          <cell r="T267">
            <v>314.041</v>
          </cell>
          <cell r="V267">
            <v>0</v>
          </cell>
          <cell r="W267" t="e">
            <v>#N/A</v>
          </cell>
          <cell r="X267" t="e">
            <v>#N/A</v>
          </cell>
          <cell r="Y267" t="e">
            <v>#N/A</v>
          </cell>
          <cell r="Z267" t="e">
            <v>#N/A</v>
          </cell>
          <cell r="AA267" t="e">
            <v>#N/A</v>
          </cell>
          <cell r="AD267">
            <v>0</v>
          </cell>
        </row>
        <row r="268">
          <cell r="A268">
            <v>46459</v>
          </cell>
          <cell r="B268" t="e">
            <v>#N/A</v>
          </cell>
          <cell r="C268"/>
          <cell r="D268" t="e">
            <v>#N/A</v>
          </cell>
          <cell r="F268">
            <v>0</v>
          </cell>
          <cell r="G268" t="e">
            <v>#N/A</v>
          </cell>
          <cell r="H268">
            <v>0</v>
          </cell>
          <cell r="I268" t="e">
            <v>#N/A</v>
          </cell>
          <cell r="J268">
            <v>18</v>
          </cell>
          <cell r="K268" t="str">
            <v>XFILL_PMG100%</v>
          </cell>
          <cell r="L268">
            <v>10</v>
          </cell>
          <cell r="M268" t="str">
            <v>TA+CCL100%</v>
          </cell>
          <cell r="N268" t="e">
            <v>#N/A</v>
          </cell>
          <cell r="O268" t="e">
            <v>#N/A</v>
          </cell>
          <cell r="P268">
            <v>159</v>
          </cell>
          <cell r="Q268">
            <v>0</v>
          </cell>
          <cell r="S268">
            <v>0</v>
          </cell>
          <cell r="T268">
            <v>314.041</v>
          </cell>
          <cell r="V268">
            <v>0</v>
          </cell>
          <cell r="W268" t="e">
            <v>#N/A</v>
          </cell>
          <cell r="X268" t="e">
            <v>#N/A</v>
          </cell>
          <cell r="Y268" t="e">
            <v>#N/A</v>
          </cell>
          <cell r="Z268" t="e">
            <v>#N/A</v>
          </cell>
          <cell r="AA268" t="e">
            <v>#N/A</v>
          </cell>
          <cell r="AD268">
            <v>0</v>
          </cell>
        </row>
        <row r="269">
          <cell r="A269">
            <v>46460</v>
          </cell>
          <cell r="B269" t="e">
            <v>#N/A</v>
          </cell>
          <cell r="C269"/>
          <cell r="D269" t="e">
            <v>#N/A</v>
          </cell>
          <cell r="F269">
            <v>0</v>
          </cell>
          <cell r="G269" t="e">
            <v>#N/A</v>
          </cell>
          <cell r="H269">
            <v>0</v>
          </cell>
          <cell r="I269" t="e">
            <v>#N/A</v>
          </cell>
          <cell r="J269">
            <v>18</v>
          </cell>
          <cell r="K269" t="str">
            <v>XFILL_PMG100%</v>
          </cell>
          <cell r="L269">
            <v>10</v>
          </cell>
          <cell r="M269" t="str">
            <v>TA+CCL100%</v>
          </cell>
          <cell r="N269" t="e">
            <v>#N/A</v>
          </cell>
          <cell r="O269" t="e">
            <v>#N/A</v>
          </cell>
          <cell r="P269">
            <v>159</v>
          </cell>
          <cell r="Q269">
            <v>0</v>
          </cell>
          <cell r="S269">
            <v>0</v>
          </cell>
          <cell r="T269">
            <v>314.041</v>
          </cell>
          <cell r="V269">
            <v>0</v>
          </cell>
          <cell r="W269" t="e">
            <v>#N/A</v>
          </cell>
          <cell r="X269" t="e">
            <v>#N/A</v>
          </cell>
          <cell r="Y269" t="e">
            <v>#N/A</v>
          </cell>
          <cell r="Z269" t="e">
            <v>#N/A</v>
          </cell>
          <cell r="AA269" t="e">
            <v>#N/A</v>
          </cell>
          <cell r="AD269">
            <v>0</v>
          </cell>
        </row>
        <row r="270">
          <cell r="A270">
            <v>46461</v>
          </cell>
          <cell r="B270" t="e">
            <v>#N/A</v>
          </cell>
          <cell r="C270"/>
          <cell r="D270" t="e">
            <v>#N/A</v>
          </cell>
          <cell r="F270">
            <v>0</v>
          </cell>
          <cell r="G270" t="e">
            <v>#N/A</v>
          </cell>
          <cell r="H270">
            <v>0</v>
          </cell>
          <cell r="I270" t="e">
            <v>#N/A</v>
          </cell>
          <cell r="J270">
            <v>18</v>
          </cell>
          <cell r="K270" t="str">
            <v>XFILL_PMG100%</v>
          </cell>
          <cell r="L270">
            <v>10</v>
          </cell>
          <cell r="M270" t="str">
            <v>TA+CCL100%</v>
          </cell>
          <cell r="N270" t="e">
            <v>#N/A</v>
          </cell>
          <cell r="O270" t="e">
            <v>#N/A</v>
          </cell>
          <cell r="P270">
            <v>159</v>
          </cell>
          <cell r="Q270">
            <v>0</v>
          </cell>
          <cell r="S270">
            <v>0</v>
          </cell>
          <cell r="T270">
            <v>314.041</v>
          </cell>
          <cell r="V270">
            <v>0</v>
          </cell>
          <cell r="W270" t="e">
            <v>#N/A</v>
          </cell>
          <cell r="X270" t="e">
            <v>#N/A</v>
          </cell>
          <cell r="Y270" t="e">
            <v>#N/A</v>
          </cell>
          <cell r="Z270" t="e">
            <v>#N/A</v>
          </cell>
          <cell r="AA270" t="e">
            <v>#N/A</v>
          </cell>
          <cell r="AD270">
            <v>0</v>
          </cell>
        </row>
        <row r="271">
          <cell r="A271">
            <v>46462</v>
          </cell>
          <cell r="B271" t="e">
            <v>#N/A</v>
          </cell>
          <cell r="C271"/>
          <cell r="D271" t="e">
            <v>#N/A</v>
          </cell>
          <cell r="F271">
            <v>0</v>
          </cell>
          <cell r="G271" t="e">
            <v>#N/A</v>
          </cell>
          <cell r="H271">
            <v>0</v>
          </cell>
          <cell r="I271" t="e">
            <v>#N/A</v>
          </cell>
          <cell r="J271">
            <v>18</v>
          </cell>
          <cell r="K271" t="str">
            <v>XFILL_PMG100%</v>
          </cell>
          <cell r="L271">
            <v>10</v>
          </cell>
          <cell r="M271" t="str">
            <v>TA+CCL100%</v>
          </cell>
          <cell r="N271" t="e">
            <v>#N/A</v>
          </cell>
          <cell r="O271" t="e">
            <v>#N/A</v>
          </cell>
          <cell r="P271">
            <v>159</v>
          </cell>
          <cell r="Q271">
            <v>0</v>
          </cell>
          <cell r="S271">
            <v>0</v>
          </cell>
          <cell r="T271">
            <v>314.041</v>
          </cell>
          <cell r="V271">
            <v>0</v>
          </cell>
          <cell r="W271" t="e">
            <v>#N/A</v>
          </cell>
          <cell r="X271" t="e">
            <v>#N/A</v>
          </cell>
          <cell r="Y271" t="e">
            <v>#N/A</v>
          </cell>
          <cell r="Z271" t="e">
            <v>#N/A</v>
          </cell>
          <cell r="AA271" t="e">
            <v>#N/A</v>
          </cell>
          <cell r="AD271">
            <v>0</v>
          </cell>
        </row>
        <row r="272">
          <cell r="A272">
            <v>46463</v>
          </cell>
          <cell r="B272" t="e">
            <v>#N/A</v>
          </cell>
          <cell r="C272"/>
          <cell r="D272" t="e">
            <v>#N/A</v>
          </cell>
          <cell r="F272">
            <v>0</v>
          </cell>
          <cell r="G272" t="e">
            <v>#N/A</v>
          </cell>
          <cell r="H272">
            <v>0</v>
          </cell>
          <cell r="I272" t="e">
            <v>#N/A</v>
          </cell>
          <cell r="J272">
            <v>18</v>
          </cell>
          <cell r="K272" t="str">
            <v>XFILL_PMG100%</v>
          </cell>
          <cell r="L272">
            <v>10</v>
          </cell>
          <cell r="M272" t="str">
            <v>TA+CCL100%</v>
          </cell>
          <cell r="N272" t="e">
            <v>#N/A</v>
          </cell>
          <cell r="O272" t="e">
            <v>#N/A</v>
          </cell>
          <cell r="P272">
            <v>159</v>
          </cell>
          <cell r="Q272">
            <v>0</v>
          </cell>
          <cell r="S272">
            <v>0</v>
          </cell>
          <cell r="T272">
            <v>314.041</v>
          </cell>
          <cell r="V272">
            <v>0</v>
          </cell>
          <cell r="W272" t="e">
            <v>#N/A</v>
          </cell>
          <cell r="X272" t="e">
            <v>#N/A</v>
          </cell>
          <cell r="Y272" t="e">
            <v>#N/A</v>
          </cell>
          <cell r="Z272" t="e">
            <v>#N/A</v>
          </cell>
          <cell r="AA272" t="e">
            <v>#N/A</v>
          </cell>
          <cell r="AD272">
            <v>0</v>
          </cell>
        </row>
        <row r="273">
          <cell r="A273">
            <v>46464</v>
          </cell>
          <cell r="B273" t="e">
            <v>#N/A</v>
          </cell>
          <cell r="C273"/>
          <cell r="D273" t="e">
            <v>#N/A</v>
          </cell>
          <cell r="F273">
            <v>0</v>
          </cell>
          <cell r="G273" t="e">
            <v>#N/A</v>
          </cell>
          <cell r="H273">
            <v>0</v>
          </cell>
          <cell r="I273" t="e">
            <v>#N/A</v>
          </cell>
          <cell r="J273">
            <v>18</v>
          </cell>
          <cell r="K273" t="str">
            <v>XFILL_PMG100%</v>
          </cell>
          <cell r="L273">
            <v>10</v>
          </cell>
          <cell r="M273" t="str">
            <v>TA+CCL100%</v>
          </cell>
          <cell r="N273" t="e">
            <v>#N/A</v>
          </cell>
          <cell r="O273" t="e">
            <v>#N/A</v>
          </cell>
          <cell r="P273">
            <v>159</v>
          </cell>
          <cell r="Q273">
            <v>0</v>
          </cell>
          <cell r="S273">
            <v>0</v>
          </cell>
          <cell r="T273">
            <v>314.041</v>
          </cell>
          <cell r="V273">
            <v>0</v>
          </cell>
          <cell r="W273" t="e">
            <v>#N/A</v>
          </cell>
          <cell r="X273" t="e">
            <v>#N/A</v>
          </cell>
          <cell r="Y273" t="e">
            <v>#N/A</v>
          </cell>
          <cell r="Z273" t="e">
            <v>#N/A</v>
          </cell>
          <cell r="AA273" t="e">
            <v>#N/A</v>
          </cell>
          <cell r="AD273">
            <v>0</v>
          </cell>
        </row>
        <row r="274">
          <cell r="A274">
            <v>46465</v>
          </cell>
          <cell r="B274" t="e">
            <v>#N/A</v>
          </cell>
          <cell r="C274"/>
          <cell r="D274" t="e">
            <v>#N/A</v>
          </cell>
          <cell r="F274">
            <v>0</v>
          </cell>
          <cell r="G274" t="e">
            <v>#N/A</v>
          </cell>
          <cell r="H274">
            <v>0</v>
          </cell>
          <cell r="I274" t="e">
            <v>#N/A</v>
          </cell>
          <cell r="J274">
            <v>18</v>
          </cell>
          <cell r="K274" t="str">
            <v>XFILL_PMG100%</v>
          </cell>
          <cell r="L274">
            <v>10</v>
          </cell>
          <cell r="M274" t="str">
            <v>TA+CCL100%</v>
          </cell>
          <cell r="N274" t="e">
            <v>#N/A</v>
          </cell>
          <cell r="O274" t="e">
            <v>#N/A</v>
          </cell>
          <cell r="P274">
            <v>159</v>
          </cell>
          <cell r="Q274">
            <v>0</v>
          </cell>
          <cell r="S274">
            <v>0</v>
          </cell>
          <cell r="T274">
            <v>314.041</v>
          </cell>
          <cell r="V274">
            <v>0</v>
          </cell>
          <cell r="W274" t="e">
            <v>#N/A</v>
          </cell>
          <cell r="X274" t="e">
            <v>#N/A</v>
          </cell>
          <cell r="Y274" t="e">
            <v>#N/A</v>
          </cell>
          <cell r="Z274" t="e">
            <v>#N/A</v>
          </cell>
          <cell r="AA274" t="e">
            <v>#N/A</v>
          </cell>
          <cell r="AD274">
            <v>0</v>
          </cell>
        </row>
        <row r="275">
          <cell r="A275">
            <v>46466</v>
          </cell>
          <cell r="B275" t="e">
            <v>#N/A</v>
          </cell>
          <cell r="C275"/>
          <cell r="D275" t="e">
            <v>#N/A</v>
          </cell>
          <cell r="F275">
            <v>0</v>
          </cell>
          <cell r="G275" t="e">
            <v>#N/A</v>
          </cell>
          <cell r="H275">
            <v>0</v>
          </cell>
          <cell r="I275" t="e">
            <v>#N/A</v>
          </cell>
          <cell r="J275">
            <v>18</v>
          </cell>
          <cell r="K275" t="str">
            <v>XFILL_PMG100%</v>
          </cell>
          <cell r="L275">
            <v>10</v>
          </cell>
          <cell r="M275" t="str">
            <v>TA+CCL100%</v>
          </cell>
          <cell r="N275" t="e">
            <v>#N/A</v>
          </cell>
          <cell r="O275" t="e">
            <v>#N/A</v>
          </cell>
          <cell r="P275">
            <v>159</v>
          </cell>
          <cell r="Q275">
            <v>0</v>
          </cell>
          <cell r="S275">
            <v>0</v>
          </cell>
          <cell r="T275">
            <v>314.041</v>
          </cell>
          <cell r="V275">
            <v>0</v>
          </cell>
          <cell r="W275" t="e">
            <v>#N/A</v>
          </cell>
          <cell r="X275" t="e">
            <v>#N/A</v>
          </cell>
          <cell r="Y275" t="e">
            <v>#N/A</v>
          </cell>
          <cell r="Z275" t="e">
            <v>#N/A</v>
          </cell>
          <cell r="AA275" t="e">
            <v>#N/A</v>
          </cell>
          <cell r="AD275">
            <v>0</v>
          </cell>
        </row>
        <row r="276">
          <cell r="A276">
            <v>46467</v>
          </cell>
          <cell r="B276" t="e">
            <v>#N/A</v>
          </cell>
          <cell r="C276"/>
          <cell r="D276" t="e">
            <v>#N/A</v>
          </cell>
          <cell r="F276">
            <v>0</v>
          </cell>
          <cell r="G276" t="e">
            <v>#N/A</v>
          </cell>
          <cell r="H276">
            <v>0</v>
          </cell>
          <cell r="I276" t="e">
            <v>#N/A</v>
          </cell>
          <cell r="J276">
            <v>18</v>
          </cell>
          <cell r="K276" t="str">
            <v>XFILL_PMG100%</v>
          </cell>
          <cell r="L276">
            <v>10</v>
          </cell>
          <cell r="M276" t="str">
            <v>TA+CCL100%</v>
          </cell>
          <cell r="N276" t="e">
            <v>#N/A</v>
          </cell>
          <cell r="O276" t="e">
            <v>#N/A</v>
          </cell>
          <cell r="P276">
            <v>159</v>
          </cell>
          <cell r="Q276">
            <v>0</v>
          </cell>
          <cell r="S276">
            <v>0</v>
          </cell>
          <cell r="T276">
            <v>314.041</v>
          </cell>
          <cell r="V276">
            <v>0</v>
          </cell>
          <cell r="W276" t="e">
            <v>#N/A</v>
          </cell>
          <cell r="X276" t="e">
            <v>#N/A</v>
          </cell>
          <cell r="Y276" t="e">
            <v>#N/A</v>
          </cell>
          <cell r="Z276" t="e">
            <v>#N/A</v>
          </cell>
          <cell r="AA276" t="e">
            <v>#N/A</v>
          </cell>
          <cell r="AD276">
            <v>0</v>
          </cell>
        </row>
        <row r="277">
          <cell r="A277">
            <v>46468</v>
          </cell>
          <cell r="B277" t="e">
            <v>#N/A</v>
          </cell>
          <cell r="C277"/>
          <cell r="D277" t="e">
            <v>#N/A</v>
          </cell>
          <cell r="F277">
            <v>0</v>
          </cell>
          <cell r="G277" t="e">
            <v>#N/A</v>
          </cell>
          <cell r="H277">
            <v>0</v>
          </cell>
          <cell r="I277" t="e">
            <v>#N/A</v>
          </cell>
          <cell r="J277">
            <v>18</v>
          </cell>
          <cell r="K277" t="str">
            <v>XFILL_PMG100%</v>
          </cell>
          <cell r="L277">
            <v>10</v>
          </cell>
          <cell r="M277" t="str">
            <v>TA+CCL100%</v>
          </cell>
          <cell r="N277" t="e">
            <v>#N/A</v>
          </cell>
          <cell r="O277" t="e">
            <v>#N/A</v>
          </cell>
          <cell r="P277">
            <v>159</v>
          </cell>
          <cell r="Q277">
            <v>0</v>
          </cell>
          <cell r="S277">
            <v>0</v>
          </cell>
          <cell r="T277">
            <v>314.041</v>
          </cell>
          <cell r="V277">
            <v>0</v>
          </cell>
          <cell r="W277" t="e">
            <v>#N/A</v>
          </cell>
          <cell r="X277" t="e">
            <v>#N/A</v>
          </cell>
          <cell r="Y277" t="e">
            <v>#N/A</v>
          </cell>
          <cell r="Z277" t="e">
            <v>#N/A</v>
          </cell>
          <cell r="AA277" t="e">
            <v>#N/A</v>
          </cell>
          <cell r="AD277">
            <v>0</v>
          </cell>
        </row>
        <row r="278">
          <cell r="A278">
            <v>46469</v>
          </cell>
          <cell r="B278" t="e">
            <v>#N/A</v>
          </cell>
          <cell r="C278"/>
          <cell r="D278" t="e">
            <v>#N/A</v>
          </cell>
          <cell r="F278">
            <v>0</v>
          </cell>
          <cell r="G278" t="e">
            <v>#N/A</v>
          </cell>
          <cell r="H278">
            <v>0</v>
          </cell>
          <cell r="I278" t="e">
            <v>#N/A</v>
          </cell>
          <cell r="J278">
            <v>18</v>
          </cell>
          <cell r="K278" t="str">
            <v>XFILL_PMG100%</v>
          </cell>
          <cell r="L278">
            <v>10</v>
          </cell>
          <cell r="M278" t="str">
            <v>TA+CCL100%</v>
          </cell>
          <cell r="N278" t="e">
            <v>#N/A</v>
          </cell>
          <cell r="O278" t="e">
            <v>#N/A</v>
          </cell>
          <cell r="P278">
            <v>159</v>
          </cell>
          <cell r="Q278">
            <v>0</v>
          </cell>
          <cell r="S278">
            <v>0</v>
          </cell>
          <cell r="T278">
            <v>314.041</v>
          </cell>
          <cell r="V278">
            <v>0</v>
          </cell>
          <cell r="W278" t="e">
            <v>#N/A</v>
          </cell>
          <cell r="X278" t="e">
            <v>#N/A</v>
          </cell>
          <cell r="Y278" t="e">
            <v>#N/A</v>
          </cell>
          <cell r="Z278" t="e">
            <v>#N/A</v>
          </cell>
          <cell r="AA278" t="e">
            <v>#N/A</v>
          </cell>
          <cell r="AD278">
            <v>0</v>
          </cell>
        </row>
        <row r="279">
          <cell r="A279">
            <v>46470</v>
          </cell>
          <cell r="B279" t="e">
            <v>#N/A</v>
          </cell>
          <cell r="C279"/>
          <cell r="D279" t="e">
            <v>#N/A</v>
          </cell>
          <cell r="F279">
            <v>0</v>
          </cell>
          <cell r="G279" t="e">
            <v>#N/A</v>
          </cell>
          <cell r="H279">
            <v>0</v>
          </cell>
          <cell r="I279" t="e">
            <v>#N/A</v>
          </cell>
          <cell r="J279">
            <v>18</v>
          </cell>
          <cell r="K279" t="str">
            <v>XFILL_PMG100%</v>
          </cell>
          <cell r="L279">
            <v>10</v>
          </cell>
          <cell r="M279" t="str">
            <v>TA+CCL100%</v>
          </cell>
          <cell r="N279" t="e">
            <v>#N/A</v>
          </cell>
          <cell r="O279" t="e">
            <v>#N/A</v>
          </cell>
          <cell r="P279">
            <v>159</v>
          </cell>
          <cell r="Q279">
            <v>0</v>
          </cell>
          <cell r="S279">
            <v>0</v>
          </cell>
          <cell r="T279">
            <v>314.041</v>
          </cell>
          <cell r="V279">
            <v>0</v>
          </cell>
          <cell r="W279" t="e">
            <v>#N/A</v>
          </cell>
          <cell r="X279" t="e">
            <v>#N/A</v>
          </cell>
          <cell r="Y279" t="e">
            <v>#N/A</v>
          </cell>
          <cell r="Z279" t="e">
            <v>#N/A</v>
          </cell>
          <cell r="AA279" t="e">
            <v>#N/A</v>
          </cell>
          <cell r="AD279">
            <v>0</v>
          </cell>
        </row>
        <row r="280">
          <cell r="A280">
            <v>46471</v>
          </cell>
          <cell r="B280" t="e">
            <v>#N/A</v>
          </cell>
          <cell r="C280"/>
          <cell r="D280" t="e">
            <v>#N/A</v>
          </cell>
          <cell r="F280">
            <v>0</v>
          </cell>
          <cell r="G280" t="e">
            <v>#N/A</v>
          </cell>
          <cell r="H280">
            <v>0</v>
          </cell>
          <cell r="I280" t="e">
            <v>#N/A</v>
          </cell>
          <cell r="J280">
            <v>18</v>
          </cell>
          <cell r="K280" t="str">
            <v>XFILL_PMG100%</v>
          </cell>
          <cell r="L280">
            <v>10</v>
          </cell>
          <cell r="M280" t="str">
            <v>TA+CCL100%</v>
          </cell>
          <cell r="N280" t="e">
            <v>#N/A</v>
          </cell>
          <cell r="O280" t="e">
            <v>#N/A</v>
          </cell>
          <cell r="P280">
            <v>159</v>
          </cell>
          <cell r="Q280">
            <v>0</v>
          </cell>
          <cell r="S280">
            <v>0</v>
          </cell>
          <cell r="T280">
            <v>314.041</v>
          </cell>
          <cell r="V280">
            <v>0</v>
          </cell>
          <cell r="W280" t="e">
            <v>#N/A</v>
          </cell>
          <cell r="X280" t="e">
            <v>#N/A</v>
          </cell>
          <cell r="Y280" t="e">
            <v>#N/A</v>
          </cell>
          <cell r="Z280" t="e">
            <v>#N/A</v>
          </cell>
          <cell r="AA280" t="e">
            <v>#N/A</v>
          </cell>
          <cell r="AD280">
            <v>0</v>
          </cell>
        </row>
        <row r="281">
          <cell r="A281">
            <v>46472</v>
          </cell>
          <cell r="B281" t="e">
            <v>#N/A</v>
          </cell>
          <cell r="C281"/>
          <cell r="D281" t="e">
            <v>#N/A</v>
          </cell>
          <cell r="F281">
            <v>0</v>
          </cell>
          <cell r="G281" t="e">
            <v>#N/A</v>
          </cell>
          <cell r="H281">
            <v>0</v>
          </cell>
          <cell r="I281" t="e">
            <v>#N/A</v>
          </cell>
          <cell r="J281">
            <v>18</v>
          </cell>
          <cell r="K281" t="str">
            <v>XFILL_PMG100%</v>
          </cell>
          <cell r="L281">
            <v>10</v>
          </cell>
          <cell r="M281" t="str">
            <v>TA+CCL100%</v>
          </cell>
          <cell r="N281" t="e">
            <v>#N/A</v>
          </cell>
          <cell r="O281" t="e">
            <v>#N/A</v>
          </cell>
          <cell r="P281">
            <v>159</v>
          </cell>
          <cell r="Q281">
            <v>0</v>
          </cell>
          <cell r="S281">
            <v>0</v>
          </cell>
          <cell r="T281">
            <v>314.041</v>
          </cell>
          <cell r="V281">
            <v>0</v>
          </cell>
          <cell r="W281" t="e">
            <v>#N/A</v>
          </cell>
          <cell r="X281" t="e">
            <v>#N/A</v>
          </cell>
          <cell r="Y281" t="e">
            <v>#N/A</v>
          </cell>
          <cell r="Z281" t="e">
            <v>#N/A</v>
          </cell>
          <cell r="AA281" t="e">
            <v>#N/A</v>
          </cell>
          <cell r="AD281">
            <v>0</v>
          </cell>
        </row>
        <row r="282">
          <cell r="A282">
            <v>46473</v>
          </cell>
          <cell r="B282" t="e">
            <v>#N/A</v>
          </cell>
          <cell r="C282"/>
          <cell r="D282" t="e">
            <v>#N/A</v>
          </cell>
          <cell r="F282">
            <v>0</v>
          </cell>
          <cell r="G282" t="e">
            <v>#N/A</v>
          </cell>
          <cell r="H282">
            <v>0</v>
          </cell>
          <cell r="I282" t="e">
            <v>#N/A</v>
          </cell>
          <cell r="J282">
            <v>18</v>
          </cell>
          <cell r="K282" t="str">
            <v>XFILL_PMG100%</v>
          </cell>
          <cell r="L282">
            <v>10</v>
          </cell>
          <cell r="M282" t="str">
            <v>TA+CCL100%</v>
          </cell>
          <cell r="N282" t="e">
            <v>#N/A</v>
          </cell>
          <cell r="O282" t="e">
            <v>#N/A</v>
          </cell>
          <cell r="P282">
            <v>159</v>
          </cell>
          <cell r="Q282">
            <v>0</v>
          </cell>
          <cell r="S282">
            <v>0</v>
          </cell>
          <cell r="T282">
            <v>314.041</v>
          </cell>
          <cell r="V282">
            <v>0</v>
          </cell>
          <cell r="W282" t="e">
            <v>#N/A</v>
          </cell>
          <cell r="X282" t="e">
            <v>#N/A</v>
          </cell>
          <cell r="Y282" t="e">
            <v>#N/A</v>
          </cell>
          <cell r="Z282" t="e">
            <v>#N/A</v>
          </cell>
          <cell r="AA282" t="e">
            <v>#N/A</v>
          </cell>
          <cell r="AD282">
            <v>0</v>
          </cell>
        </row>
        <row r="283">
          <cell r="A283">
            <v>46474</v>
          </cell>
          <cell r="B283" t="e">
            <v>#N/A</v>
          </cell>
          <cell r="C283"/>
          <cell r="D283" t="e">
            <v>#N/A</v>
          </cell>
          <cell r="F283">
            <v>0</v>
          </cell>
          <cell r="G283" t="e">
            <v>#N/A</v>
          </cell>
          <cell r="H283">
            <v>0</v>
          </cell>
          <cell r="I283" t="e">
            <v>#N/A</v>
          </cell>
          <cell r="J283">
            <v>18</v>
          </cell>
          <cell r="K283" t="str">
            <v>XFILL_PMG100%</v>
          </cell>
          <cell r="L283">
            <v>10</v>
          </cell>
          <cell r="M283" t="str">
            <v>TA+CCL100%</v>
          </cell>
          <cell r="N283" t="e">
            <v>#N/A</v>
          </cell>
          <cell r="O283" t="e">
            <v>#N/A</v>
          </cell>
          <cell r="P283">
            <v>159</v>
          </cell>
          <cell r="Q283">
            <v>0</v>
          </cell>
          <cell r="S283">
            <v>0</v>
          </cell>
          <cell r="T283">
            <v>314.041</v>
          </cell>
          <cell r="V283">
            <v>0</v>
          </cell>
          <cell r="W283" t="e">
            <v>#N/A</v>
          </cell>
          <cell r="X283" t="e">
            <v>#N/A</v>
          </cell>
          <cell r="Y283" t="e">
            <v>#N/A</v>
          </cell>
          <cell r="Z283" t="e">
            <v>#N/A</v>
          </cell>
          <cell r="AA283" t="e">
            <v>#N/A</v>
          </cell>
          <cell r="AD283">
            <v>0</v>
          </cell>
        </row>
        <row r="284">
          <cell r="A284">
            <v>46475</v>
          </cell>
          <cell r="B284" t="e">
            <v>#N/A</v>
          </cell>
          <cell r="C284"/>
          <cell r="D284" t="e">
            <v>#N/A</v>
          </cell>
          <cell r="F284">
            <v>0</v>
          </cell>
          <cell r="G284" t="e">
            <v>#N/A</v>
          </cell>
          <cell r="H284">
            <v>0</v>
          </cell>
          <cell r="I284" t="e">
            <v>#N/A</v>
          </cell>
          <cell r="J284">
            <v>18</v>
          </cell>
          <cell r="K284" t="str">
            <v>XFILL_PMG100%</v>
          </cell>
          <cell r="L284">
            <v>10</v>
          </cell>
          <cell r="M284" t="str">
            <v>TA+CCL100%</v>
          </cell>
          <cell r="N284" t="e">
            <v>#N/A</v>
          </cell>
          <cell r="O284" t="e">
            <v>#N/A</v>
          </cell>
          <cell r="P284">
            <v>159</v>
          </cell>
          <cell r="Q284">
            <v>0</v>
          </cell>
          <cell r="S284">
            <v>0</v>
          </cell>
          <cell r="T284">
            <v>314.041</v>
          </cell>
          <cell r="V284">
            <v>0</v>
          </cell>
          <cell r="W284" t="e">
            <v>#N/A</v>
          </cell>
          <cell r="X284" t="e">
            <v>#N/A</v>
          </cell>
          <cell r="Y284" t="e">
            <v>#N/A</v>
          </cell>
          <cell r="Z284" t="e">
            <v>#N/A</v>
          </cell>
          <cell r="AA284" t="e">
            <v>#N/A</v>
          </cell>
          <cell r="AD284">
            <v>0</v>
          </cell>
        </row>
        <row r="285">
          <cell r="A285">
            <v>46476</v>
          </cell>
          <cell r="B285" t="e">
            <v>#N/A</v>
          </cell>
          <cell r="C285"/>
          <cell r="D285" t="e">
            <v>#N/A</v>
          </cell>
          <cell r="F285">
            <v>0</v>
          </cell>
          <cell r="G285" t="e">
            <v>#N/A</v>
          </cell>
          <cell r="H285">
            <v>0</v>
          </cell>
          <cell r="I285" t="e">
            <v>#N/A</v>
          </cell>
          <cell r="J285">
            <v>18</v>
          </cell>
          <cell r="K285" t="str">
            <v>XFILL_PMG100%</v>
          </cell>
          <cell r="L285">
            <v>10</v>
          </cell>
          <cell r="M285" t="str">
            <v>TA+CCL100%</v>
          </cell>
          <cell r="N285" t="e">
            <v>#N/A</v>
          </cell>
          <cell r="O285" t="e">
            <v>#N/A</v>
          </cell>
          <cell r="P285">
            <v>159</v>
          </cell>
          <cell r="Q285">
            <v>0</v>
          </cell>
          <cell r="S285">
            <v>0</v>
          </cell>
          <cell r="T285">
            <v>314.041</v>
          </cell>
          <cell r="V285">
            <v>0</v>
          </cell>
          <cell r="W285" t="e">
            <v>#N/A</v>
          </cell>
          <cell r="X285" t="e">
            <v>#N/A</v>
          </cell>
          <cell r="Y285" t="e">
            <v>#N/A</v>
          </cell>
          <cell r="Z285" t="e">
            <v>#N/A</v>
          </cell>
          <cell r="AA285" t="e">
            <v>#N/A</v>
          </cell>
          <cell r="AD285">
            <v>0</v>
          </cell>
        </row>
        <row r="286">
          <cell r="A286">
            <v>46477</v>
          </cell>
          <cell r="B286" t="e">
            <v>#N/A</v>
          </cell>
          <cell r="C286"/>
          <cell r="D286" t="e">
            <v>#N/A</v>
          </cell>
          <cell r="F286">
            <v>0</v>
          </cell>
          <cell r="G286" t="e">
            <v>#N/A</v>
          </cell>
          <cell r="H286">
            <v>0</v>
          </cell>
          <cell r="I286" t="e">
            <v>#N/A</v>
          </cell>
          <cell r="J286">
            <v>18</v>
          </cell>
          <cell r="K286" t="str">
            <v>XFILL_PMG100%</v>
          </cell>
          <cell r="L286">
            <v>10</v>
          </cell>
          <cell r="M286" t="str">
            <v>TA+CCL100%</v>
          </cell>
          <cell r="N286" t="e">
            <v>#N/A</v>
          </cell>
          <cell r="O286" t="e">
            <v>#N/A</v>
          </cell>
          <cell r="P286">
            <v>159</v>
          </cell>
          <cell r="Q286">
            <v>0</v>
          </cell>
          <cell r="S286">
            <v>0</v>
          </cell>
          <cell r="T286">
            <v>314.041</v>
          </cell>
          <cell r="V286">
            <v>0</v>
          </cell>
          <cell r="W286" t="e">
            <v>#N/A</v>
          </cell>
          <cell r="X286" t="e">
            <v>#N/A</v>
          </cell>
          <cell r="Y286" t="e">
            <v>#N/A</v>
          </cell>
          <cell r="Z286" t="e">
            <v>#N/A</v>
          </cell>
          <cell r="AA286" t="e">
            <v>#N/A</v>
          </cell>
          <cell r="AD286">
            <v>0</v>
          </cell>
        </row>
        <row r="287">
          <cell r="A287">
            <v>46478</v>
          </cell>
          <cell r="B287" t="e">
            <v>#N/A</v>
          </cell>
          <cell r="C287"/>
          <cell r="D287" t="e">
            <v>#N/A</v>
          </cell>
          <cell r="F287">
            <v>0</v>
          </cell>
          <cell r="G287" t="e">
            <v>#N/A</v>
          </cell>
          <cell r="H287">
            <v>0</v>
          </cell>
          <cell r="I287" t="e">
            <v>#N/A</v>
          </cell>
          <cell r="J287">
            <v>18</v>
          </cell>
          <cell r="K287" t="str">
            <v>XFILL_PMG100%</v>
          </cell>
          <cell r="L287">
            <v>10</v>
          </cell>
          <cell r="M287" t="str">
            <v>TA+CCL100%</v>
          </cell>
          <cell r="N287" t="e">
            <v>#N/A</v>
          </cell>
          <cell r="O287" t="e">
            <v>#N/A</v>
          </cell>
          <cell r="P287">
            <v>159</v>
          </cell>
          <cell r="Q287">
            <v>0</v>
          </cell>
          <cell r="S287">
            <v>0</v>
          </cell>
          <cell r="T287">
            <v>314.041</v>
          </cell>
          <cell r="V287">
            <v>0</v>
          </cell>
          <cell r="W287" t="e">
            <v>#N/A</v>
          </cell>
          <cell r="X287" t="e">
            <v>#N/A</v>
          </cell>
          <cell r="Y287" t="e">
            <v>#N/A</v>
          </cell>
          <cell r="Z287" t="e">
            <v>#N/A</v>
          </cell>
          <cell r="AA287" t="e">
            <v>#N/A</v>
          </cell>
          <cell r="AD287">
            <v>0</v>
          </cell>
        </row>
        <row r="288">
          <cell r="A288">
            <v>46479</v>
          </cell>
          <cell r="B288" t="e">
            <v>#N/A</v>
          </cell>
          <cell r="C288"/>
          <cell r="D288" t="e">
            <v>#N/A</v>
          </cell>
          <cell r="F288">
            <v>0</v>
          </cell>
          <cell r="G288" t="e">
            <v>#N/A</v>
          </cell>
          <cell r="H288">
            <v>0</v>
          </cell>
          <cell r="I288" t="e">
            <v>#N/A</v>
          </cell>
          <cell r="J288">
            <v>18</v>
          </cell>
          <cell r="K288" t="str">
            <v>XFILL_PMG100%</v>
          </cell>
          <cell r="L288">
            <v>10</v>
          </cell>
          <cell r="M288" t="str">
            <v>TA+CCL100%</v>
          </cell>
          <cell r="N288" t="e">
            <v>#N/A</v>
          </cell>
          <cell r="O288" t="e">
            <v>#N/A</v>
          </cell>
          <cell r="P288">
            <v>159</v>
          </cell>
          <cell r="Q288">
            <v>0</v>
          </cell>
          <cell r="S288">
            <v>0</v>
          </cell>
          <cell r="T288">
            <v>314.041</v>
          </cell>
          <cell r="V288">
            <v>0</v>
          </cell>
          <cell r="W288" t="e">
            <v>#N/A</v>
          </cell>
          <cell r="X288" t="e">
            <v>#N/A</v>
          </cell>
          <cell r="Y288" t="e">
            <v>#N/A</v>
          </cell>
          <cell r="Z288" t="e">
            <v>#N/A</v>
          </cell>
          <cell r="AA288" t="e">
            <v>#N/A</v>
          </cell>
          <cell r="AD288">
            <v>0</v>
          </cell>
        </row>
        <row r="289">
          <cell r="A289">
            <v>46480</v>
          </cell>
          <cell r="B289" t="e">
            <v>#N/A</v>
          </cell>
          <cell r="C289"/>
          <cell r="D289" t="e">
            <v>#N/A</v>
          </cell>
          <cell r="F289">
            <v>0</v>
          </cell>
          <cell r="G289" t="e">
            <v>#N/A</v>
          </cell>
          <cell r="H289">
            <v>0</v>
          </cell>
          <cell r="I289" t="e">
            <v>#N/A</v>
          </cell>
          <cell r="J289">
            <v>18</v>
          </cell>
          <cell r="K289" t="str">
            <v>XFILL_PMG100%</v>
          </cell>
          <cell r="L289">
            <v>10</v>
          </cell>
          <cell r="M289" t="str">
            <v>TA+CCL100%</v>
          </cell>
          <cell r="N289" t="e">
            <v>#N/A</v>
          </cell>
          <cell r="O289" t="e">
            <v>#N/A</v>
          </cell>
          <cell r="P289">
            <v>159</v>
          </cell>
          <cell r="Q289">
            <v>0</v>
          </cell>
          <cell r="S289">
            <v>0</v>
          </cell>
          <cell r="T289">
            <v>314.041</v>
          </cell>
          <cell r="V289">
            <v>0</v>
          </cell>
          <cell r="W289" t="e">
            <v>#N/A</v>
          </cell>
          <cell r="X289" t="e">
            <v>#N/A</v>
          </cell>
          <cell r="Y289" t="e">
            <v>#N/A</v>
          </cell>
          <cell r="Z289" t="e">
            <v>#N/A</v>
          </cell>
          <cell r="AA289" t="e">
            <v>#N/A</v>
          </cell>
          <cell r="AD289">
            <v>0</v>
          </cell>
        </row>
        <row r="290">
          <cell r="A290">
            <v>46481</v>
          </cell>
          <cell r="B290" t="e">
            <v>#N/A</v>
          </cell>
          <cell r="C290"/>
          <cell r="D290" t="e">
            <v>#N/A</v>
          </cell>
          <cell r="F290">
            <v>0</v>
          </cell>
          <cell r="G290" t="e">
            <v>#N/A</v>
          </cell>
          <cell r="H290">
            <v>0</v>
          </cell>
          <cell r="I290" t="e">
            <v>#N/A</v>
          </cell>
          <cell r="J290">
            <v>18</v>
          </cell>
          <cell r="K290" t="str">
            <v>XFILL_PMG100%</v>
          </cell>
          <cell r="L290">
            <v>10</v>
          </cell>
          <cell r="M290" t="str">
            <v>TA+CCL100%</v>
          </cell>
          <cell r="N290" t="e">
            <v>#N/A</v>
          </cell>
          <cell r="O290" t="e">
            <v>#N/A</v>
          </cell>
          <cell r="P290">
            <v>159</v>
          </cell>
          <cell r="Q290">
            <v>0</v>
          </cell>
          <cell r="S290">
            <v>0</v>
          </cell>
          <cell r="T290">
            <v>314.041</v>
          </cell>
          <cell r="V290">
            <v>0</v>
          </cell>
          <cell r="W290" t="e">
            <v>#N/A</v>
          </cell>
          <cell r="X290" t="e">
            <v>#N/A</v>
          </cell>
          <cell r="Y290" t="e">
            <v>#N/A</v>
          </cell>
          <cell r="Z290" t="e">
            <v>#N/A</v>
          </cell>
          <cell r="AA290" t="e">
            <v>#N/A</v>
          </cell>
          <cell r="AD290">
            <v>0</v>
          </cell>
        </row>
        <row r="291">
          <cell r="A291">
            <v>46482</v>
          </cell>
          <cell r="B291" t="e">
            <v>#N/A</v>
          </cell>
          <cell r="C291"/>
          <cell r="D291" t="e">
            <v>#N/A</v>
          </cell>
          <cell r="F291">
            <v>0</v>
          </cell>
          <cell r="G291" t="e">
            <v>#N/A</v>
          </cell>
          <cell r="H291">
            <v>0</v>
          </cell>
          <cell r="I291" t="e">
            <v>#N/A</v>
          </cell>
          <cell r="J291">
            <v>18</v>
          </cell>
          <cell r="K291" t="str">
            <v>XFILL_PMG100%</v>
          </cell>
          <cell r="L291">
            <v>10</v>
          </cell>
          <cell r="M291" t="str">
            <v>TA+CCL100%</v>
          </cell>
          <cell r="N291" t="e">
            <v>#N/A</v>
          </cell>
          <cell r="O291" t="e">
            <v>#N/A</v>
          </cell>
          <cell r="P291">
            <v>159</v>
          </cell>
          <cell r="Q291">
            <v>0</v>
          </cell>
          <cell r="S291">
            <v>0</v>
          </cell>
          <cell r="T291">
            <v>314.041</v>
          </cell>
          <cell r="V291">
            <v>0</v>
          </cell>
          <cell r="W291" t="e">
            <v>#N/A</v>
          </cell>
          <cell r="X291" t="e">
            <v>#N/A</v>
          </cell>
          <cell r="Y291" t="e">
            <v>#N/A</v>
          </cell>
          <cell r="Z291" t="e">
            <v>#N/A</v>
          </cell>
          <cell r="AA291" t="e">
            <v>#N/A</v>
          </cell>
          <cell r="AD291">
            <v>0</v>
          </cell>
        </row>
        <row r="292">
          <cell r="A292">
            <v>46483</v>
          </cell>
          <cell r="B292" t="e">
            <v>#N/A</v>
          </cell>
          <cell r="C292"/>
          <cell r="D292" t="e">
            <v>#N/A</v>
          </cell>
          <cell r="F292">
            <v>0</v>
          </cell>
          <cell r="G292" t="e">
            <v>#N/A</v>
          </cell>
          <cell r="H292">
            <v>0</v>
          </cell>
          <cell r="I292" t="e">
            <v>#N/A</v>
          </cell>
          <cell r="J292">
            <v>18</v>
          </cell>
          <cell r="K292" t="str">
            <v>XFILL_PMG100%</v>
          </cell>
          <cell r="L292">
            <v>10</v>
          </cell>
          <cell r="M292" t="str">
            <v>TA+CCL100%</v>
          </cell>
          <cell r="N292" t="e">
            <v>#N/A</v>
          </cell>
          <cell r="O292" t="e">
            <v>#N/A</v>
          </cell>
          <cell r="P292">
            <v>159</v>
          </cell>
          <cell r="Q292">
            <v>0</v>
          </cell>
          <cell r="S292">
            <v>0</v>
          </cell>
          <cell r="T292">
            <v>314.041</v>
          </cell>
          <cell r="V292">
            <v>0</v>
          </cell>
          <cell r="W292" t="e">
            <v>#N/A</v>
          </cell>
          <cell r="X292" t="e">
            <v>#N/A</v>
          </cell>
          <cell r="Y292" t="e">
            <v>#N/A</v>
          </cell>
          <cell r="Z292" t="e">
            <v>#N/A</v>
          </cell>
          <cell r="AA292" t="e">
            <v>#N/A</v>
          </cell>
          <cell r="AD292">
            <v>0</v>
          </cell>
        </row>
        <row r="293">
          <cell r="A293">
            <v>46484</v>
          </cell>
          <cell r="B293" t="e">
            <v>#N/A</v>
          </cell>
          <cell r="C293"/>
          <cell r="D293" t="e">
            <v>#N/A</v>
          </cell>
          <cell r="F293">
            <v>0</v>
          </cell>
          <cell r="G293" t="e">
            <v>#N/A</v>
          </cell>
          <cell r="H293">
            <v>0</v>
          </cell>
          <cell r="I293" t="e">
            <v>#N/A</v>
          </cell>
          <cell r="J293">
            <v>18</v>
          </cell>
          <cell r="K293" t="str">
            <v>XFILL_PMG100%</v>
          </cell>
          <cell r="L293">
            <v>10</v>
          </cell>
          <cell r="M293" t="str">
            <v>TA+CCL100%</v>
          </cell>
          <cell r="N293" t="e">
            <v>#N/A</v>
          </cell>
          <cell r="O293" t="e">
            <v>#N/A</v>
          </cell>
          <cell r="P293">
            <v>159</v>
          </cell>
          <cell r="Q293">
            <v>0</v>
          </cell>
          <cell r="S293">
            <v>0</v>
          </cell>
          <cell r="T293">
            <v>314.041</v>
          </cell>
          <cell r="V293">
            <v>0</v>
          </cell>
          <cell r="W293" t="e">
            <v>#N/A</v>
          </cell>
          <cell r="X293" t="e">
            <v>#N/A</v>
          </cell>
          <cell r="Y293" t="e">
            <v>#N/A</v>
          </cell>
          <cell r="Z293" t="e">
            <v>#N/A</v>
          </cell>
          <cell r="AA293" t="e">
            <v>#N/A</v>
          </cell>
          <cell r="AD293">
            <v>0</v>
          </cell>
        </row>
        <row r="294">
          <cell r="A294">
            <v>46485</v>
          </cell>
          <cell r="B294" t="e">
            <v>#N/A</v>
          </cell>
          <cell r="C294"/>
          <cell r="D294" t="e">
            <v>#N/A</v>
          </cell>
          <cell r="F294">
            <v>0</v>
          </cell>
          <cell r="G294" t="e">
            <v>#N/A</v>
          </cell>
          <cell r="H294">
            <v>0</v>
          </cell>
          <cell r="I294" t="e">
            <v>#N/A</v>
          </cell>
          <cell r="J294">
            <v>18</v>
          </cell>
          <cell r="K294" t="str">
            <v>XFILL_PMG100%</v>
          </cell>
          <cell r="L294">
            <v>10</v>
          </cell>
          <cell r="M294" t="str">
            <v>TA+CCL100%</v>
          </cell>
          <cell r="N294" t="e">
            <v>#N/A</v>
          </cell>
          <cell r="O294" t="e">
            <v>#N/A</v>
          </cell>
          <cell r="P294">
            <v>159</v>
          </cell>
          <cell r="Q294">
            <v>0</v>
          </cell>
          <cell r="S294">
            <v>0</v>
          </cell>
          <cell r="T294">
            <v>314.041</v>
          </cell>
          <cell r="V294">
            <v>0</v>
          </cell>
          <cell r="W294" t="e">
            <v>#N/A</v>
          </cell>
          <cell r="X294" t="e">
            <v>#N/A</v>
          </cell>
          <cell r="Y294" t="e">
            <v>#N/A</v>
          </cell>
          <cell r="Z294" t="e">
            <v>#N/A</v>
          </cell>
          <cell r="AA294" t="e">
            <v>#N/A</v>
          </cell>
          <cell r="AD294">
            <v>0</v>
          </cell>
        </row>
        <row r="295">
          <cell r="A295">
            <v>46486</v>
          </cell>
          <cell r="B295" t="e">
            <v>#N/A</v>
          </cell>
          <cell r="C295"/>
          <cell r="D295" t="e">
            <v>#N/A</v>
          </cell>
          <cell r="F295">
            <v>0</v>
          </cell>
          <cell r="G295" t="e">
            <v>#N/A</v>
          </cell>
          <cell r="H295">
            <v>0</v>
          </cell>
          <cell r="I295" t="e">
            <v>#N/A</v>
          </cell>
          <cell r="J295">
            <v>18</v>
          </cell>
          <cell r="K295" t="str">
            <v>XFILL_PMG100%</v>
          </cell>
          <cell r="L295">
            <v>10</v>
          </cell>
          <cell r="M295" t="str">
            <v>TA+CCL100%</v>
          </cell>
          <cell r="N295" t="e">
            <v>#N/A</v>
          </cell>
          <cell r="O295" t="e">
            <v>#N/A</v>
          </cell>
          <cell r="P295">
            <v>159</v>
          </cell>
          <cell r="Q295">
            <v>0</v>
          </cell>
          <cell r="S295">
            <v>0</v>
          </cell>
          <cell r="T295">
            <v>314.041</v>
          </cell>
          <cell r="V295">
            <v>0</v>
          </cell>
          <cell r="W295" t="e">
            <v>#N/A</v>
          </cell>
          <cell r="X295" t="e">
            <v>#N/A</v>
          </cell>
          <cell r="Y295" t="e">
            <v>#N/A</v>
          </cell>
          <cell r="Z295" t="e">
            <v>#N/A</v>
          </cell>
          <cell r="AA295" t="e">
            <v>#N/A</v>
          </cell>
          <cell r="AD295">
            <v>0</v>
          </cell>
        </row>
        <row r="296">
          <cell r="A296">
            <v>46487</v>
          </cell>
          <cell r="B296" t="e">
            <v>#N/A</v>
          </cell>
          <cell r="C296"/>
          <cell r="D296" t="e">
            <v>#N/A</v>
          </cell>
          <cell r="F296">
            <v>0</v>
          </cell>
          <cell r="G296" t="e">
            <v>#N/A</v>
          </cell>
          <cell r="H296">
            <v>0</v>
          </cell>
          <cell r="I296" t="e">
            <v>#N/A</v>
          </cell>
          <cell r="J296">
            <v>18</v>
          </cell>
          <cell r="K296" t="str">
            <v>XFILL_PMG100%</v>
          </cell>
          <cell r="L296">
            <v>10</v>
          </cell>
          <cell r="M296" t="str">
            <v>TA+CCL100%</v>
          </cell>
          <cell r="N296" t="e">
            <v>#N/A</v>
          </cell>
          <cell r="O296" t="e">
            <v>#N/A</v>
          </cell>
          <cell r="P296">
            <v>159</v>
          </cell>
          <cell r="Q296">
            <v>0</v>
          </cell>
          <cell r="S296">
            <v>0</v>
          </cell>
          <cell r="T296">
            <v>314.041</v>
          </cell>
          <cell r="V296">
            <v>0</v>
          </cell>
          <cell r="W296" t="e">
            <v>#N/A</v>
          </cell>
          <cell r="X296" t="e">
            <v>#N/A</v>
          </cell>
          <cell r="Y296" t="e">
            <v>#N/A</v>
          </cell>
          <cell r="Z296" t="e">
            <v>#N/A</v>
          </cell>
          <cell r="AA296" t="e">
            <v>#N/A</v>
          </cell>
          <cell r="AD296">
            <v>0</v>
          </cell>
        </row>
        <row r="297">
          <cell r="A297">
            <v>46488</v>
          </cell>
          <cell r="B297" t="e">
            <v>#N/A</v>
          </cell>
          <cell r="C297"/>
          <cell r="D297" t="e">
            <v>#N/A</v>
          </cell>
          <cell r="F297">
            <v>0</v>
          </cell>
          <cell r="G297" t="e">
            <v>#N/A</v>
          </cell>
          <cell r="H297">
            <v>0</v>
          </cell>
          <cell r="I297" t="e">
            <v>#N/A</v>
          </cell>
          <cell r="J297">
            <v>18</v>
          </cell>
          <cell r="K297" t="str">
            <v>XFILL_PMG100%</v>
          </cell>
          <cell r="L297">
            <v>10</v>
          </cell>
          <cell r="M297" t="str">
            <v>TA+CCL100%</v>
          </cell>
          <cell r="N297" t="e">
            <v>#N/A</v>
          </cell>
          <cell r="O297" t="e">
            <v>#N/A</v>
          </cell>
          <cell r="P297">
            <v>159</v>
          </cell>
          <cell r="Q297">
            <v>0</v>
          </cell>
          <cell r="S297">
            <v>0</v>
          </cell>
          <cell r="T297">
            <v>314.041</v>
          </cell>
          <cell r="V297">
            <v>0</v>
          </cell>
          <cell r="W297" t="e">
            <v>#N/A</v>
          </cell>
          <cell r="X297" t="e">
            <v>#N/A</v>
          </cell>
          <cell r="Y297" t="e">
            <v>#N/A</v>
          </cell>
          <cell r="Z297" t="e">
            <v>#N/A</v>
          </cell>
          <cell r="AA297" t="e">
            <v>#N/A</v>
          </cell>
          <cell r="AD297">
            <v>0</v>
          </cell>
        </row>
        <row r="298">
          <cell r="A298">
            <v>46489</v>
          </cell>
          <cell r="B298" t="e">
            <v>#N/A</v>
          </cell>
          <cell r="C298"/>
          <cell r="D298" t="e">
            <v>#N/A</v>
          </cell>
          <cell r="F298">
            <v>0</v>
          </cell>
          <cell r="G298" t="e">
            <v>#N/A</v>
          </cell>
          <cell r="H298">
            <v>0</v>
          </cell>
          <cell r="I298" t="e">
            <v>#N/A</v>
          </cell>
          <cell r="J298">
            <v>18</v>
          </cell>
          <cell r="K298" t="str">
            <v>XFILL_PMG100%</v>
          </cell>
          <cell r="L298">
            <v>10</v>
          </cell>
          <cell r="M298" t="str">
            <v>TA+CCL100%</v>
          </cell>
          <cell r="N298" t="e">
            <v>#N/A</v>
          </cell>
          <cell r="O298" t="e">
            <v>#N/A</v>
          </cell>
          <cell r="P298">
            <v>159</v>
          </cell>
          <cell r="Q298">
            <v>0</v>
          </cell>
          <cell r="S298">
            <v>0</v>
          </cell>
          <cell r="T298">
            <v>314.041</v>
          </cell>
          <cell r="V298">
            <v>0</v>
          </cell>
          <cell r="W298" t="e">
            <v>#N/A</v>
          </cell>
          <cell r="X298" t="e">
            <v>#N/A</v>
          </cell>
          <cell r="Y298" t="e">
            <v>#N/A</v>
          </cell>
          <cell r="Z298" t="e">
            <v>#N/A</v>
          </cell>
          <cell r="AA298" t="e">
            <v>#N/A</v>
          </cell>
          <cell r="AD298">
            <v>0</v>
          </cell>
        </row>
        <row r="299">
          <cell r="A299">
            <v>46490</v>
          </cell>
          <cell r="B299" t="e">
            <v>#N/A</v>
          </cell>
          <cell r="C299"/>
          <cell r="D299" t="e">
            <v>#N/A</v>
          </cell>
          <cell r="F299">
            <v>0</v>
          </cell>
          <cell r="G299" t="e">
            <v>#N/A</v>
          </cell>
          <cell r="H299">
            <v>0</v>
          </cell>
          <cell r="I299" t="e">
            <v>#N/A</v>
          </cell>
          <cell r="J299">
            <v>18</v>
          </cell>
          <cell r="K299" t="str">
            <v>XFILL_PMG100%</v>
          </cell>
          <cell r="L299">
            <v>10</v>
          </cell>
          <cell r="M299" t="str">
            <v>TA+CCL100%</v>
          </cell>
          <cell r="N299" t="e">
            <v>#N/A</v>
          </cell>
          <cell r="O299" t="e">
            <v>#N/A</v>
          </cell>
          <cell r="P299">
            <v>159</v>
          </cell>
          <cell r="Q299">
            <v>0</v>
          </cell>
          <cell r="S299">
            <v>0</v>
          </cell>
          <cell r="T299">
            <v>314.041</v>
          </cell>
          <cell r="V299">
            <v>0</v>
          </cell>
          <cell r="W299" t="e">
            <v>#N/A</v>
          </cell>
          <cell r="X299" t="e">
            <v>#N/A</v>
          </cell>
          <cell r="Y299" t="e">
            <v>#N/A</v>
          </cell>
          <cell r="Z299" t="e">
            <v>#N/A</v>
          </cell>
          <cell r="AA299" t="e">
            <v>#N/A</v>
          </cell>
          <cell r="AD299">
            <v>0</v>
          </cell>
        </row>
        <row r="300">
          <cell r="A300">
            <v>46491</v>
          </cell>
          <cell r="B300" t="e">
            <v>#N/A</v>
          </cell>
          <cell r="C300"/>
          <cell r="D300" t="e">
            <v>#N/A</v>
          </cell>
          <cell r="F300">
            <v>0</v>
          </cell>
          <cell r="G300" t="e">
            <v>#N/A</v>
          </cell>
          <cell r="H300">
            <v>0</v>
          </cell>
          <cell r="I300" t="e">
            <v>#N/A</v>
          </cell>
          <cell r="J300">
            <v>18</v>
          </cell>
          <cell r="K300" t="str">
            <v>XFILL_PMG100%</v>
          </cell>
          <cell r="L300">
            <v>10</v>
          </cell>
          <cell r="M300" t="str">
            <v>TA+CCL100%</v>
          </cell>
          <cell r="N300" t="e">
            <v>#N/A</v>
          </cell>
          <cell r="O300" t="e">
            <v>#N/A</v>
          </cell>
          <cell r="P300">
            <v>159</v>
          </cell>
          <cell r="Q300">
            <v>0</v>
          </cell>
          <cell r="S300">
            <v>0</v>
          </cell>
          <cell r="T300">
            <v>314.041</v>
          </cell>
          <cell r="V300">
            <v>0</v>
          </cell>
          <cell r="W300" t="e">
            <v>#N/A</v>
          </cell>
          <cell r="X300" t="e">
            <v>#N/A</v>
          </cell>
          <cell r="Y300" t="e">
            <v>#N/A</v>
          </cell>
          <cell r="Z300" t="e">
            <v>#N/A</v>
          </cell>
          <cell r="AA300" t="e">
            <v>#N/A</v>
          </cell>
          <cell r="AD300">
            <v>0</v>
          </cell>
        </row>
        <row r="301">
          <cell r="A301">
            <v>46492</v>
          </cell>
          <cell r="B301" t="e">
            <v>#N/A</v>
          </cell>
          <cell r="C301"/>
          <cell r="D301" t="e">
            <v>#N/A</v>
          </cell>
          <cell r="F301">
            <v>0</v>
          </cell>
          <cell r="G301" t="e">
            <v>#N/A</v>
          </cell>
          <cell r="H301">
            <v>0</v>
          </cell>
          <cell r="I301" t="e">
            <v>#N/A</v>
          </cell>
          <cell r="J301">
            <v>18</v>
          </cell>
          <cell r="K301" t="str">
            <v>XFILL_PMG100%</v>
          </cell>
          <cell r="L301">
            <v>10</v>
          </cell>
          <cell r="M301" t="str">
            <v>TA+CCL100%</v>
          </cell>
          <cell r="N301" t="e">
            <v>#N/A</v>
          </cell>
          <cell r="O301" t="e">
            <v>#N/A</v>
          </cell>
          <cell r="P301">
            <v>159</v>
          </cell>
          <cell r="Q301">
            <v>0</v>
          </cell>
          <cell r="S301">
            <v>0</v>
          </cell>
          <cell r="T301">
            <v>314.041</v>
          </cell>
          <cell r="V301">
            <v>0</v>
          </cell>
          <cell r="W301" t="e">
            <v>#N/A</v>
          </cell>
          <cell r="X301" t="e">
            <v>#N/A</v>
          </cell>
          <cell r="Y301" t="e">
            <v>#N/A</v>
          </cell>
          <cell r="Z301" t="e">
            <v>#N/A</v>
          </cell>
          <cell r="AA301" t="e">
            <v>#N/A</v>
          </cell>
          <cell r="AD301">
            <v>0</v>
          </cell>
        </row>
        <row r="302">
          <cell r="A302">
            <v>46493</v>
          </cell>
          <cell r="B302" t="e">
            <v>#N/A</v>
          </cell>
          <cell r="C302"/>
          <cell r="D302" t="e">
            <v>#N/A</v>
          </cell>
          <cell r="F302">
            <v>0</v>
          </cell>
          <cell r="G302" t="e">
            <v>#N/A</v>
          </cell>
          <cell r="H302">
            <v>0</v>
          </cell>
          <cell r="I302" t="e">
            <v>#N/A</v>
          </cell>
          <cell r="J302">
            <v>18</v>
          </cell>
          <cell r="K302" t="str">
            <v>XFILL_PMG100%</v>
          </cell>
          <cell r="L302">
            <v>10</v>
          </cell>
          <cell r="M302" t="str">
            <v>TA+CCL100%</v>
          </cell>
          <cell r="N302" t="e">
            <v>#N/A</v>
          </cell>
          <cell r="O302" t="e">
            <v>#N/A</v>
          </cell>
          <cell r="P302">
            <v>159</v>
          </cell>
          <cell r="Q302">
            <v>0</v>
          </cell>
          <cell r="S302">
            <v>0</v>
          </cell>
          <cell r="T302">
            <v>314.041</v>
          </cell>
          <cell r="V302">
            <v>0</v>
          </cell>
          <cell r="W302" t="e">
            <v>#N/A</v>
          </cell>
          <cell r="X302" t="e">
            <v>#N/A</v>
          </cell>
          <cell r="Y302" t="e">
            <v>#N/A</v>
          </cell>
          <cell r="Z302" t="e">
            <v>#N/A</v>
          </cell>
          <cell r="AA302" t="e">
            <v>#N/A</v>
          </cell>
          <cell r="AD302">
            <v>0</v>
          </cell>
        </row>
        <row r="303">
          <cell r="A303">
            <v>46494</v>
          </cell>
          <cell r="B303" t="e">
            <v>#N/A</v>
          </cell>
          <cell r="C303"/>
          <cell r="D303" t="e">
            <v>#N/A</v>
          </cell>
          <cell r="F303">
            <v>0</v>
          </cell>
          <cell r="G303" t="e">
            <v>#N/A</v>
          </cell>
          <cell r="H303">
            <v>0</v>
          </cell>
          <cell r="I303" t="e">
            <v>#N/A</v>
          </cell>
          <cell r="J303">
            <v>18</v>
          </cell>
          <cell r="K303" t="str">
            <v>XFILL_PMG100%</v>
          </cell>
          <cell r="L303">
            <v>10</v>
          </cell>
          <cell r="M303" t="str">
            <v>TA+CCL100%</v>
          </cell>
          <cell r="N303" t="e">
            <v>#N/A</v>
          </cell>
          <cell r="O303" t="e">
            <v>#N/A</v>
          </cell>
          <cell r="P303">
            <v>159</v>
          </cell>
          <cell r="Q303">
            <v>0</v>
          </cell>
          <cell r="S303">
            <v>0</v>
          </cell>
          <cell r="T303">
            <v>314.041</v>
          </cell>
          <cell r="V303">
            <v>0</v>
          </cell>
          <cell r="W303" t="e">
            <v>#N/A</v>
          </cell>
          <cell r="X303" t="e">
            <v>#N/A</v>
          </cell>
          <cell r="Y303" t="e">
            <v>#N/A</v>
          </cell>
          <cell r="Z303" t="e">
            <v>#N/A</v>
          </cell>
          <cell r="AA303" t="e">
            <v>#N/A</v>
          </cell>
          <cell r="AD303">
            <v>0</v>
          </cell>
        </row>
        <row r="304">
          <cell r="A304">
            <v>46495</v>
          </cell>
          <cell r="B304" t="e">
            <v>#N/A</v>
          </cell>
          <cell r="C304"/>
          <cell r="D304" t="e">
            <v>#N/A</v>
          </cell>
          <cell r="F304">
            <v>0</v>
          </cell>
          <cell r="G304" t="e">
            <v>#N/A</v>
          </cell>
          <cell r="H304">
            <v>0</v>
          </cell>
          <cell r="I304" t="e">
            <v>#N/A</v>
          </cell>
          <cell r="J304">
            <v>18</v>
          </cell>
          <cell r="K304" t="str">
            <v>XFILL_PMG100%</v>
          </cell>
          <cell r="L304">
            <v>10</v>
          </cell>
          <cell r="M304" t="str">
            <v>TA+CCL100%</v>
          </cell>
          <cell r="N304" t="e">
            <v>#N/A</v>
          </cell>
          <cell r="O304" t="e">
            <v>#N/A</v>
          </cell>
          <cell r="P304">
            <v>159</v>
          </cell>
          <cell r="Q304">
            <v>0</v>
          </cell>
          <cell r="S304">
            <v>0</v>
          </cell>
          <cell r="T304">
            <v>314.041</v>
          </cell>
          <cell r="V304">
            <v>0</v>
          </cell>
          <cell r="W304" t="e">
            <v>#N/A</v>
          </cell>
          <cell r="X304" t="e">
            <v>#N/A</v>
          </cell>
          <cell r="Y304" t="e">
            <v>#N/A</v>
          </cell>
          <cell r="Z304" t="e">
            <v>#N/A</v>
          </cell>
          <cell r="AA304" t="e">
            <v>#N/A</v>
          </cell>
          <cell r="AD304">
            <v>0</v>
          </cell>
        </row>
        <row r="305">
          <cell r="A305">
            <v>46496</v>
          </cell>
          <cell r="B305" t="e">
            <v>#N/A</v>
          </cell>
          <cell r="C305"/>
          <cell r="D305" t="e">
            <v>#N/A</v>
          </cell>
          <cell r="F305">
            <v>0</v>
          </cell>
          <cell r="G305" t="e">
            <v>#N/A</v>
          </cell>
          <cell r="H305">
            <v>0</v>
          </cell>
          <cell r="I305" t="e">
            <v>#N/A</v>
          </cell>
          <cell r="J305">
            <v>18</v>
          </cell>
          <cell r="K305" t="str">
            <v>XFILL_PMG100%</v>
          </cell>
          <cell r="L305">
            <v>10</v>
          </cell>
          <cell r="M305" t="str">
            <v>TA+CCL100%</v>
          </cell>
          <cell r="N305" t="e">
            <v>#N/A</v>
          </cell>
          <cell r="O305" t="e">
            <v>#N/A</v>
          </cell>
          <cell r="P305">
            <v>159</v>
          </cell>
          <cell r="Q305">
            <v>0</v>
          </cell>
          <cell r="S305">
            <v>0</v>
          </cell>
          <cell r="T305">
            <v>314.041</v>
          </cell>
          <cell r="V305">
            <v>0</v>
          </cell>
          <cell r="W305" t="e">
            <v>#N/A</v>
          </cell>
          <cell r="X305" t="e">
            <v>#N/A</v>
          </cell>
          <cell r="Y305" t="e">
            <v>#N/A</v>
          </cell>
          <cell r="Z305" t="e">
            <v>#N/A</v>
          </cell>
          <cell r="AA305" t="e">
            <v>#N/A</v>
          </cell>
          <cell r="AD305">
            <v>0</v>
          </cell>
        </row>
        <row r="306">
          <cell r="A306">
            <v>46497</v>
          </cell>
          <cell r="B306" t="e">
            <v>#N/A</v>
          </cell>
          <cell r="C306"/>
          <cell r="D306" t="e">
            <v>#N/A</v>
          </cell>
          <cell r="F306">
            <v>0</v>
          </cell>
          <cell r="G306" t="e">
            <v>#N/A</v>
          </cell>
          <cell r="H306">
            <v>0</v>
          </cell>
          <cell r="I306" t="e">
            <v>#N/A</v>
          </cell>
          <cell r="J306">
            <v>18</v>
          </cell>
          <cell r="K306" t="str">
            <v>XFILL_PMG100%</v>
          </cell>
          <cell r="L306">
            <v>10</v>
          </cell>
          <cell r="M306" t="str">
            <v>TA+CCL100%</v>
          </cell>
          <cell r="N306" t="e">
            <v>#N/A</v>
          </cell>
          <cell r="O306" t="e">
            <v>#N/A</v>
          </cell>
          <cell r="P306">
            <v>159</v>
          </cell>
          <cell r="Q306">
            <v>0</v>
          </cell>
          <cell r="S306">
            <v>0</v>
          </cell>
          <cell r="T306">
            <v>314.041</v>
          </cell>
          <cell r="V306">
            <v>0</v>
          </cell>
          <cell r="W306" t="e">
            <v>#N/A</v>
          </cell>
          <cell r="X306" t="e">
            <v>#N/A</v>
          </cell>
          <cell r="Y306" t="e">
            <v>#N/A</v>
          </cell>
          <cell r="Z306" t="e">
            <v>#N/A</v>
          </cell>
          <cell r="AA306" t="e">
            <v>#N/A</v>
          </cell>
          <cell r="AD306">
            <v>0</v>
          </cell>
        </row>
        <row r="307">
          <cell r="A307">
            <v>46498</v>
          </cell>
          <cell r="B307" t="e">
            <v>#N/A</v>
          </cell>
          <cell r="C307"/>
          <cell r="D307" t="e">
            <v>#N/A</v>
          </cell>
          <cell r="F307">
            <v>0</v>
          </cell>
          <cell r="G307" t="e">
            <v>#N/A</v>
          </cell>
          <cell r="H307">
            <v>0</v>
          </cell>
          <cell r="I307" t="e">
            <v>#N/A</v>
          </cell>
          <cell r="J307">
            <v>18</v>
          </cell>
          <cell r="K307" t="str">
            <v>XFILL_PMG100%</v>
          </cell>
          <cell r="L307">
            <v>10</v>
          </cell>
          <cell r="M307" t="str">
            <v>TA+CCL100%</v>
          </cell>
          <cell r="N307" t="e">
            <v>#N/A</v>
          </cell>
          <cell r="O307" t="e">
            <v>#N/A</v>
          </cell>
          <cell r="P307">
            <v>159</v>
          </cell>
          <cell r="Q307">
            <v>0</v>
          </cell>
          <cell r="S307">
            <v>0</v>
          </cell>
          <cell r="T307">
            <v>314.041</v>
          </cell>
          <cell r="V307">
            <v>0</v>
          </cell>
          <cell r="W307" t="e">
            <v>#N/A</v>
          </cell>
          <cell r="X307" t="e">
            <v>#N/A</v>
          </cell>
          <cell r="Y307" t="e">
            <v>#N/A</v>
          </cell>
          <cell r="Z307" t="e">
            <v>#N/A</v>
          </cell>
          <cell r="AA307" t="e">
            <v>#N/A</v>
          </cell>
          <cell r="AD307">
            <v>0</v>
          </cell>
        </row>
        <row r="308">
          <cell r="A308">
            <v>46499</v>
          </cell>
          <cell r="B308" t="e">
            <v>#N/A</v>
          </cell>
          <cell r="C308"/>
          <cell r="D308" t="e">
            <v>#N/A</v>
          </cell>
          <cell r="F308">
            <v>0</v>
          </cell>
          <cell r="G308" t="e">
            <v>#N/A</v>
          </cell>
          <cell r="H308">
            <v>0</v>
          </cell>
          <cell r="I308" t="e">
            <v>#N/A</v>
          </cell>
          <cell r="J308">
            <v>18</v>
          </cell>
          <cell r="K308" t="str">
            <v>XFILL_PMG100%</v>
          </cell>
          <cell r="L308">
            <v>10</v>
          </cell>
          <cell r="M308" t="str">
            <v>TA+CCL100%</v>
          </cell>
          <cell r="N308" t="e">
            <v>#N/A</v>
          </cell>
          <cell r="O308" t="e">
            <v>#N/A</v>
          </cell>
          <cell r="P308">
            <v>159</v>
          </cell>
          <cell r="Q308">
            <v>0</v>
          </cell>
          <cell r="S308">
            <v>0</v>
          </cell>
          <cell r="T308">
            <v>314.041</v>
          </cell>
          <cell r="V308">
            <v>0</v>
          </cell>
          <cell r="W308" t="e">
            <v>#N/A</v>
          </cell>
          <cell r="X308" t="e">
            <v>#N/A</v>
          </cell>
          <cell r="Y308" t="e">
            <v>#N/A</v>
          </cell>
          <cell r="Z308" t="e">
            <v>#N/A</v>
          </cell>
          <cell r="AA308" t="e">
            <v>#N/A</v>
          </cell>
          <cell r="AD308">
            <v>0</v>
          </cell>
        </row>
        <row r="309">
          <cell r="A309">
            <v>46500</v>
          </cell>
          <cell r="B309" t="e">
            <v>#N/A</v>
          </cell>
          <cell r="C309"/>
          <cell r="D309" t="e">
            <v>#N/A</v>
          </cell>
          <cell r="F309">
            <v>0</v>
          </cell>
          <cell r="G309" t="e">
            <v>#N/A</v>
          </cell>
          <cell r="H309">
            <v>0</v>
          </cell>
          <cell r="I309" t="e">
            <v>#N/A</v>
          </cell>
          <cell r="J309">
            <v>18</v>
          </cell>
          <cell r="K309" t="str">
            <v>XFILL_PMG100%</v>
          </cell>
          <cell r="L309">
            <v>10</v>
          </cell>
          <cell r="M309" t="str">
            <v>TA+CCL100%</v>
          </cell>
          <cell r="N309" t="e">
            <v>#N/A</v>
          </cell>
          <cell r="O309" t="e">
            <v>#N/A</v>
          </cell>
          <cell r="P309">
            <v>159</v>
          </cell>
          <cell r="Q309">
            <v>0</v>
          </cell>
          <cell r="S309">
            <v>0</v>
          </cell>
          <cell r="T309">
            <v>314.041</v>
          </cell>
          <cell r="V309">
            <v>0</v>
          </cell>
          <cell r="W309" t="e">
            <v>#N/A</v>
          </cell>
          <cell r="X309" t="e">
            <v>#N/A</v>
          </cell>
          <cell r="Y309" t="e">
            <v>#N/A</v>
          </cell>
          <cell r="Z309" t="e">
            <v>#N/A</v>
          </cell>
          <cell r="AA309" t="e">
            <v>#N/A</v>
          </cell>
          <cell r="AD309">
            <v>0</v>
          </cell>
        </row>
        <row r="310">
          <cell r="A310">
            <v>46501</v>
          </cell>
          <cell r="B310" t="e">
            <v>#N/A</v>
          </cell>
          <cell r="C310"/>
          <cell r="D310" t="e">
            <v>#N/A</v>
          </cell>
          <cell r="F310">
            <v>0</v>
          </cell>
          <cell r="G310" t="e">
            <v>#N/A</v>
          </cell>
          <cell r="H310">
            <v>0</v>
          </cell>
          <cell r="I310" t="e">
            <v>#N/A</v>
          </cell>
          <cell r="J310">
            <v>18</v>
          </cell>
          <cell r="K310" t="str">
            <v>XFILL_PMG100%</v>
          </cell>
          <cell r="L310">
            <v>10</v>
          </cell>
          <cell r="M310" t="str">
            <v>TA+CCL100%</v>
          </cell>
          <cell r="N310" t="e">
            <v>#N/A</v>
          </cell>
          <cell r="O310" t="e">
            <v>#N/A</v>
          </cell>
          <cell r="P310">
            <v>159</v>
          </cell>
          <cell r="Q310">
            <v>0</v>
          </cell>
          <cell r="S310">
            <v>0</v>
          </cell>
          <cell r="T310">
            <v>314.041</v>
          </cell>
          <cell r="V310">
            <v>0</v>
          </cell>
          <cell r="W310" t="e">
            <v>#N/A</v>
          </cell>
          <cell r="X310" t="e">
            <v>#N/A</v>
          </cell>
          <cell r="Y310" t="e">
            <v>#N/A</v>
          </cell>
          <cell r="Z310" t="e">
            <v>#N/A</v>
          </cell>
          <cell r="AA310" t="e">
            <v>#N/A</v>
          </cell>
          <cell r="AD310">
            <v>0</v>
          </cell>
        </row>
        <row r="311">
          <cell r="A311">
            <v>46502</v>
          </cell>
          <cell r="B311" t="e">
            <v>#N/A</v>
          </cell>
          <cell r="C311"/>
          <cell r="D311" t="e">
            <v>#N/A</v>
          </cell>
          <cell r="F311">
            <v>0</v>
          </cell>
          <cell r="G311" t="e">
            <v>#N/A</v>
          </cell>
          <cell r="H311">
            <v>0</v>
          </cell>
          <cell r="I311" t="e">
            <v>#N/A</v>
          </cell>
          <cell r="J311">
            <v>18</v>
          </cell>
          <cell r="K311" t="str">
            <v>XFILL_PMG100%</v>
          </cell>
          <cell r="L311">
            <v>10</v>
          </cell>
          <cell r="M311" t="str">
            <v>TA+CCL100%</v>
          </cell>
          <cell r="N311" t="e">
            <v>#N/A</v>
          </cell>
          <cell r="O311" t="e">
            <v>#N/A</v>
          </cell>
          <cell r="P311">
            <v>159</v>
          </cell>
          <cell r="Q311">
            <v>0</v>
          </cell>
          <cell r="S311">
            <v>0</v>
          </cell>
          <cell r="T311">
            <v>314.041</v>
          </cell>
          <cell r="V311">
            <v>0</v>
          </cell>
          <cell r="W311" t="e">
            <v>#N/A</v>
          </cell>
          <cell r="X311" t="e">
            <v>#N/A</v>
          </cell>
          <cell r="Y311" t="e">
            <v>#N/A</v>
          </cell>
          <cell r="Z311" t="e">
            <v>#N/A</v>
          </cell>
          <cell r="AA311" t="e">
            <v>#N/A</v>
          </cell>
          <cell r="AD311">
            <v>0</v>
          </cell>
        </row>
        <row r="312">
          <cell r="A312">
            <v>46503</v>
          </cell>
          <cell r="B312" t="e">
            <v>#N/A</v>
          </cell>
          <cell r="C312"/>
          <cell r="D312" t="e">
            <v>#N/A</v>
          </cell>
          <cell r="F312">
            <v>0</v>
          </cell>
          <cell r="G312" t="e">
            <v>#N/A</v>
          </cell>
          <cell r="H312">
            <v>0</v>
          </cell>
          <cell r="I312" t="e">
            <v>#N/A</v>
          </cell>
          <cell r="J312">
            <v>18</v>
          </cell>
          <cell r="K312" t="str">
            <v>XFILL_PMG100%</v>
          </cell>
          <cell r="L312">
            <v>10</v>
          </cell>
          <cell r="M312" t="str">
            <v>TA+CCL100%</v>
          </cell>
          <cell r="N312" t="e">
            <v>#N/A</v>
          </cell>
          <cell r="O312" t="e">
            <v>#N/A</v>
          </cell>
          <cell r="P312">
            <v>159</v>
          </cell>
          <cell r="Q312">
            <v>0</v>
          </cell>
          <cell r="S312">
            <v>0</v>
          </cell>
          <cell r="T312">
            <v>314.041</v>
          </cell>
          <cell r="V312">
            <v>0</v>
          </cell>
          <cell r="W312" t="e">
            <v>#N/A</v>
          </cell>
          <cell r="X312" t="e">
            <v>#N/A</v>
          </cell>
          <cell r="Y312" t="e">
            <v>#N/A</v>
          </cell>
          <cell r="Z312" t="e">
            <v>#N/A</v>
          </cell>
          <cell r="AA312" t="e">
            <v>#N/A</v>
          </cell>
          <cell r="AD312">
            <v>0</v>
          </cell>
        </row>
        <row r="313">
          <cell r="A313">
            <v>46504</v>
          </cell>
          <cell r="B313" t="e">
            <v>#N/A</v>
          </cell>
          <cell r="C313"/>
          <cell r="D313" t="e">
            <v>#N/A</v>
          </cell>
          <cell r="F313">
            <v>0</v>
          </cell>
          <cell r="G313" t="e">
            <v>#N/A</v>
          </cell>
          <cell r="H313">
            <v>0</v>
          </cell>
          <cell r="I313" t="e">
            <v>#N/A</v>
          </cell>
          <cell r="J313">
            <v>18</v>
          </cell>
          <cell r="K313" t="str">
            <v>XFILL_PMG100%</v>
          </cell>
          <cell r="L313">
            <v>10</v>
          </cell>
          <cell r="M313" t="str">
            <v>TA+CCL100%</v>
          </cell>
          <cell r="N313" t="e">
            <v>#N/A</v>
          </cell>
          <cell r="O313" t="e">
            <v>#N/A</v>
          </cell>
          <cell r="P313">
            <v>159</v>
          </cell>
          <cell r="Q313">
            <v>0</v>
          </cell>
          <cell r="S313">
            <v>0</v>
          </cell>
          <cell r="T313">
            <v>314.041</v>
          </cell>
          <cell r="V313">
            <v>0</v>
          </cell>
          <cell r="W313" t="e">
            <v>#N/A</v>
          </cell>
          <cell r="X313" t="e">
            <v>#N/A</v>
          </cell>
          <cell r="Y313" t="e">
            <v>#N/A</v>
          </cell>
          <cell r="Z313" t="e">
            <v>#N/A</v>
          </cell>
          <cell r="AA313" t="e">
            <v>#N/A</v>
          </cell>
          <cell r="AD313">
            <v>0</v>
          </cell>
        </row>
        <row r="314">
          <cell r="A314">
            <v>46505</v>
          </cell>
          <cell r="B314" t="e">
            <v>#N/A</v>
          </cell>
          <cell r="C314"/>
          <cell r="D314" t="e">
            <v>#N/A</v>
          </cell>
          <cell r="F314">
            <v>0</v>
          </cell>
          <cell r="G314" t="e">
            <v>#N/A</v>
          </cell>
          <cell r="H314">
            <v>0</v>
          </cell>
          <cell r="I314" t="e">
            <v>#N/A</v>
          </cell>
          <cell r="J314">
            <v>18</v>
          </cell>
          <cell r="K314" t="str">
            <v>XFILL_PMG100%</v>
          </cell>
          <cell r="L314">
            <v>10</v>
          </cell>
          <cell r="M314" t="str">
            <v>TA+CCL100%</v>
          </cell>
          <cell r="N314" t="e">
            <v>#N/A</v>
          </cell>
          <cell r="O314" t="e">
            <v>#N/A</v>
          </cell>
          <cell r="P314">
            <v>159</v>
          </cell>
          <cell r="Q314">
            <v>0</v>
          </cell>
          <cell r="S314">
            <v>0</v>
          </cell>
          <cell r="T314">
            <v>314.041</v>
          </cell>
          <cell r="V314">
            <v>0</v>
          </cell>
          <cell r="W314" t="e">
            <v>#N/A</v>
          </cell>
          <cell r="X314" t="e">
            <v>#N/A</v>
          </cell>
          <cell r="Y314" t="e">
            <v>#N/A</v>
          </cell>
          <cell r="Z314" t="e">
            <v>#N/A</v>
          </cell>
          <cell r="AA314" t="e">
            <v>#N/A</v>
          </cell>
          <cell r="AD314">
            <v>0</v>
          </cell>
        </row>
        <row r="315">
          <cell r="A315">
            <v>46506</v>
          </cell>
          <cell r="B315" t="e">
            <v>#N/A</v>
          </cell>
          <cell r="C315"/>
          <cell r="D315" t="e">
            <v>#N/A</v>
          </cell>
          <cell r="F315">
            <v>0</v>
          </cell>
          <cell r="G315" t="e">
            <v>#N/A</v>
          </cell>
          <cell r="H315">
            <v>0</v>
          </cell>
          <cell r="I315" t="e">
            <v>#N/A</v>
          </cell>
          <cell r="J315">
            <v>18</v>
          </cell>
          <cell r="K315" t="str">
            <v>XFILL_PMG100%</v>
          </cell>
          <cell r="L315">
            <v>10</v>
          </cell>
          <cell r="M315" t="str">
            <v>TA+CCL100%</v>
          </cell>
          <cell r="N315" t="e">
            <v>#N/A</v>
          </cell>
          <cell r="O315" t="e">
            <v>#N/A</v>
          </cell>
          <cell r="P315">
            <v>159</v>
          </cell>
          <cell r="Q315">
            <v>0</v>
          </cell>
          <cell r="S315">
            <v>0</v>
          </cell>
          <cell r="T315">
            <v>314.041</v>
          </cell>
          <cell r="V315">
            <v>0</v>
          </cell>
          <cell r="W315" t="e">
            <v>#N/A</v>
          </cell>
          <cell r="X315" t="e">
            <v>#N/A</v>
          </cell>
          <cell r="Y315" t="e">
            <v>#N/A</v>
          </cell>
          <cell r="Z315" t="e">
            <v>#N/A</v>
          </cell>
          <cell r="AA315" t="e">
            <v>#N/A</v>
          </cell>
          <cell r="AD315">
            <v>0</v>
          </cell>
        </row>
        <row r="316">
          <cell r="A316">
            <v>46507</v>
          </cell>
          <cell r="B316" t="e">
            <v>#N/A</v>
          </cell>
          <cell r="C316"/>
          <cell r="D316" t="e">
            <v>#N/A</v>
          </cell>
          <cell r="F316">
            <v>0</v>
          </cell>
          <cell r="G316" t="e">
            <v>#N/A</v>
          </cell>
          <cell r="H316">
            <v>0</v>
          </cell>
          <cell r="I316" t="e">
            <v>#N/A</v>
          </cell>
          <cell r="J316">
            <v>18</v>
          </cell>
          <cell r="K316" t="str">
            <v>XFILL_PMG100%</v>
          </cell>
          <cell r="L316">
            <v>10</v>
          </cell>
          <cell r="M316" t="str">
            <v>TA+CCL100%</v>
          </cell>
          <cell r="N316" t="e">
            <v>#N/A</v>
          </cell>
          <cell r="O316" t="e">
            <v>#N/A</v>
          </cell>
          <cell r="P316">
            <v>159</v>
          </cell>
          <cell r="Q316">
            <v>0</v>
          </cell>
          <cell r="S316">
            <v>0</v>
          </cell>
          <cell r="T316">
            <v>314.041</v>
          </cell>
          <cell r="V316">
            <v>0</v>
          </cell>
          <cell r="W316" t="e">
            <v>#N/A</v>
          </cell>
          <cell r="X316" t="e">
            <v>#N/A</v>
          </cell>
          <cell r="Y316" t="e">
            <v>#N/A</v>
          </cell>
          <cell r="Z316" t="e">
            <v>#N/A</v>
          </cell>
          <cell r="AA316" t="e">
            <v>#N/A</v>
          </cell>
          <cell r="AD316">
            <v>0</v>
          </cell>
        </row>
        <row r="317">
          <cell r="A317">
            <v>46508</v>
          </cell>
          <cell r="B317" t="e">
            <v>#N/A</v>
          </cell>
          <cell r="C317"/>
          <cell r="D317" t="e">
            <v>#N/A</v>
          </cell>
          <cell r="F317">
            <v>0</v>
          </cell>
          <cell r="G317" t="e">
            <v>#N/A</v>
          </cell>
          <cell r="H317">
            <v>0</v>
          </cell>
          <cell r="I317" t="e">
            <v>#N/A</v>
          </cell>
          <cell r="J317">
            <v>18</v>
          </cell>
          <cell r="K317" t="str">
            <v>XFILL_PMG100%</v>
          </cell>
          <cell r="L317">
            <v>10</v>
          </cell>
          <cell r="M317" t="str">
            <v>TA+CCL100%</v>
          </cell>
          <cell r="N317" t="e">
            <v>#N/A</v>
          </cell>
          <cell r="O317" t="e">
            <v>#N/A</v>
          </cell>
          <cell r="P317">
            <v>159</v>
          </cell>
          <cell r="Q317">
            <v>0</v>
          </cell>
          <cell r="S317">
            <v>0</v>
          </cell>
          <cell r="T317">
            <v>314.041</v>
          </cell>
          <cell r="V317">
            <v>0</v>
          </cell>
          <cell r="W317" t="e">
            <v>#N/A</v>
          </cell>
          <cell r="X317" t="e">
            <v>#N/A</v>
          </cell>
          <cell r="Y317" t="e">
            <v>#N/A</v>
          </cell>
          <cell r="Z317" t="e">
            <v>#N/A</v>
          </cell>
          <cell r="AA317" t="e">
            <v>#N/A</v>
          </cell>
          <cell r="AD317">
            <v>0</v>
          </cell>
        </row>
        <row r="318">
          <cell r="A318">
            <v>46509</v>
          </cell>
          <cell r="B318" t="e">
            <v>#N/A</v>
          </cell>
          <cell r="C318"/>
          <cell r="D318" t="e">
            <v>#N/A</v>
          </cell>
          <cell r="F318">
            <v>0</v>
          </cell>
          <cell r="G318" t="e">
            <v>#N/A</v>
          </cell>
          <cell r="H318">
            <v>0</v>
          </cell>
          <cell r="I318" t="e">
            <v>#N/A</v>
          </cell>
          <cell r="J318">
            <v>18</v>
          </cell>
          <cell r="K318" t="str">
            <v>XFILL_PMG100%</v>
          </cell>
          <cell r="L318">
            <v>10</v>
          </cell>
          <cell r="M318" t="str">
            <v>TA+CCL100%</v>
          </cell>
          <cell r="N318" t="e">
            <v>#N/A</v>
          </cell>
          <cell r="O318" t="e">
            <v>#N/A</v>
          </cell>
          <cell r="P318">
            <v>159</v>
          </cell>
          <cell r="Q318">
            <v>0</v>
          </cell>
          <cell r="S318">
            <v>0</v>
          </cell>
          <cell r="T318">
            <v>314.041</v>
          </cell>
          <cell r="V318">
            <v>0</v>
          </cell>
          <cell r="W318" t="e">
            <v>#N/A</v>
          </cell>
          <cell r="X318" t="e">
            <v>#N/A</v>
          </cell>
          <cell r="Y318" t="e">
            <v>#N/A</v>
          </cell>
          <cell r="Z318" t="e">
            <v>#N/A</v>
          </cell>
          <cell r="AA318" t="e">
            <v>#N/A</v>
          </cell>
          <cell r="AD318">
            <v>0</v>
          </cell>
        </row>
        <row r="319">
          <cell r="A319">
            <v>46510</v>
          </cell>
          <cell r="B319" t="e">
            <v>#N/A</v>
          </cell>
          <cell r="C319"/>
          <cell r="D319" t="e">
            <v>#N/A</v>
          </cell>
          <cell r="F319">
            <v>0</v>
          </cell>
          <cell r="G319" t="e">
            <v>#N/A</v>
          </cell>
          <cell r="H319">
            <v>0</v>
          </cell>
          <cell r="I319" t="e">
            <v>#N/A</v>
          </cell>
          <cell r="J319">
            <v>18</v>
          </cell>
          <cell r="K319" t="str">
            <v>XFILL_PMG100%</v>
          </cell>
          <cell r="L319">
            <v>10</v>
          </cell>
          <cell r="M319" t="str">
            <v>TA+CCL100%</v>
          </cell>
          <cell r="N319" t="e">
            <v>#N/A</v>
          </cell>
          <cell r="O319" t="e">
            <v>#N/A</v>
          </cell>
          <cell r="P319">
            <v>159</v>
          </cell>
          <cell r="Q319">
            <v>0</v>
          </cell>
          <cell r="S319">
            <v>0</v>
          </cell>
          <cell r="T319">
            <v>314.041</v>
          </cell>
          <cell r="V319">
            <v>0</v>
          </cell>
          <cell r="W319" t="e">
            <v>#N/A</v>
          </cell>
          <cell r="X319" t="e">
            <v>#N/A</v>
          </cell>
          <cell r="Y319" t="e">
            <v>#N/A</v>
          </cell>
          <cell r="Z319" t="e">
            <v>#N/A</v>
          </cell>
          <cell r="AA319" t="e">
            <v>#N/A</v>
          </cell>
          <cell r="AD319">
            <v>0</v>
          </cell>
        </row>
        <row r="320">
          <cell r="A320">
            <v>46511</v>
          </cell>
          <cell r="B320" t="e">
            <v>#N/A</v>
          </cell>
          <cell r="C320"/>
          <cell r="D320" t="e">
            <v>#N/A</v>
          </cell>
          <cell r="F320">
            <v>0</v>
          </cell>
          <cell r="G320" t="e">
            <v>#N/A</v>
          </cell>
          <cell r="H320">
            <v>0</v>
          </cell>
          <cell r="I320" t="e">
            <v>#N/A</v>
          </cell>
          <cell r="J320">
            <v>18</v>
          </cell>
          <cell r="K320" t="str">
            <v>XFILL_PMG100%</v>
          </cell>
          <cell r="L320">
            <v>10</v>
          </cell>
          <cell r="M320" t="str">
            <v>TA+CCL100%</v>
          </cell>
          <cell r="N320" t="e">
            <v>#N/A</v>
          </cell>
          <cell r="O320" t="e">
            <v>#N/A</v>
          </cell>
          <cell r="P320">
            <v>159</v>
          </cell>
          <cell r="Q320">
            <v>0</v>
          </cell>
          <cell r="S320">
            <v>0</v>
          </cell>
          <cell r="T320">
            <v>314.041</v>
          </cell>
          <cell r="V320">
            <v>0</v>
          </cell>
          <cell r="W320" t="e">
            <v>#N/A</v>
          </cell>
          <cell r="X320" t="e">
            <v>#N/A</v>
          </cell>
          <cell r="Y320" t="e">
            <v>#N/A</v>
          </cell>
          <cell r="Z320" t="e">
            <v>#N/A</v>
          </cell>
          <cell r="AA320" t="e">
            <v>#N/A</v>
          </cell>
          <cell r="AD320">
            <v>0</v>
          </cell>
        </row>
        <row r="321">
          <cell r="A321">
            <v>46512</v>
          </cell>
          <cell r="B321" t="e">
            <v>#N/A</v>
          </cell>
          <cell r="C321"/>
          <cell r="D321" t="e">
            <v>#N/A</v>
          </cell>
          <cell r="F321">
            <v>0</v>
          </cell>
          <cell r="G321" t="e">
            <v>#N/A</v>
          </cell>
          <cell r="H321">
            <v>0</v>
          </cell>
          <cell r="I321" t="e">
            <v>#N/A</v>
          </cell>
          <cell r="J321">
            <v>18</v>
          </cell>
          <cell r="K321" t="str">
            <v>XFILL_PMG100%</v>
          </cell>
          <cell r="L321">
            <v>10</v>
          </cell>
          <cell r="M321" t="str">
            <v>TA+CCL100%</v>
          </cell>
          <cell r="N321" t="e">
            <v>#N/A</v>
          </cell>
          <cell r="O321" t="e">
            <v>#N/A</v>
          </cell>
          <cell r="P321">
            <v>159</v>
          </cell>
          <cell r="Q321">
            <v>0</v>
          </cell>
          <cell r="S321">
            <v>0</v>
          </cell>
          <cell r="T321">
            <v>314.041</v>
          </cell>
          <cell r="V321">
            <v>0</v>
          </cell>
          <cell r="W321" t="e">
            <v>#N/A</v>
          </cell>
          <cell r="X321" t="e">
            <v>#N/A</v>
          </cell>
          <cell r="Y321" t="e">
            <v>#N/A</v>
          </cell>
          <cell r="Z321" t="e">
            <v>#N/A</v>
          </cell>
          <cell r="AA321" t="e">
            <v>#N/A</v>
          </cell>
          <cell r="AD321">
            <v>0</v>
          </cell>
        </row>
        <row r="322">
          <cell r="A322">
            <v>46513</v>
          </cell>
          <cell r="B322" t="e">
            <v>#N/A</v>
          </cell>
          <cell r="C322"/>
          <cell r="D322" t="e">
            <v>#N/A</v>
          </cell>
          <cell r="F322">
            <v>0</v>
          </cell>
          <cell r="G322" t="e">
            <v>#N/A</v>
          </cell>
          <cell r="H322">
            <v>0</v>
          </cell>
          <cell r="I322" t="e">
            <v>#N/A</v>
          </cell>
          <cell r="J322">
            <v>18</v>
          </cell>
          <cell r="K322" t="str">
            <v>XFILL_PMG100%</v>
          </cell>
          <cell r="L322">
            <v>10</v>
          </cell>
          <cell r="M322" t="str">
            <v>TA+CCL100%</v>
          </cell>
          <cell r="N322" t="e">
            <v>#N/A</v>
          </cell>
          <cell r="O322" t="e">
            <v>#N/A</v>
          </cell>
          <cell r="P322">
            <v>159</v>
          </cell>
          <cell r="Q322">
            <v>0</v>
          </cell>
          <cell r="S322">
            <v>0</v>
          </cell>
          <cell r="T322">
            <v>314.041</v>
          </cell>
          <cell r="V322">
            <v>0</v>
          </cell>
          <cell r="W322" t="e">
            <v>#N/A</v>
          </cell>
          <cell r="X322" t="e">
            <v>#N/A</v>
          </cell>
          <cell r="Y322" t="e">
            <v>#N/A</v>
          </cell>
          <cell r="Z322" t="e">
            <v>#N/A</v>
          </cell>
          <cell r="AA322" t="e">
            <v>#N/A</v>
          </cell>
          <cell r="AD322">
            <v>0</v>
          </cell>
        </row>
        <row r="323">
          <cell r="A323">
            <v>46514</v>
          </cell>
          <cell r="B323" t="e">
            <v>#N/A</v>
          </cell>
          <cell r="C323"/>
          <cell r="D323" t="e">
            <v>#N/A</v>
          </cell>
          <cell r="F323">
            <v>0</v>
          </cell>
          <cell r="G323" t="e">
            <v>#N/A</v>
          </cell>
          <cell r="H323">
            <v>0</v>
          </cell>
          <cell r="I323" t="e">
            <v>#N/A</v>
          </cell>
          <cell r="J323">
            <v>18</v>
          </cell>
          <cell r="K323" t="str">
            <v>XFILL_PMG100%</v>
          </cell>
          <cell r="L323">
            <v>10</v>
          </cell>
          <cell r="M323" t="str">
            <v>TA+CCL100%</v>
          </cell>
          <cell r="N323" t="e">
            <v>#N/A</v>
          </cell>
          <cell r="O323" t="e">
            <v>#N/A</v>
          </cell>
          <cell r="P323">
            <v>159</v>
          </cell>
          <cell r="Q323">
            <v>0</v>
          </cell>
          <cell r="S323">
            <v>0</v>
          </cell>
          <cell r="T323">
            <v>314.041</v>
          </cell>
          <cell r="V323">
            <v>0</v>
          </cell>
          <cell r="W323" t="e">
            <v>#N/A</v>
          </cell>
          <cell r="X323" t="e">
            <v>#N/A</v>
          </cell>
          <cell r="Y323" t="e">
            <v>#N/A</v>
          </cell>
          <cell r="Z323" t="e">
            <v>#N/A</v>
          </cell>
          <cell r="AA323" t="e">
            <v>#N/A</v>
          </cell>
          <cell r="AD323">
            <v>0</v>
          </cell>
        </row>
        <row r="324">
          <cell r="A324">
            <v>46515</v>
          </cell>
          <cell r="B324" t="e">
            <v>#N/A</v>
          </cell>
          <cell r="C324"/>
          <cell r="D324" t="e">
            <v>#N/A</v>
          </cell>
          <cell r="F324">
            <v>0</v>
          </cell>
          <cell r="G324" t="e">
            <v>#N/A</v>
          </cell>
          <cell r="H324">
            <v>0</v>
          </cell>
          <cell r="I324" t="e">
            <v>#N/A</v>
          </cell>
          <cell r="J324">
            <v>18</v>
          </cell>
          <cell r="K324" t="str">
            <v>XFILL_PMG100%</v>
          </cell>
          <cell r="L324">
            <v>10</v>
          </cell>
          <cell r="M324" t="str">
            <v>TA+CCL100%</v>
          </cell>
          <cell r="N324" t="e">
            <v>#N/A</v>
          </cell>
          <cell r="O324" t="e">
            <v>#N/A</v>
          </cell>
          <cell r="P324">
            <v>159</v>
          </cell>
          <cell r="Q324">
            <v>0</v>
          </cell>
          <cell r="S324">
            <v>0</v>
          </cell>
          <cell r="T324">
            <v>314.041</v>
          </cell>
          <cell r="V324">
            <v>0</v>
          </cell>
          <cell r="W324" t="e">
            <v>#N/A</v>
          </cell>
          <cell r="X324" t="e">
            <v>#N/A</v>
          </cell>
          <cell r="Y324" t="e">
            <v>#N/A</v>
          </cell>
          <cell r="Z324" t="e">
            <v>#N/A</v>
          </cell>
          <cell r="AA324" t="e">
            <v>#N/A</v>
          </cell>
          <cell r="AD324">
            <v>0</v>
          </cell>
        </row>
        <row r="325">
          <cell r="A325">
            <v>46516</v>
          </cell>
          <cell r="B325" t="e">
            <v>#N/A</v>
          </cell>
          <cell r="C325"/>
          <cell r="D325" t="e">
            <v>#N/A</v>
          </cell>
          <cell r="F325">
            <v>0</v>
          </cell>
          <cell r="G325" t="e">
            <v>#N/A</v>
          </cell>
          <cell r="H325">
            <v>0</v>
          </cell>
          <cell r="I325" t="e">
            <v>#N/A</v>
          </cell>
          <cell r="J325">
            <v>18</v>
          </cell>
          <cell r="K325" t="str">
            <v>XFILL_PMG100%</v>
          </cell>
          <cell r="L325">
            <v>10</v>
          </cell>
          <cell r="M325" t="str">
            <v>TA+CCL100%</v>
          </cell>
          <cell r="N325" t="e">
            <v>#N/A</v>
          </cell>
          <cell r="O325" t="e">
            <v>#N/A</v>
          </cell>
          <cell r="P325">
            <v>159</v>
          </cell>
          <cell r="Q325">
            <v>0</v>
          </cell>
          <cell r="S325">
            <v>0</v>
          </cell>
          <cell r="T325">
            <v>314.041</v>
          </cell>
          <cell r="V325">
            <v>0</v>
          </cell>
          <cell r="W325" t="e">
            <v>#N/A</v>
          </cell>
          <cell r="X325" t="e">
            <v>#N/A</v>
          </cell>
          <cell r="Y325" t="e">
            <v>#N/A</v>
          </cell>
          <cell r="Z325" t="e">
            <v>#N/A</v>
          </cell>
          <cell r="AA325" t="e">
            <v>#N/A</v>
          </cell>
          <cell r="AD325">
            <v>0</v>
          </cell>
        </row>
        <row r="326">
          <cell r="A326">
            <v>46517</v>
          </cell>
          <cell r="B326" t="e">
            <v>#N/A</v>
          </cell>
          <cell r="C326"/>
          <cell r="D326" t="e">
            <v>#N/A</v>
          </cell>
          <cell r="F326">
            <v>0</v>
          </cell>
          <cell r="G326" t="e">
            <v>#N/A</v>
          </cell>
          <cell r="H326">
            <v>0</v>
          </cell>
          <cell r="I326" t="e">
            <v>#N/A</v>
          </cell>
          <cell r="J326">
            <v>18</v>
          </cell>
          <cell r="K326" t="str">
            <v>XFILL_PMG100%</v>
          </cell>
          <cell r="L326">
            <v>10</v>
          </cell>
          <cell r="M326" t="str">
            <v>TA+CCL100%</v>
          </cell>
          <cell r="N326" t="e">
            <v>#N/A</v>
          </cell>
          <cell r="O326" t="e">
            <v>#N/A</v>
          </cell>
          <cell r="P326">
            <v>159</v>
          </cell>
          <cell r="Q326">
            <v>0</v>
          </cell>
          <cell r="S326">
            <v>0</v>
          </cell>
          <cell r="T326">
            <v>314.041</v>
          </cell>
          <cell r="V326">
            <v>0</v>
          </cell>
          <cell r="W326" t="e">
            <v>#N/A</v>
          </cell>
          <cell r="X326" t="e">
            <v>#N/A</v>
          </cell>
          <cell r="Y326" t="e">
            <v>#N/A</v>
          </cell>
          <cell r="Z326" t="e">
            <v>#N/A</v>
          </cell>
          <cell r="AA326" t="e">
            <v>#N/A</v>
          </cell>
          <cell r="AD326">
            <v>0</v>
          </cell>
        </row>
        <row r="327">
          <cell r="A327">
            <v>46518</v>
          </cell>
          <cell r="B327" t="e">
            <v>#N/A</v>
          </cell>
          <cell r="C327"/>
          <cell r="D327" t="e">
            <v>#N/A</v>
          </cell>
          <cell r="F327">
            <v>0</v>
          </cell>
          <cell r="G327" t="e">
            <v>#N/A</v>
          </cell>
          <cell r="H327">
            <v>0</v>
          </cell>
          <cell r="I327" t="e">
            <v>#N/A</v>
          </cell>
          <cell r="J327">
            <v>18</v>
          </cell>
          <cell r="K327" t="str">
            <v>XFILL_PMG100%</v>
          </cell>
          <cell r="L327">
            <v>10</v>
          </cell>
          <cell r="M327" t="str">
            <v>TA+CCL100%</v>
          </cell>
          <cell r="N327" t="e">
            <v>#N/A</v>
          </cell>
          <cell r="O327" t="e">
            <v>#N/A</v>
          </cell>
          <cell r="P327">
            <v>159</v>
          </cell>
          <cell r="Q327">
            <v>0</v>
          </cell>
          <cell r="S327">
            <v>0</v>
          </cell>
          <cell r="T327">
            <v>314.041</v>
          </cell>
          <cell r="V327">
            <v>0</v>
          </cell>
          <cell r="W327" t="e">
            <v>#N/A</v>
          </cell>
          <cell r="X327" t="e">
            <v>#N/A</v>
          </cell>
          <cell r="Y327" t="e">
            <v>#N/A</v>
          </cell>
          <cell r="Z327" t="e">
            <v>#N/A</v>
          </cell>
          <cell r="AA327" t="e">
            <v>#N/A</v>
          </cell>
          <cell r="AD327">
            <v>0</v>
          </cell>
        </row>
        <row r="328">
          <cell r="A328">
            <v>46519</v>
          </cell>
          <cell r="B328" t="e">
            <v>#N/A</v>
          </cell>
          <cell r="C328"/>
          <cell r="D328" t="e">
            <v>#N/A</v>
          </cell>
          <cell r="F328">
            <v>0</v>
          </cell>
          <cell r="G328" t="e">
            <v>#N/A</v>
          </cell>
          <cell r="H328">
            <v>0</v>
          </cell>
          <cell r="I328" t="e">
            <v>#N/A</v>
          </cell>
          <cell r="J328">
            <v>18</v>
          </cell>
          <cell r="K328" t="str">
            <v>XFILL_PMG100%</v>
          </cell>
          <cell r="L328">
            <v>10</v>
          </cell>
          <cell r="M328" t="str">
            <v>TA+CCL100%</v>
          </cell>
          <cell r="N328" t="e">
            <v>#N/A</v>
          </cell>
          <cell r="O328" t="e">
            <v>#N/A</v>
          </cell>
          <cell r="P328">
            <v>159</v>
          </cell>
          <cell r="Q328">
            <v>0</v>
          </cell>
          <cell r="S328">
            <v>0</v>
          </cell>
          <cell r="T328">
            <v>314.041</v>
          </cell>
          <cell r="V328">
            <v>0</v>
          </cell>
          <cell r="W328" t="e">
            <v>#N/A</v>
          </cell>
          <cell r="X328" t="e">
            <v>#N/A</v>
          </cell>
          <cell r="Y328" t="e">
            <v>#N/A</v>
          </cell>
          <cell r="Z328" t="e">
            <v>#N/A</v>
          </cell>
          <cell r="AA328" t="e">
            <v>#N/A</v>
          </cell>
          <cell r="AD328">
            <v>0</v>
          </cell>
        </row>
        <row r="329">
          <cell r="A329">
            <v>46520</v>
          </cell>
          <cell r="B329" t="e">
            <v>#N/A</v>
          </cell>
          <cell r="C329"/>
          <cell r="D329" t="e">
            <v>#N/A</v>
          </cell>
          <cell r="F329">
            <v>0</v>
          </cell>
          <cell r="G329" t="e">
            <v>#N/A</v>
          </cell>
          <cell r="H329">
            <v>0</v>
          </cell>
          <cell r="I329" t="e">
            <v>#N/A</v>
          </cell>
          <cell r="J329">
            <v>18</v>
          </cell>
          <cell r="K329" t="str">
            <v>XFILL_PMG100%</v>
          </cell>
          <cell r="L329">
            <v>10</v>
          </cell>
          <cell r="M329" t="str">
            <v>TA+CCL100%</v>
          </cell>
          <cell r="N329" t="e">
            <v>#N/A</v>
          </cell>
          <cell r="O329" t="e">
            <v>#N/A</v>
          </cell>
          <cell r="P329">
            <v>159</v>
          </cell>
          <cell r="Q329">
            <v>0</v>
          </cell>
          <cell r="S329">
            <v>0</v>
          </cell>
          <cell r="T329">
            <v>314.041</v>
          </cell>
          <cell r="V329">
            <v>0</v>
          </cell>
          <cell r="W329" t="e">
            <v>#N/A</v>
          </cell>
          <cell r="X329" t="e">
            <v>#N/A</v>
          </cell>
          <cell r="Y329" t="e">
            <v>#N/A</v>
          </cell>
          <cell r="Z329" t="e">
            <v>#N/A</v>
          </cell>
          <cell r="AA329" t="e">
            <v>#N/A</v>
          </cell>
          <cell r="AD329">
            <v>0</v>
          </cell>
        </row>
        <row r="330">
          <cell r="A330">
            <v>46521</v>
          </cell>
          <cell r="B330" t="e">
            <v>#N/A</v>
          </cell>
          <cell r="C330"/>
          <cell r="D330" t="e">
            <v>#N/A</v>
          </cell>
          <cell r="F330">
            <v>0</v>
          </cell>
          <cell r="G330" t="e">
            <v>#N/A</v>
          </cell>
          <cell r="H330">
            <v>0</v>
          </cell>
          <cell r="I330" t="e">
            <v>#N/A</v>
          </cell>
          <cell r="J330">
            <v>18</v>
          </cell>
          <cell r="K330" t="str">
            <v>XFILL_PMG100%</v>
          </cell>
          <cell r="L330">
            <v>10</v>
          </cell>
          <cell r="M330" t="str">
            <v>TA+CCL100%</v>
          </cell>
          <cell r="N330" t="e">
            <v>#N/A</v>
          </cell>
          <cell r="O330" t="e">
            <v>#N/A</v>
          </cell>
          <cell r="P330">
            <v>159</v>
          </cell>
          <cell r="Q330">
            <v>0</v>
          </cell>
          <cell r="S330">
            <v>0</v>
          </cell>
          <cell r="T330">
            <v>314.041</v>
          </cell>
          <cell r="V330">
            <v>0</v>
          </cell>
          <cell r="W330" t="e">
            <v>#N/A</v>
          </cell>
          <cell r="X330" t="e">
            <v>#N/A</v>
          </cell>
          <cell r="Y330" t="e">
            <v>#N/A</v>
          </cell>
          <cell r="Z330" t="e">
            <v>#N/A</v>
          </cell>
          <cell r="AA330" t="e">
            <v>#N/A</v>
          </cell>
          <cell r="AD330">
            <v>0</v>
          </cell>
        </row>
        <row r="331">
          <cell r="A331">
            <v>46522</v>
          </cell>
          <cell r="B331" t="e">
            <v>#N/A</v>
          </cell>
          <cell r="C331"/>
          <cell r="D331" t="e">
            <v>#N/A</v>
          </cell>
          <cell r="F331">
            <v>0</v>
          </cell>
          <cell r="G331" t="e">
            <v>#N/A</v>
          </cell>
          <cell r="H331">
            <v>0</v>
          </cell>
          <cell r="I331" t="e">
            <v>#N/A</v>
          </cell>
          <cell r="J331">
            <v>18</v>
          </cell>
          <cell r="K331" t="str">
            <v>XFILL_PMG100%</v>
          </cell>
          <cell r="L331">
            <v>10</v>
          </cell>
          <cell r="M331" t="str">
            <v>TA+CCL100%</v>
          </cell>
          <cell r="N331" t="e">
            <v>#N/A</v>
          </cell>
          <cell r="O331" t="e">
            <v>#N/A</v>
          </cell>
          <cell r="P331">
            <v>159</v>
          </cell>
          <cell r="Q331">
            <v>0</v>
          </cell>
          <cell r="S331">
            <v>0</v>
          </cell>
          <cell r="T331">
            <v>314.041</v>
          </cell>
          <cell r="V331">
            <v>0</v>
          </cell>
          <cell r="W331" t="e">
            <v>#N/A</v>
          </cell>
          <cell r="X331" t="e">
            <v>#N/A</v>
          </cell>
          <cell r="Y331" t="e">
            <v>#N/A</v>
          </cell>
          <cell r="Z331" t="e">
            <v>#N/A</v>
          </cell>
          <cell r="AA331" t="e">
            <v>#N/A</v>
          </cell>
          <cell r="AD331">
            <v>0</v>
          </cell>
        </row>
        <row r="332">
          <cell r="A332">
            <v>46523</v>
          </cell>
          <cell r="B332" t="e">
            <v>#N/A</v>
          </cell>
          <cell r="C332"/>
          <cell r="D332" t="e">
            <v>#N/A</v>
          </cell>
          <cell r="F332">
            <v>0</v>
          </cell>
          <cell r="G332" t="e">
            <v>#N/A</v>
          </cell>
          <cell r="H332">
            <v>0</v>
          </cell>
          <cell r="I332" t="e">
            <v>#N/A</v>
          </cell>
          <cell r="J332">
            <v>18</v>
          </cell>
          <cell r="K332" t="str">
            <v>XFILL_PMG100%</v>
          </cell>
          <cell r="L332">
            <v>10</v>
          </cell>
          <cell r="M332" t="str">
            <v>TA+CCL100%</v>
          </cell>
          <cell r="N332" t="e">
            <v>#N/A</v>
          </cell>
          <cell r="O332" t="e">
            <v>#N/A</v>
          </cell>
          <cell r="P332">
            <v>159</v>
          </cell>
          <cell r="Q332">
            <v>0</v>
          </cell>
          <cell r="S332">
            <v>0</v>
          </cell>
          <cell r="T332">
            <v>314.041</v>
          </cell>
          <cell r="V332">
            <v>0</v>
          </cell>
          <cell r="W332" t="e">
            <v>#N/A</v>
          </cell>
          <cell r="X332" t="e">
            <v>#N/A</v>
          </cell>
          <cell r="Y332" t="e">
            <v>#N/A</v>
          </cell>
          <cell r="Z332" t="e">
            <v>#N/A</v>
          </cell>
          <cell r="AA332" t="e">
            <v>#N/A</v>
          </cell>
          <cell r="AD332">
            <v>0</v>
          </cell>
        </row>
        <row r="333">
          <cell r="A333">
            <v>46524</v>
          </cell>
          <cell r="B333" t="e">
            <v>#N/A</v>
          </cell>
          <cell r="C333"/>
          <cell r="D333" t="e">
            <v>#N/A</v>
          </cell>
          <cell r="F333">
            <v>0</v>
          </cell>
          <cell r="G333" t="e">
            <v>#N/A</v>
          </cell>
          <cell r="H333">
            <v>0</v>
          </cell>
          <cell r="I333" t="e">
            <v>#N/A</v>
          </cell>
          <cell r="J333">
            <v>18</v>
          </cell>
          <cell r="K333" t="str">
            <v>XFILL_PMG100%</v>
          </cell>
          <cell r="L333">
            <v>10</v>
          </cell>
          <cell r="M333" t="str">
            <v>TA+CCL100%</v>
          </cell>
          <cell r="N333" t="e">
            <v>#N/A</v>
          </cell>
          <cell r="O333" t="e">
            <v>#N/A</v>
          </cell>
          <cell r="P333">
            <v>159</v>
          </cell>
          <cell r="Q333">
            <v>0</v>
          </cell>
          <cell r="S333">
            <v>0</v>
          </cell>
          <cell r="T333">
            <v>314.041</v>
          </cell>
          <cell r="V333">
            <v>0</v>
          </cell>
          <cell r="W333" t="e">
            <v>#N/A</v>
          </cell>
          <cell r="X333" t="e">
            <v>#N/A</v>
          </cell>
          <cell r="Y333" t="e">
            <v>#N/A</v>
          </cell>
          <cell r="Z333" t="e">
            <v>#N/A</v>
          </cell>
          <cell r="AA333" t="e">
            <v>#N/A</v>
          </cell>
          <cell r="AD333">
            <v>0</v>
          </cell>
        </row>
        <row r="334">
          <cell r="A334">
            <v>46525</v>
          </cell>
          <cell r="B334" t="e">
            <v>#N/A</v>
          </cell>
          <cell r="C334"/>
          <cell r="D334" t="e">
            <v>#N/A</v>
          </cell>
          <cell r="F334">
            <v>0</v>
          </cell>
          <cell r="G334" t="e">
            <v>#N/A</v>
          </cell>
          <cell r="H334">
            <v>0</v>
          </cell>
          <cell r="I334" t="e">
            <v>#N/A</v>
          </cell>
          <cell r="J334">
            <v>18</v>
          </cell>
          <cell r="K334" t="str">
            <v>XFILL_PMG100%</v>
          </cell>
          <cell r="L334">
            <v>10</v>
          </cell>
          <cell r="M334" t="str">
            <v>TA+CCL100%</v>
          </cell>
          <cell r="N334" t="e">
            <v>#N/A</v>
          </cell>
          <cell r="O334" t="e">
            <v>#N/A</v>
          </cell>
          <cell r="P334">
            <v>159</v>
          </cell>
          <cell r="Q334">
            <v>0</v>
          </cell>
          <cell r="S334">
            <v>0</v>
          </cell>
          <cell r="T334">
            <v>314.041</v>
          </cell>
          <cell r="V334">
            <v>0</v>
          </cell>
          <cell r="W334" t="e">
            <v>#N/A</v>
          </cell>
          <cell r="X334" t="e">
            <v>#N/A</v>
          </cell>
          <cell r="Y334" t="e">
            <v>#N/A</v>
          </cell>
          <cell r="Z334" t="e">
            <v>#N/A</v>
          </cell>
          <cell r="AA334" t="e">
            <v>#N/A</v>
          </cell>
          <cell r="AD334">
            <v>0</v>
          </cell>
        </row>
        <row r="335">
          <cell r="A335">
            <v>46526</v>
          </cell>
          <cell r="B335" t="e">
            <v>#N/A</v>
          </cell>
          <cell r="C335"/>
          <cell r="D335" t="e">
            <v>#N/A</v>
          </cell>
          <cell r="F335">
            <v>0</v>
          </cell>
          <cell r="G335" t="e">
            <v>#N/A</v>
          </cell>
          <cell r="H335">
            <v>0</v>
          </cell>
          <cell r="I335" t="e">
            <v>#N/A</v>
          </cell>
          <cell r="J335">
            <v>18</v>
          </cell>
          <cell r="K335" t="str">
            <v>XFILL_PMG100%</v>
          </cell>
          <cell r="L335">
            <v>10</v>
          </cell>
          <cell r="M335" t="str">
            <v>TA+CCL100%</v>
          </cell>
          <cell r="N335" t="e">
            <v>#N/A</v>
          </cell>
          <cell r="O335" t="e">
            <v>#N/A</v>
          </cell>
          <cell r="P335">
            <v>159</v>
          </cell>
          <cell r="Q335">
            <v>0</v>
          </cell>
          <cell r="S335">
            <v>0</v>
          </cell>
          <cell r="T335">
            <v>314.041</v>
          </cell>
          <cell r="V335">
            <v>0</v>
          </cell>
          <cell r="W335" t="e">
            <v>#N/A</v>
          </cell>
          <cell r="X335" t="e">
            <v>#N/A</v>
          </cell>
          <cell r="Y335" t="e">
            <v>#N/A</v>
          </cell>
          <cell r="Z335" t="e">
            <v>#N/A</v>
          </cell>
          <cell r="AA335" t="e">
            <v>#N/A</v>
          </cell>
          <cell r="AD335">
            <v>0</v>
          </cell>
        </row>
        <row r="336">
          <cell r="A336">
            <v>46527</v>
          </cell>
          <cell r="B336" t="e">
            <v>#N/A</v>
          </cell>
          <cell r="C336"/>
          <cell r="D336" t="e">
            <v>#N/A</v>
          </cell>
          <cell r="F336">
            <v>0</v>
          </cell>
          <cell r="G336" t="e">
            <v>#N/A</v>
          </cell>
          <cell r="H336">
            <v>0</v>
          </cell>
          <cell r="I336" t="e">
            <v>#N/A</v>
          </cell>
          <cell r="J336">
            <v>18</v>
          </cell>
          <cell r="K336" t="str">
            <v>XFILL_PMG100%</v>
          </cell>
          <cell r="L336">
            <v>10</v>
          </cell>
          <cell r="M336" t="str">
            <v>TA+CCL100%</v>
          </cell>
          <cell r="N336" t="e">
            <v>#N/A</v>
          </cell>
          <cell r="O336" t="e">
            <v>#N/A</v>
          </cell>
          <cell r="P336">
            <v>159</v>
          </cell>
          <cell r="Q336">
            <v>0</v>
          </cell>
          <cell r="S336">
            <v>0</v>
          </cell>
          <cell r="T336">
            <v>314.041</v>
          </cell>
          <cell r="V336">
            <v>0</v>
          </cell>
          <cell r="W336" t="e">
            <v>#N/A</v>
          </cell>
          <cell r="X336" t="e">
            <v>#N/A</v>
          </cell>
          <cell r="Y336" t="e">
            <v>#N/A</v>
          </cell>
          <cell r="Z336" t="e">
            <v>#N/A</v>
          </cell>
          <cell r="AA336" t="e">
            <v>#N/A</v>
          </cell>
          <cell r="AD336">
            <v>0</v>
          </cell>
        </row>
        <row r="337">
          <cell r="A337">
            <v>46528</v>
          </cell>
          <cell r="B337" t="e">
            <v>#N/A</v>
          </cell>
          <cell r="C337"/>
          <cell r="D337" t="e">
            <v>#N/A</v>
          </cell>
          <cell r="F337">
            <v>0</v>
          </cell>
          <cell r="G337" t="e">
            <v>#N/A</v>
          </cell>
          <cell r="H337">
            <v>0</v>
          </cell>
          <cell r="I337" t="e">
            <v>#N/A</v>
          </cell>
          <cell r="J337">
            <v>18</v>
          </cell>
          <cell r="K337" t="str">
            <v>XFILL_PMG100%</v>
          </cell>
          <cell r="L337">
            <v>10</v>
          </cell>
          <cell r="M337" t="str">
            <v>TA+CCL100%</v>
          </cell>
          <cell r="N337" t="e">
            <v>#N/A</v>
          </cell>
          <cell r="O337" t="e">
            <v>#N/A</v>
          </cell>
          <cell r="P337">
            <v>159</v>
          </cell>
          <cell r="Q337">
            <v>0</v>
          </cell>
          <cell r="S337">
            <v>0</v>
          </cell>
          <cell r="T337">
            <v>314.041</v>
          </cell>
          <cell r="V337">
            <v>0</v>
          </cell>
          <cell r="W337" t="e">
            <v>#N/A</v>
          </cell>
          <cell r="X337" t="e">
            <v>#N/A</v>
          </cell>
          <cell r="Y337" t="e">
            <v>#N/A</v>
          </cell>
          <cell r="Z337" t="e">
            <v>#N/A</v>
          </cell>
          <cell r="AA337" t="e">
            <v>#N/A</v>
          </cell>
          <cell r="AD337">
            <v>0</v>
          </cell>
        </row>
        <row r="338">
          <cell r="A338">
            <v>46529</v>
          </cell>
          <cell r="B338" t="e">
            <v>#N/A</v>
          </cell>
          <cell r="C338"/>
          <cell r="D338" t="e">
            <v>#N/A</v>
          </cell>
          <cell r="F338">
            <v>0</v>
          </cell>
          <cell r="G338" t="e">
            <v>#N/A</v>
          </cell>
          <cell r="H338">
            <v>0</v>
          </cell>
          <cell r="I338" t="e">
            <v>#N/A</v>
          </cell>
          <cell r="J338">
            <v>18</v>
          </cell>
          <cell r="K338" t="str">
            <v>XFILL_PMG100%</v>
          </cell>
          <cell r="L338">
            <v>10</v>
          </cell>
          <cell r="M338" t="str">
            <v>TA+CCL100%</v>
          </cell>
          <cell r="N338" t="e">
            <v>#N/A</v>
          </cell>
          <cell r="O338" t="e">
            <v>#N/A</v>
          </cell>
          <cell r="P338">
            <v>159</v>
          </cell>
          <cell r="Q338">
            <v>0</v>
          </cell>
          <cell r="S338">
            <v>0</v>
          </cell>
          <cell r="T338">
            <v>314.041</v>
          </cell>
          <cell r="V338">
            <v>0</v>
          </cell>
          <cell r="W338" t="e">
            <v>#N/A</v>
          </cell>
          <cell r="X338" t="e">
            <v>#N/A</v>
          </cell>
          <cell r="Y338" t="e">
            <v>#N/A</v>
          </cell>
          <cell r="Z338" t="e">
            <v>#N/A</v>
          </cell>
          <cell r="AA338" t="e">
            <v>#N/A</v>
          </cell>
          <cell r="AD338">
            <v>0</v>
          </cell>
        </row>
        <row r="339">
          <cell r="A339">
            <v>46530</v>
          </cell>
          <cell r="B339" t="e">
            <v>#N/A</v>
          </cell>
          <cell r="C339"/>
          <cell r="D339" t="e">
            <v>#N/A</v>
          </cell>
          <cell r="F339">
            <v>0</v>
          </cell>
          <cell r="G339" t="e">
            <v>#N/A</v>
          </cell>
          <cell r="H339">
            <v>0</v>
          </cell>
          <cell r="I339" t="e">
            <v>#N/A</v>
          </cell>
          <cell r="J339">
            <v>18</v>
          </cell>
          <cell r="K339" t="str">
            <v>XFILL_PMG100%</v>
          </cell>
          <cell r="L339">
            <v>10</v>
          </cell>
          <cell r="M339" t="str">
            <v>TA+CCL100%</v>
          </cell>
          <cell r="N339" t="e">
            <v>#N/A</v>
          </cell>
          <cell r="O339" t="e">
            <v>#N/A</v>
          </cell>
          <cell r="P339">
            <v>159</v>
          </cell>
          <cell r="Q339">
            <v>0</v>
          </cell>
          <cell r="S339">
            <v>0</v>
          </cell>
          <cell r="T339">
            <v>314.041</v>
          </cell>
          <cell r="V339">
            <v>0</v>
          </cell>
          <cell r="W339" t="e">
            <v>#N/A</v>
          </cell>
          <cell r="X339" t="e">
            <v>#N/A</v>
          </cell>
          <cell r="Y339" t="e">
            <v>#N/A</v>
          </cell>
          <cell r="Z339" t="e">
            <v>#N/A</v>
          </cell>
          <cell r="AA339" t="e">
            <v>#N/A</v>
          </cell>
          <cell r="AD339">
            <v>0</v>
          </cell>
        </row>
        <row r="340">
          <cell r="A340">
            <v>46531</v>
          </cell>
          <cell r="B340" t="e">
            <v>#N/A</v>
          </cell>
          <cell r="C340"/>
          <cell r="D340" t="e">
            <v>#N/A</v>
          </cell>
          <cell r="F340">
            <v>0</v>
          </cell>
          <cell r="G340" t="e">
            <v>#N/A</v>
          </cell>
          <cell r="H340">
            <v>0</v>
          </cell>
          <cell r="I340" t="e">
            <v>#N/A</v>
          </cell>
          <cell r="J340">
            <v>18</v>
          </cell>
          <cell r="K340" t="str">
            <v>XFILL_PMG100%</v>
          </cell>
          <cell r="L340">
            <v>10</v>
          </cell>
          <cell r="M340" t="str">
            <v>TA+CCL100%</v>
          </cell>
          <cell r="N340" t="e">
            <v>#N/A</v>
          </cell>
          <cell r="O340" t="e">
            <v>#N/A</v>
          </cell>
          <cell r="P340">
            <v>159</v>
          </cell>
          <cell r="Q340">
            <v>0</v>
          </cell>
          <cell r="S340">
            <v>0</v>
          </cell>
          <cell r="T340">
            <v>314.041</v>
          </cell>
          <cell r="V340">
            <v>0</v>
          </cell>
          <cell r="W340" t="e">
            <v>#N/A</v>
          </cell>
          <cell r="X340" t="e">
            <v>#N/A</v>
          </cell>
          <cell r="Y340" t="e">
            <v>#N/A</v>
          </cell>
          <cell r="Z340" t="e">
            <v>#N/A</v>
          </cell>
          <cell r="AA340" t="e">
            <v>#N/A</v>
          </cell>
          <cell r="AD340">
            <v>0</v>
          </cell>
        </row>
        <row r="341">
          <cell r="A341">
            <v>46532</v>
          </cell>
          <cell r="B341" t="e">
            <v>#N/A</v>
          </cell>
          <cell r="C341"/>
          <cell r="D341" t="e">
            <v>#N/A</v>
          </cell>
          <cell r="F341">
            <v>0</v>
          </cell>
          <cell r="G341" t="e">
            <v>#N/A</v>
          </cell>
          <cell r="H341">
            <v>0</v>
          </cell>
          <cell r="I341" t="e">
            <v>#N/A</v>
          </cell>
          <cell r="J341">
            <v>18</v>
          </cell>
          <cell r="K341" t="str">
            <v>XFILL_PMG100%</v>
          </cell>
          <cell r="L341">
            <v>10</v>
          </cell>
          <cell r="M341" t="str">
            <v>TA+CCL100%</v>
          </cell>
          <cell r="N341" t="e">
            <v>#N/A</v>
          </cell>
          <cell r="O341" t="e">
            <v>#N/A</v>
          </cell>
          <cell r="P341">
            <v>159</v>
          </cell>
          <cell r="Q341">
            <v>0</v>
          </cell>
          <cell r="S341">
            <v>0</v>
          </cell>
          <cell r="T341">
            <v>314.041</v>
          </cell>
          <cell r="V341">
            <v>0</v>
          </cell>
          <cell r="W341" t="e">
            <v>#N/A</v>
          </cell>
          <cell r="X341" t="e">
            <v>#N/A</v>
          </cell>
          <cell r="Y341" t="e">
            <v>#N/A</v>
          </cell>
          <cell r="Z341" t="e">
            <v>#N/A</v>
          </cell>
          <cell r="AA341" t="e">
            <v>#N/A</v>
          </cell>
          <cell r="AD341">
            <v>0</v>
          </cell>
        </row>
        <row r="342">
          <cell r="A342">
            <v>46533</v>
          </cell>
          <cell r="B342" t="e">
            <v>#N/A</v>
          </cell>
          <cell r="C342"/>
          <cell r="D342" t="e">
            <v>#N/A</v>
          </cell>
          <cell r="F342">
            <v>0</v>
          </cell>
          <cell r="G342" t="e">
            <v>#N/A</v>
          </cell>
          <cell r="H342">
            <v>0</v>
          </cell>
          <cell r="I342" t="e">
            <v>#N/A</v>
          </cell>
          <cell r="J342">
            <v>18</v>
          </cell>
          <cell r="K342" t="str">
            <v>XFILL_PMG100%</v>
          </cell>
          <cell r="L342">
            <v>10</v>
          </cell>
          <cell r="M342" t="str">
            <v>TA+CCL100%</v>
          </cell>
          <cell r="N342" t="e">
            <v>#N/A</v>
          </cell>
          <cell r="O342" t="e">
            <v>#N/A</v>
          </cell>
          <cell r="P342">
            <v>159</v>
          </cell>
          <cell r="Q342">
            <v>0</v>
          </cell>
          <cell r="S342">
            <v>0</v>
          </cell>
          <cell r="T342">
            <v>314.041</v>
          </cell>
          <cell r="V342">
            <v>0</v>
          </cell>
          <cell r="W342" t="e">
            <v>#N/A</v>
          </cell>
          <cell r="X342" t="e">
            <v>#N/A</v>
          </cell>
          <cell r="Y342" t="e">
            <v>#N/A</v>
          </cell>
          <cell r="Z342" t="e">
            <v>#N/A</v>
          </cell>
          <cell r="AA342" t="e">
            <v>#N/A</v>
          </cell>
          <cell r="AD342">
            <v>0</v>
          </cell>
        </row>
        <row r="343">
          <cell r="A343">
            <v>46534</v>
          </cell>
          <cell r="B343" t="e">
            <v>#N/A</v>
          </cell>
          <cell r="C343"/>
          <cell r="D343" t="e">
            <v>#N/A</v>
          </cell>
          <cell r="F343">
            <v>0</v>
          </cell>
          <cell r="G343" t="e">
            <v>#N/A</v>
          </cell>
          <cell r="H343">
            <v>0</v>
          </cell>
          <cell r="I343" t="e">
            <v>#N/A</v>
          </cell>
          <cell r="J343">
            <v>18</v>
          </cell>
          <cell r="K343" t="str">
            <v>XFILL_PMG100%</v>
          </cell>
          <cell r="L343">
            <v>10</v>
          </cell>
          <cell r="M343" t="str">
            <v>TA+CCL100%</v>
          </cell>
          <cell r="N343" t="e">
            <v>#N/A</v>
          </cell>
          <cell r="O343" t="e">
            <v>#N/A</v>
          </cell>
          <cell r="P343">
            <v>159</v>
          </cell>
          <cell r="Q343">
            <v>0</v>
          </cell>
          <cell r="S343">
            <v>0</v>
          </cell>
          <cell r="T343">
            <v>314.041</v>
          </cell>
          <cell r="V343">
            <v>0</v>
          </cell>
          <cell r="W343" t="e">
            <v>#N/A</v>
          </cell>
          <cell r="X343" t="e">
            <v>#N/A</v>
          </cell>
          <cell r="Y343" t="e">
            <v>#N/A</v>
          </cell>
          <cell r="Z343" t="e">
            <v>#N/A</v>
          </cell>
          <cell r="AA343" t="e">
            <v>#N/A</v>
          </cell>
          <cell r="AD343">
            <v>0</v>
          </cell>
        </row>
        <row r="344">
          <cell r="A344">
            <v>46535</v>
          </cell>
          <cell r="B344" t="e">
            <v>#N/A</v>
          </cell>
          <cell r="C344"/>
          <cell r="D344" t="e">
            <v>#N/A</v>
          </cell>
          <cell r="F344">
            <v>0</v>
          </cell>
          <cell r="G344" t="e">
            <v>#N/A</v>
          </cell>
          <cell r="H344">
            <v>0</v>
          </cell>
          <cell r="I344" t="e">
            <v>#N/A</v>
          </cell>
          <cell r="J344">
            <v>18</v>
          </cell>
          <cell r="K344" t="str">
            <v>XFILL_PMG100%</v>
          </cell>
          <cell r="L344">
            <v>10</v>
          </cell>
          <cell r="M344" t="str">
            <v>TA+CCL100%</v>
          </cell>
          <cell r="N344" t="e">
            <v>#N/A</v>
          </cell>
          <cell r="O344" t="e">
            <v>#N/A</v>
          </cell>
          <cell r="P344">
            <v>159</v>
          </cell>
          <cell r="Q344">
            <v>0</v>
          </cell>
          <cell r="S344">
            <v>0</v>
          </cell>
          <cell r="T344">
            <v>314.041</v>
          </cell>
          <cell r="V344">
            <v>0</v>
          </cell>
          <cell r="W344" t="e">
            <v>#N/A</v>
          </cell>
          <cell r="X344" t="e">
            <v>#N/A</v>
          </cell>
          <cell r="Y344" t="e">
            <v>#N/A</v>
          </cell>
          <cell r="Z344" t="e">
            <v>#N/A</v>
          </cell>
          <cell r="AA344" t="e">
            <v>#N/A</v>
          </cell>
          <cell r="AD344">
            <v>0</v>
          </cell>
        </row>
        <row r="345">
          <cell r="A345">
            <v>46536</v>
          </cell>
          <cell r="B345" t="e">
            <v>#N/A</v>
          </cell>
          <cell r="C345"/>
          <cell r="D345" t="e">
            <v>#N/A</v>
          </cell>
          <cell r="F345">
            <v>0</v>
          </cell>
          <cell r="G345" t="e">
            <v>#N/A</v>
          </cell>
          <cell r="H345">
            <v>0</v>
          </cell>
          <cell r="I345" t="e">
            <v>#N/A</v>
          </cell>
          <cell r="J345">
            <v>18</v>
          </cell>
          <cell r="K345" t="str">
            <v>XFILL_PMG100%</v>
          </cell>
          <cell r="L345">
            <v>10</v>
          </cell>
          <cell r="M345" t="str">
            <v>TA+CCL100%</v>
          </cell>
          <cell r="N345" t="e">
            <v>#N/A</v>
          </cell>
          <cell r="O345" t="e">
            <v>#N/A</v>
          </cell>
          <cell r="P345">
            <v>159</v>
          </cell>
          <cell r="Q345">
            <v>0</v>
          </cell>
          <cell r="S345">
            <v>0</v>
          </cell>
          <cell r="T345">
            <v>314.041</v>
          </cell>
          <cell r="V345">
            <v>0</v>
          </cell>
          <cell r="W345" t="e">
            <v>#N/A</v>
          </cell>
          <cell r="X345" t="e">
            <v>#N/A</v>
          </cell>
          <cell r="Y345" t="e">
            <v>#N/A</v>
          </cell>
          <cell r="Z345" t="e">
            <v>#N/A</v>
          </cell>
          <cell r="AA345" t="e">
            <v>#N/A</v>
          </cell>
          <cell r="AD345">
            <v>0</v>
          </cell>
        </row>
        <row r="346">
          <cell r="A346">
            <v>46537</v>
          </cell>
          <cell r="B346" t="e">
            <v>#N/A</v>
          </cell>
          <cell r="C346"/>
          <cell r="D346" t="e">
            <v>#N/A</v>
          </cell>
          <cell r="F346">
            <v>0</v>
          </cell>
          <cell r="G346" t="e">
            <v>#N/A</v>
          </cell>
          <cell r="H346">
            <v>0</v>
          </cell>
          <cell r="I346" t="e">
            <v>#N/A</v>
          </cell>
          <cell r="J346">
            <v>18</v>
          </cell>
          <cell r="K346" t="str">
            <v>XFILL_PMG100%</v>
          </cell>
          <cell r="L346">
            <v>10</v>
          </cell>
          <cell r="M346" t="str">
            <v>TA+CCL100%</v>
          </cell>
          <cell r="N346" t="e">
            <v>#N/A</v>
          </cell>
          <cell r="O346" t="e">
            <v>#N/A</v>
          </cell>
          <cell r="P346">
            <v>159</v>
          </cell>
          <cell r="Q346">
            <v>0</v>
          </cell>
          <cell r="S346">
            <v>0</v>
          </cell>
          <cell r="T346">
            <v>314.041</v>
          </cell>
          <cell r="V346">
            <v>0</v>
          </cell>
          <cell r="W346" t="e">
            <v>#N/A</v>
          </cell>
          <cell r="X346" t="e">
            <v>#N/A</v>
          </cell>
          <cell r="Y346" t="e">
            <v>#N/A</v>
          </cell>
          <cell r="Z346" t="e">
            <v>#N/A</v>
          </cell>
          <cell r="AA346" t="e">
            <v>#N/A</v>
          </cell>
          <cell r="AD346">
            <v>0</v>
          </cell>
        </row>
        <row r="347">
          <cell r="A347">
            <v>46538</v>
          </cell>
          <cell r="B347" t="e">
            <v>#N/A</v>
          </cell>
          <cell r="C347"/>
          <cell r="D347" t="e">
            <v>#N/A</v>
          </cell>
          <cell r="F347">
            <v>0</v>
          </cell>
          <cell r="G347" t="e">
            <v>#N/A</v>
          </cell>
          <cell r="H347">
            <v>0</v>
          </cell>
          <cell r="I347" t="e">
            <v>#N/A</v>
          </cell>
          <cell r="J347">
            <v>18</v>
          </cell>
          <cell r="K347" t="str">
            <v>XFILL_PMG100%</v>
          </cell>
          <cell r="L347">
            <v>10</v>
          </cell>
          <cell r="M347" t="str">
            <v>TA+CCL100%</v>
          </cell>
          <cell r="N347" t="e">
            <v>#N/A</v>
          </cell>
          <cell r="O347" t="e">
            <v>#N/A</v>
          </cell>
          <cell r="P347">
            <v>159</v>
          </cell>
          <cell r="Q347">
            <v>0</v>
          </cell>
          <cell r="S347">
            <v>0</v>
          </cell>
          <cell r="T347">
            <v>314.041</v>
          </cell>
          <cell r="V347">
            <v>0</v>
          </cell>
          <cell r="W347" t="e">
            <v>#N/A</v>
          </cell>
          <cell r="X347" t="e">
            <v>#N/A</v>
          </cell>
          <cell r="Y347" t="e">
            <v>#N/A</v>
          </cell>
          <cell r="Z347" t="e">
            <v>#N/A</v>
          </cell>
          <cell r="AA347" t="e">
            <v>#N/A</v>
          </cell>
          <cell r="AD347">
            <v>0</v>
          </cell>
        </row>
        <row r="348">
          <cell r="A348">
            <v>46539</v>
          </cell>
          <cell r="B348" t="e">
            <v>#N/A</v>
          </cell>
          <cell r="C348"/>
          <cell r="D348" t="e">
            <v>#N/A</v>
          </cell>
          <cell r="F348">
            <v>0</v>
          </cell>
          <cell r="G348" t="e">
            <v>#N/A</v>
          </cell>
          <cell r="H348">
            <v>0</v>
          </cell>
          <cell r="I348" t="e">
            <v>#N/A</v>
          </cell>
          <cell r="J348">
            <v>18</v>
          </cell>
          <cell r="K348" t="str">
            <v>XFILL_PMG100%</v>
          </cell>
          <cell r="L348">
            <v>10</v>
          </cell>
          <cell r="M348" t="str">
            <v>TA+CCL100%</v>
          </cell>
          <cell r="N348" t="e">
            <v>#N/A</v>
          </cell>
          <cell r="O348" t="e">
            <v>#N/A</v>
          </cell>
          <cell r="P348">
            <v>159</v>
          </cell>
          <cell r="Q348">
            <v>0</v>
          </cell>
          <cell r="S348">
            <v>0</v>
          </cell>
          <cell r="T348">
            <v>314.041</v>
          </cell>
          <cell r="V348">
            <v>0</v>
          </cell>
          <cell r="W348" t="e">
            <v>#N/A</v>
          </cell>
          <cell r="X348" t="e">
            <v>#N/A</v>
          </cell>
          <cell r="Y348" t="e">
            <v>#N/A</v>
          </cell>
          <cell r="Z348" t="e">
            <v>#N/A</v>
          </cell>
          <cell r="AA348" t="e">
            <v>#N/A</v>
          </cell>
          <cell r="AD348">
            <v>0</v>
          </cell>
        </row>
        <row r="349">
          <cell r="A349">
            <v>46540</v>
          </cell>
          <cell r="B349" t="e">
            <v>#N/A</v>
          </cell>
          <cell r="C349"/>
          <cell r="D349" t="e">
            <v>#N/A</v>
          </cell>
          <cell r="F349">
            <v>0</v>
          </cell>
          <cell r="G349" t="e">
            <v>#N/A</v>
          </cell>
          <cell r="H349">
            <v>0</v>
          </cell>
          <cell r="I349" t="e">
            <v>#N/A</v>
          </cell>
          <cell r="J349">
            <v>18</v>
          </cell>
          <cell r="K349" t="str">
            <v>XFILL_PMG100%</v>
          </cell>
          <cell r="L349">
            <v>10</v>
          </cell>
          <cell r="M349" t="str">
            <v>TA+CCL100%</v>
          </cell>
          <cell r="N349" t="e">
            <v>#N/A</v>
          </cell>
          <cell r="O349" t="e">
            <v>#N/A</v>
          </cell>
          <cell r="P349">
            <v>159</v>
          </cell>
          <cell r="Q349">
            <v>0</v>
          </cell>
          <cell r="S349">
            <v>0</v>
          </cell>
          <cell r="T349">
            <v>314.041</v>
          </cell>
          <cell r="V349">
            <v>0</v>
          </cell>
          <cell r="W349" t="e">
            <v>#N/A</v>
          </cell>
          <cell r="X349" t="e">
            <v>#N/A</v>
          </cell>
          <cell r="Y349" t="e">
            <v>#N/A</v>
          </cell>
          <cell r="Z349" t="e">
            <v>#N/A</v>
          </cell>
          <cell r="AA349" t="e">
            <v>#N/A</v>
          </cell>
          <cell r="AD349">
            <v>0</v>
          </cell>
        </row>
        <row r="350">
          <cell r="A350">
            <v>46541</v>
          </cell>
          <cell r="B350" t="e">
            <v>#N/A</v>
          </cell>
          <cell r="C350"/>
          <cell r="D350" t="e">
            <v>#N/A</v>
          </cell>
          <cell r="F350">
            <v>0</v>
          </cell>
          <cell r="G350" t="e">
            <v>#N/A</v>
          </cell>
          <cell r="H350">
            <v>0</v>
          </cell>
          <cell r="I350" t="e">
            <v>#N/A</v>
          </cell>
          <cell r="J350">
            <v>18</v>
          </cell>
          <cell r="K350" t="str">
            <v>XFILL_PMG100%</v>
          </cell>
          <cell r="L350">
            <v>10</v>
          </cell>
          <cell r="M350" t="str">
            <v>TA+CCL100%</v>
          </cell>
          <cell r="N350" t="e">
            <v>#N/A</v>
          </cell>
          <cell r="O350" t="e">
            <v>#N/A</v>
          </cell>
          <cell r="P350">
            <v>159</v>
          </cell>
          <cell r="Q350">
            <v>0</v>
          </cell>
          <cell r="S350">
            <v>0</v>
          </cell>
          <cell r="T350">
            <v>314.041</v>
          </cell>
          <cell r="V350">
            <v>0</v>
          </cell>
          <cell r="W350" t="e">
            <v>#N/A</v>
          </cell>
          <cell r="X350" t="e">
            <v>#N/A</v>
          </cell>
          <cell r="Y350" t="e">
            <v>#N/A</v>
          </cell>
          <cell r="Z350" t="e">
            <v>#N/A</v>
          </cell>
          <cell r="AA350" t="e">
            <v>#N/A</v>
          </cell>
          <cell r="AD350">
            <v>0</v>
          </cell>
        </row>
        <row r="351">
          <cell r="A351">
            <v>46542</v>
          </cell>
          <cell r="B351" t="e">
            <v>#N/A</v>
          </cell>
          <cell r="C351"/>
          <cell r="D351" t="e">
            <v>#N/A</v>
          </cell>
          <cell r="F351">
            <v>0</v>
          </cell>
          <cell r="G351" t="e">
            <v>#N/A</v>
          </cell>
          <cell r="H351">
            <v>0</v>
          </cell>
          <cell r="I351" t="e">
            <v>#N/A</v>
          </cell>
          <cell r="J351">
            <v>18</v>
          </cell>
          <cell r="K351" t="str">
            <v>XFILL_PMG100%</v>
          </cell>
          <cell r="L351">
            <v>10</v>
          </cell>
          <cell r="M351" t="str">
            <v>TA+CCL100%</v>
          </cell>
          <cell r="N351" t="e">
            <v>#N/A</v>
          </cell>
          <cell r="O351" t="e">
            <v>#N/A</v>
          </cell>
          <cell r="P351">
            <v>159</v>
          </cell>
          <cell r="Q351">
            <v>0</v>
          </cell>
          <cell r="S351">
            <v>0</v>
          </cell>
          <cell r="T351">
            <v>314.041</v>
          </cell>
          <cell r="V351">
            <v>0</v>
          </cell>
          <cell r="W351" t="e">
            <v>#N/A</v>
          </cell>
          <cell r="X351" t="e">
            <v>#N/A</v>
          </cell>
          <cell r="Y351" t="e">
            <v>#N/A</v>
          </cell>
          <cell r="Z351" t="e">
            <v>#N/A</v>
          </cell>
          <cell r="AA351" t="e">
            <v>#N/A</v>
          </cell>
          <cell r="AD351">
            <v>0</v>
          </cell>
        </row>
        <row r="352">
          <cell r="A352">
            <v>46543</v>
          </cell>
          <cell r="B352" t="e">
            <v>#N/A</v>
          </cell>
          <cell r="C352"/>
          <cell r="D352" t="e">
            <v>#N/A</v>
          </cell>
          <cell r="F352">
            <v>0</v>
          </cell>
          <cell r="G352" t="e">
            <v>#N/A</v>
          </cell>
          <cell r="H352">
            <v>0</v>
          </cell>
          <cell r="I352" t="e">
            <v>#N/A</v>
          </cell>
          <cell r="J352">
            <v>18</v>
          </cell>
          <cell r="K352" t="str">
            <v>XFILL_PMG100%</v>
          </cell>
          <cell r="L352">
            <v>10</v>
          </cell>
          <cell r="M352" t="str">
            <v>TA+CCL100%</v>
          </cell>
          <cell r="N352" t="e">
            <v>#N/A</v>
          </cell>
          <cell r="O352" t="e">
            <v>#N/A</v>
          </cell>
          <cell r="P352">
            <v>159</v>
          </cell>
          <cell r="Q352">
            <v>0</v>
          </cell>
          <cell r="S352">
            <v>0</v>
          </cell>
          <cell r="T352">
            <v>314.041</v>
          </cell>
          <cell r="V352">
            <v>0</v>
          </cell>
          <cell r="W352" t="e">
            <v>#N/A</v>
          </cell>
          <cell r="X352" t="e">
            <v>#N/A</v>
          </cell>
          <cell r="Y352" t="e">
            <v>#N/A</v>
          </cell>
          <cell r="Z352" t="e">
            <v>#N/A</v>
          </cell>
          <cell r="AA352" t="e">
            <v>#N/A</v>
          </cell>
          <cell r="AD352">
            <v>0</v>
          </cell>
        </row>
        <row r="353">
          <cell r="A353">
            <v>46544</v>
          </cell>
          <cell r="B353" t="e">
            <v>#N/A</v>
          </cell>
          <cell r="C353"/>
          <cell r="D353" t="e">
            <v>#N/A</v>
          </cell>
          <cell r="F353">
            <v>0</v>
          </cell>
          <cell r="G353" t="e">
            <v>#N/A</v>
          </cell>
          <cell r="H353">
            <v>0</v>
          </cell>
          <cell r="I353" t="e">
            <v>#N/A</v>
          </cell>
          <cell r="J353">
            <v>18</v>
          </cell>
          <cell r="K353" t="str">
            <v>XFILL_PMG100%</v>
          </cell>
          <cell r="L353">
            <v>10</v>
          </cell>
          <cell r="M353" t="str">
            <v>TA+CCL100%</v>
          </cell>
          <cell r="N353" t="e">
            <v>#N/A</v>
          </cell>
          <cell r="O353" t="e">
            <v>#N/A</v>
          </cell>
          <cell r="P353">
            <v>159</v>
          </cell>
          <cell r="Q353">
            <v>0</v>
          </cell>
          <cell r="S353">
            <v>0</v>
          </cell>
          <cell r="T353">
            <v>314.041</v>
          </cell>
          <cell r="V353">
            <v>0</v>
          </cell>
          <cell r="W353" t="e">
            <v>#N/A</v>
          </cell>
          <cell r="X353" t="e">
            <v>#N/A</v>
          </cell>
          <cell r="Y353" t="e">
            <v>#N/A</v>
          </cell>
          <cell r="Z353" t="e">
            <v>#N/A</v>
          </cell>
          <cell r="AA353" t="e">
            <v>#N/A</v>
          </cell>
          <cell r="AD353">
            <v>0</v>
          </cell>
        </row>
        <row r="354">
          <cell r="A354">
            <v>46545</v>
          </cell>
          <cell r="B354" t="e">
            <v>#N/A</v>
          </cell>
          <cell r="C354"/>
          <cell r="D354" t="e">
            <v>#N/A</v>
          </cell>
          <cell r="F354">
            <v>0</v>
          </cell>
          <cell r="G354" t="e">
            <v>#N/A</v>
          </cell>
          <cell r="H354">
            <v>0</v>
          </cell>
          <cell r="I354" t="e">
            <v>#N/A</v>
          </cell>
          <cell r="J354">
            <v>18</v>
          </cell>
          <cell r="K354" t="str">
            <v>XFILL_PMG100%</v>
          </cell>
          <cell r="L354">
            <v>10</v>
          </cell>
          <cell r="M354" t="str">
            <v>TA+CCL100%</v>
          </cell>
          <cell r="N354" t="e">
            <v>#N/A</v>
          </cell>
          <cell r="O354" t="e">
            <v>#N/A</v>
          </cell>
          <cell r="P354">
            <v>159</v>
          </cell>
          <cell r="Q354">
            <v>0</v>
          </cell>
          <cell r="S354">
            <v>0</v>
          </cell>
          <cell r="T354">
            <v>314.041</v>
          </cell>
          <cell r="V354">
            <v>0</v>
          </cell>
          <cell r="W354" t="e">
            <v>#N/A</v>
          </cell>
          <cell r="X354" t="e">
            <v>#N/A</v>
          </cell>
          <cell r="Y354" t="e">
            <v>#N/A</v>
          </cell>
          <cell r="Z354" t="e">
            <v>#N/A</v>
          </cell>
          <cell r="AA354" t="e">
            <v>#N/A</v>
          </cell>
          <cell r="AD354">
            <v>0</v>
          </cell>
        </row>
        <row r="355">
          <cell r="A355">
            <v>46546</v>
          </cell>
          <cell r="B355" t="e">
            <v>#N/A</v>
          </cell>
          <cell r="C355"/>
          <cell r="D355" t="e">
            <v>#N/A</v>
          </cell>
          <cell r="F355">
            <v>0</v>
          </cell>
          <cell r="G355" t="e">
            <v>#N/A</v>
          </cell>
          <cell r="H355">
            <v>0</v>
          </cell>
          <cell r="I355" t="e">
            <v>#N/A</v>
          </cell>
          <cell r="J355">
            <v>18</v>
          </cell>
          <cell r="K355" t="str">
            <v>XFILL_PMG100%</v>
          </cell>
          <cell r="L355">
            <v>10</v>
          </cell>
          <cell r="M355" t="str">
            <v>TA+CCL100%</v>
          </cell>
          <cell r="N355" t="e">
            <v>#N/A</v>
          </cell>
          <cell r="O355" t="e">
            <v>#N/A</v>
          </cell>
          <cell r="P355">
            <v>159</v>
          </cell>
          <cell r="Q355">
            <v>0</v>
          </cell>
          <cell r="S355">
            <v>0</v>
          </cell>
          <cell r="T355">
            <v>314.041</v>
          </cell>
          <cell r="V355">
            <v>0</v>
          </cell>
          <cell r="W355" t="e">
            <v>#N/A</v>
          </cell>
          <cell r="X355" t="e">
            <v>#N/A</v>
          </cell>
          <cell r="Y355" t="e">
            <v>#N/A</v>
          </cell>
          <cell r="Z355" t="e">
            <v>#N/A</v>
          </cell>
          <cell r="AA355" t="e">
            <v>#N/A</v>
          </cell>
          <cell r="AD355">
            <v>0</v>
          </cell>
        </row>
        <row r="356">
          <cell r="A356">
            <v>46547</v>
          </cell>
          <cell r="B356" t="e">
            <v>#N/A</v>
          </cell>
          <cell r="C356"/>
          <cell r="D356" t="e">
            <v>#N/A</v>
          </cell>
          <cell r="F356">
            <v>0</v>
          </cell>
          <cell r="G356" t="e">
            <v>#N/A</v>
          </cell>
          <cell r="H356">
            <v>0</v>
          </cell>
          <cell r="I356" t="e">
            <v>#N/A</v>
          </cell>
          <cell r="J356">
            <v>18</v>
          </cell>
          <cell r="K356" t="str">
            <v>XFILL_PMG100%</v>
          </cell>
          <cell r="L356">
            <v>10</v>
          </cell>
          <cell r="M356" t="str">
            <v>TA+CCL100%</v>
          </cell>
          <cell r="N356" t="e">
            <v>#N/A</v>
          </cell>
          <cell r="O356" t="e">
            <v>#N/A</v>
          </cell>
          <cell r="P356">
            <v>159</v>
          </cell>
          <cell r="Q356">
            <v>0</v>
          </cell>
          <cell r="S356">
            <v>0</v>
          </cell>
          <cell r="T356">
            <v>314.041</v>
          </cell>
          <cell r="V356">
            <v>0</v>
          </cell>
          <cell r="W356" t="e">
            <v>#N/A</v>
          </cell>
          <cell r="X356" t="e">
            <v>#N/A</v>
          </cell>
          <cell r="Y356" t="e">
            <v>#N/A</v>
          </cell>
          <cell r="Z356" t="e">
            <v>#N/A</v>
          </cell>
          <cell r="AA356" t="e">
            <v>#N/A</v>
          </cell>
          <cell r="AD356">
            <v>0</v>
          </cell>
        </row>
        <row r="357">
          <cell r="A357">
            <v>46548</v>
          </cell>
          <cell r="B357" t="e">
            <v>#N/A</v>
          </cell>
          <cell r="C357"/>
          <cell r="D357" t="e">
            <v>#N/A</v>
          </cell>
          <cell r="F357">
            <v>0</v>
          </cell>
          <cell r="G357" t="e">
            <v>#N/A</v>
          </cell>
          <cell r="H357">
            <v>0</v>
          </cell>
          <cell r="I357" t="e">
            <v>#N/A</v>
          </cell>
          <cell r="J357">
            <v>18</v>
          </cell>
          <cell r="K357" t="str">
            <v>XFILL_PMG100%</v>
          </cell>
          <cell r="L357">
            <v>10</v>
          </cell>
          <cell r="M357" t="str">
            <v>TA+CCL100%</v>
          </cell>
          <cell r="N357" t="e">
            <v>#N/A</v>
          </cell>
          <cell r="O357" t="e">
            <v>#N/A</v>
          </cell>
          <cell r="P357">
            <v>159</v>
          </cell>
          <cell r="Q357">
            <v>0</v>
          </cell>
          <cell r="S357">
            <v>0</v>
          </cell>
          <cell r="T357">
            <v>314.041</v>
          </cell>
          <cell r="V357">
            <v>0</v>
          </cell>
          <cell r="W357" t="e">
            <v>#N/A</v>
          </cell>
          <cell r="X357" t="e">
            <v>#N/A</v>
          </cell>
          <cell r="Y357" t="e">
            <v>#N/A</v>
          </cell>
          <cell r="Z357" t="e">
            <v>#N/A</v>
          </cell>
          <cell r="AA357" t="e">
            <v>#N/A</v>
          </cell>
          <cell r="AD357">
            <v>0</v>
          </cell>
        </row>
        <row r="358">
          <cell r="A358">
            <v>46549</v>
          </cell>
          <cell r="B358" t="e">
            <v>#N/A</v>
          </cell>
          <cell r="C358"/>
          <cell r="D358" t="e">
            <v>#N/A</v>
          </cell>
          <cell r="F358">
            <v>0</v>
          </cell>
          <cell r="G358" t="e">
            <v>#N/A</v>
          </cell>
          <cell r="H358">
            <v>0</v>
          </cell>
          <cell r="I358" t="e">
            <v>#N/A</v>
          </cell>
          <cell r="J358">
            <v>18</v>
          </cell>
          <cell r="K358" t="str">
            <v>XFILL_PMG100%</v>
          </cell>
          <cell r="L358">
            <v>10</v>
          </cell>
          <cell r="M358" t="str">
            <v>TA+CCL100%</v>
          </cell>
          <cell r="N358" t="e">
            <v>#N/A</v>
          </cell>
          <cell r="O358" t="e">
            <v>#N/A</v>
          </cell>
          <cell r="P358">
            <v>159</v>
          </cell>
          <cell r="Q358">
            <v>0</v>
          </cell>
          <cell r="S358">
            <v>0</v>
          </cell>
          <cell r="T358">
            <v>314.041</v>
          </cell>
          <cell r="V358">
            <v>0</v>
          </cell>
          <cell r="W358" t="e">
            <v>#N/A</v>
          </cell>
          <cell r="X358" t="e">
            <v>#N/A</v>
          </cell>
          <cell r="Y358" t="e">
            <v>#N/A</v>
          </cell>
          <cell r="Z358" t="e">
            <v>#N/A</v>
          </cell>
          <cell r="AA358" t="e">
            <v>#N/A</v>
          </cell>
          <cell r="AD358">
            <v>0</v>
          </cell>
        </row>
        <row r="359">
          <cell r="A359">
            <v>46550</v>
          </cell>
          <cell r="B359" t="e">
            <v>#N/A</v>
          </cell>
          <cell r="C359"/>
          <cell r="D359" t="e">
            <v>#N/A</v>
          </cell>
          <cell r="F359">
            <v>0</v>
          </cell>
          <cell r="G359" t="e">
            <v>#N/A</v>
          </cell>
          <cell r="H359">
            <v>0</v>
          </cell>
          <cell r="I359" t="e">
            <v>#N/A</v>
          </cell>
          <cell r="J359">
            <v>18</v>
          </cell>
          <cell r="K359" t="str">
            <v>XFILL_PMG100%</v>
          </cell>
          <cell r="L359">
            <v>10</v>
          </cell>
          <cell r="M359" t="str">
            <v>TA+CCL100%</v>
          </cell>
          <cell r="N359" t="e">
            <v>#N/A</v>
          </cell>
          <cell r="O359" t="e">
            <v>#N/A</v>
          </cell>
          <cell r="P359">
            <v>159</v>
          </cell>
          <cell r="Q359">
            <v>0</v>
          </cell>
          <cell r="S359">
            <v>0</v>
          </cell>
          <cell r="T359">
            <v>314.041</v>
          </cell>
          <cell r="V359">
            <v>0</v>
          </cell>
          <cell r="W359" t="e">
            <v>#N/A</v>
          </cell>
          <cell r="X359" t="e">
            <v>#N/A</v>
          </cell>
          <cell r="Y359" t="e">
            <v>#N/A</v>
          </cell>
          <cell r="Z359" t="e">
            <v>#N/A</v>
          </cell>
          <cell r="AA359" t="e">
            <v>#N/A</v>
          </cell>
          <cell r="AD359">
            <v>0</v>
          </cell>
        </row>
        <row r="360">
          <cell r="A360">
            <v>46551</v>
          </cell>
          <cell r="B360" t="e">
            <v>#N/A</v>
          </cell>
          <cell r="C360"/>
          <cell r="D360" t="e">
            <v>#N/A</v>
          </cell>
          <cell r="F360">
            <v>0</v>
          </cell>
          <cell r="G360" t="e">
            <v>#N/A</v>
          </cell>
          <cell r="H360">
            <v>0</v>
          </cell>
          <cell r="I360" t="e">
            <v>#N/A</v>
          </cell>
          <cell r="J360">
            <v>18</v>
          </cell>
          <cell r="K360" t="str">
            <v>XFILL_PMG100%</v>
          </cell>
          <cell r="L360">
            <v>10</v>
          </cell>
          <cell r="M360" t="str">
            <v>TA+CCL100%</v>
          </cell>
          <cell r="N360" t="e">
            <v>#N/A</v>
          </cell>
          <cell r="O360" t="e">
            <v>#N/A</v>
          </cell>
          <cell r="P360">
            <v>159</v>
          </cell>
          <cell r="Q360">
            <v>0</v>
          </cell>
          <cell r="S360">
            <v>0</v>
          </cell>
          <cell r="T360">
            <v>314.041</v>
          </cell>
          <cell r="V360">
            <v>0</v>
          </cell>
          <cell r="W360" t="e">
            <v>#N/A</v>
          </cell>
          <cell r="X360" t="e">
            <v>#N/A</v>
          </cell>
          <cell r="Y360" t="e">
            <v>#N/A</v>
          </cell>
          <cell r="Z360" t="e">
            <v>#N/A</v>
          </cell>
          <cell r="AA360" t="e">
            <v>#N/A</v>
          </cell>
          <cell r="AD360">
            <v>0</v>
          </cell>
        </row>
        <row r="361">
          <cell r="A361">
            <v>46552</v>
          </cell>
          <cell r="B361" t="e">
            <v>#N/A</v>
          </cell>
          <cell r="C361"/>
          <cell r="D361" t="e">
            <v>#N/A</v>
          </cell>
          <cell r="F361">
            <v>0</v>
          </cell>
          <cell r="G361" t="e">
            <v>#N/A</v>
          </cell>
          <cell r="H361">
            <v>0</v>
          </cell>
          <cell r="I361" t="e">
            <v>#N/A</v>
          </cell>
          <cell r="J361">
            <v>18</v>
          </cell>
          <cell r="K361" t="str">
            <v>XFILL_PMG100%</v>
          </cell>
          <cell r="L361">
            <v>10</v>
          </cell>
          <cell r="M361" t="str">
            <v>TA+CCL100%</v>
          </cell>
          <cell r="N361" t="e">
            <v>#N/A</v>
          </cell>
          <cell r="O361" t="e">
            <v>#N/A</v>
          </cell>
          <cell r="P361">
            <v>159</v>
          </cell>
          <cell r="Q361">
            <v>0</v>
          </cell>
          <cell r="S361">
            <v>0</v>
          </cell>
          <cell r="T361">
            <v>314.041</v>
          </cell>
          <cell r="V361">
            <v>0</v>
          </cell>
          <cell r="W361" t="e">
            <v>#N/A</v>
          </cell>
          <cell r="X361" t="e">
            <v>#N/A</v>
          </cell>
          <cell r="Y361" t="e">
            <v>#N/A</v>
          </cell>
          <cell r="Z361" t="e">
            <v>#N/A</v>
          </cell>
          <cell r="AA361" t="e">
            <v>#N/A</v>
          </cell>
          <cell r="AD361">
            <v>0</v>
          </cell>
        </row>
        <row r="362">
          <cell r="A362">
            <v>46553</v>
          </cell>
          <cell r="B362" t="e">
            <v>#N/A</v>
          </cell>
          <cell r="C362"/>
          <cell r="D362" t="e">
            <v>#N/A</v>
          </cell>
          <cell r="F362">
            <v>0</v>
          </cell>
          <cell r="G362" t="e">
            <v>#N/A</v>
          </cell>
          <cell r="H362">
            <v>0</v>
          </cell>
          <cell r="I362" t="e">
            <v>#N/A</v>
          </cell>
          <cell r="J362">
            <v>18</v>
          </cell>
          <cell r="K362" t="str">
            <v>XFILL_PMG100%</v>
          </cell>
          <cell r="L362">
            <v>10</v>
          </cell>
          <cell r="M362" t="str">
            <v>TA+CCL100%</v>
          </cell>
          <cell r="N362" t="e">
            <v>#N/A</v>
          </cell>
          <cell r="O362" t="e">
            <v>#N/A</v>
          </cell>
          <cell r="P362">
            <v>159</v>
          </cell>
          <cell r="Q362">
            <v>0</v>
          </cell>
          <cell r="S362">
            <v>0</v>
          </cell>
          <cell r="T362">
            <v>314.041</v>
          </cell>
          <cell r="V362">
            <v>0</v>
          </cell>
          <cell r="W362" t="e">
            <v>#N/A</v>
          </cell>
          <cell r="X362" t="e">
            <v>#N/A</v>
          </cell>
          <cell r="Y362" t="e">
            <v>#N/A</v>
          </cell>
          <cell r="Z362" t="e">
            <v>#N/A</v>
          </cell>
          <cell r="AA362" t="e">
            <v>#N/A</v>
          </cell>
          <cell r="AD362">
            <v>0</v>
          </cell>
        </row>
        <row r="363">
          <cell r="A363">
            <v>46554</v>
          </cell>
          <cell r="B363" t="e">
            <v>#N/A</v>
          </cell>
          <cell r="C363"/>
          <cell r="D363" t="e">
            <v>#N/A</v>
          </cell>
          <cell r="F363">
            <v>0</v>
          </cell>
          <cell r="G363" t="e">
            <v>#N/A</v>
          </cell>
          <cell r="H363">
            <v>0</v>
          </cell>
          <cell r="I363" t="e">
            <v>#N/A</v>
          </cell>
          <cell r="J363">
            <v>18</v>
          </cell>
          <cell r="K363" t="str">
            <v>XFILL_PMG100%</v>
          </cell>
          <cell r="L363">
            <v>10</v>
          </cell>
          <cell r="M363" t="str">
            <v>TA+CCL100%</v>
          </cell>
          <cell r="N363" t="e">
            <v>#N/A</v>
          </cell>
          <cell r="O363" t="e">
            <v>#N/A</v>
          </cell>
          <cell r="P363">
            <v>159</v>
          </cell>
          <cell r="Q363">
            <v>0</v>
          </cell>
          <cell r="S363">
            <v>0</v>
          </cell>
          <cell r="T363">
            <v>314.041</v>
          </cell>
          <cell r="V363">
            <v>0</v>
          </cell>
          <cell r="W363" t="e">
            <v>#N/A</v>
          </cell>
          <cell r="X363" t="e">
            <v>#N/A</v>
          </cell>
          <cell r="Y363" t="e">
            <v>#N/A</v>
          </cell>
          <cell r="Z363" t="e">
            <v>#N/A</v>
          </cell>
          <cell r="AA363" t="e">
            <v>#N/A</v>
          </cell>
          <cell r="AD363">
            <v>0</v>
          </cell>
        </row>
        <row r="364">
          <cell r="A364">
            <v>46555</v>
          </cell>
          <cell r="B364" t="e">
            <v>#N/A</v>
          </cell>
          <cell r="C364"/>
          <cell r="D364" t="e">
            <v>#N/A</v>
          </cell>
          <cell r="F364">
            <v>0</v>
          </cell>
          <cell r="G364" t="e">
            <v>#N/A</v>
          </cell>
          <cell r="H364">
            <v>0</v>
          </cell>
          <cell r="I364" t="e">
            <v>#N/A</v>
          </cell>
          <cell r="J364">
            <v>18</v>
          </cell>
          <cell r="K364" t="str">
            <v>XFILL_PMG100%</v>
          </cell>
          <cell r="L364">
            <v>10</v>
          </cell>
          <cell r="M364" t="str">
            <v>TA+CCL100%</v>
          </cell>
          <cell r="N364" t="e">
            <v>#N/A</v>
          </cell>
          <cell r="O364" t="e">
            <v>#N/A</v>
          </cell>
          <cell r="P364">
            <v>159</v>
          </cell>
          <cell r="Q364">
            <v>0</v>
          </cell>
          <cell r="S364">
            <v>0</v>
          </cell>
          <cell r="T364">
            <v>314.041</v>
          </cell>
          <cell r="V364">
            <v>0</v>
          </cell>
          <cell r="W364" t="e">
            <v>#N/A</v>
          </cell>
          <cell r="X364" t="e">
            <v>#N/A</v>
          </cell>
          <cell r="Y364" t="e">
            <v>#N/A</v>
          </cell>
          <cell r="Z364" t="e">
            <v>#N/A</v>
          </cell>
          <cell r="AA364" t="e">
            <v>#N/A</v>
          </cell>
          <cell r="AD364">
            <v>0</v>
          </cell>
        </row>
        <row r="365">
          <cell r="A365">
            <v>46556</v>
          </cell>
          <cell r="B365" t="e">
            <v>#N/A</v>
          </cell>
          <cell r="C365"/>
          <cell r="D365" t="e">
            <v>#N/A</v>
          </cell>
          <cell r="F365">
            <v>0</v>
          </cell>
          <cell r="G365" t="e">
            <v>#N/A</v>
          </cell>
          <cell r="H365">
            <v>0</v>
          </cell>
          <cell r="I365" t="e">
            <v>#N/A</v>
          </cell>
          <cell r="J365">
            <v>18</v>
          </cell>
          <cell r="K365" t="str">
            <v>XFILL_PMG100%</v>
          </cell>
          <cell r="L365">
            <v>10</v>
          </cell>
          <cell r="M365" t="str">
            <v>TA+CCL100%</v>
          </cell>
          <cell r="N365" t="e">
            <v>#N/A</v>
          </cell>
          <cell r="O365" t="e">
            <v>#N/A</v>
          </cell>
          <cell r="P365">
            <v>159</v>
          </cell>
          <cell r="Q365">
            <v>0</v>
          </cell>
          <cell r="S365">
            <v>0</v>
          </cell>
          <cell r="T365">
            <v>314.041</v>
          </cell>
          <cell r="V365">
            <v>0</v>
          </cell>
          <cell r="W365" t="e">
            <v>#N/A</v>
          </cell>
          <cell r="X365" t="e">
            <v>#N/A</v>
          </cell>
          <cell r="Y365" t="e">
            <v>#N/A</v>
          </cell>
          <cell r="Z365" t="e">
            <v>#N/A</v>
          </cell>
          <cell r="AA365" t="e">
            <v>#N/A</v>
          </cell>
          <cell r="AD365">
            <v>0</v>
          </cell>
        </row>
        <row r="366">
          <cell r="A366">
            <v>46557</v>
          </cell>
          <cell r="B366" t="e">
            <v>#N/A</v>
          </cell>
          <cell r="C366"/>
          <cell r="D366" t="e">
            <v>#N/A</v>
          </cell>
          <cell r="F366">
            <v>0</v>
          </cell>
          <cell r="G366" t="e">
            <v>#N/A</v>
          </cell>
          <cell r="H366">
            <v>0</v>
          </cell>
          <cell r="I366" t="e">
            <v>#N/A</v>
          </cell>
          <cell r="J366">
            <v>18</v>
          </cell>
          <cell r="K366" t="str">
            <v>XFILL_PMG100%</v>
          </cell>
          <cell r="L366">
            <v>10</v>
          </cell>
          <cell r="M366" t="str">
            <v>TA+CCL100%</v>
          </cell>
          <cell r="N366" t="e">
            <v>#N/A</v>
          </cell>
          <cell r="O366" t="e">
            <v>#N/A</v>
          </cell>
          <cell r="P366">
            <v>159</v>
          </cell>
          <cell r="Q366">
            <v>0</v>
          </cell>
          <cell r="S366">
            <v>0</v>
          </cell>
          <cell r="T366">
            <v>314.041</v>
          </cell>
          <cell r="V366">
            <v>0</v>
          </cell>
          <cell r="W366" t="e">
            <v>#N/A</v>
          </cell>
          <cell r="X366" t="e">
            <v>#N/A</v>
          </cell>
          <cell r="Y366" t="e">
            <v>#N/A</v>
          </cell>
          <cell r="Z366" t="e">
            <v>#N/A</v>
          </cell>
          <cell r="AA366" t="e">
            <v>#N/A</v>
          </cell>
          <cell r="AD366">
            <v>0</v>
          </cell>
        </row>
        <row r="367">
          <cell r="A367">
            <v>46558</v>
          </cell>
          <cell r="B367" t="e">
            <v>#N/A</v>
          </cell>
          <cell r="C367"/>
          <cell r="D367" t="e">
            <v>#N/A</v>
          </cell>
          <cell r="F367">
            <v>0</v>
          </cell>
          <cell r="G367" t="e">
            <v>#N/A</v>
          </cell>
          <cell r="H367">
            <v>0</v>
          </cell>
          <cell r="I367" t="e">
            <v>#N/A</v>
          </cell>
          <cell r="J367">
            <v>18</v>
          </cell>
          <cell r="K367" t="str">
            <v>XFILL_PMG100%</v>
          </cell>
          <cell r="L367">
            <v>10</v>
          </cell>
          <cell r="M367" t="str">
            <v>TA+CCL100%</v>
          </cell>
          <cell r="N367" t="e">
            <v>#N/A</v>
          </cell>
          <cell r="O367" t="e">
            <v>#N/A</v>
          </cell>
          <cell r="P367">
            <v>159</v>
          </cell>
          <cell r="Q367">
            <v>0</v>
          </cell>
          <cell r="S367">
            <v>0</v>
          </cell>
          <cell r="T367">
            <v>314.041</v>
          </cell>
          <cell r="V367">
            <v>0</v>
          </cell>
          <cell r="W367" t="e">
            <v>#N/A</v>
          </cell>
          <cell r="X367" t="e">
            <v>#N/A</v>
          </cell>
          <cell r="Y367" t="e">
            <v>#N/A</v>
          </cell>
          <cell r="Z367" t="e">
            <v>#N/A</v>
          </cell>
          <cell r="AA367" t="e">
            <v>#N/A</v>
          </cell>
          <cell r="AD367">
            <v>0</v>
          </cell>
        </row>
        <row r="368">
          <cell r="A368">
            <v>46559</v>
          </cell>
          <cell r="B368" t="e">
            <v>#N/A</v>
          </cell>
          <cell r="C368"/>
          <cell r="D368" t="e">
            <v>#N/A</v>
          </cell>
          <cell r="F368">
            <v>0</v>
          </cell>
          <cell r="G368" t="e">
            <v>#N/A</v>
          </cell>
          <cell r="H368">
            <v>0</v>
          </cell>
          <cell r="I368" t="e">
            <v>#N/A</v>
          </cell>
          <cell r="J368">
            <v>18</v>
          </cell>
          <cell r="K368" t="str">
            <v>XFILL_PMG100%</v>
          </cell>
          <cell r="L368">
            <v>10</v>
          </cell>
          <cell r="M368" t="str">
            <v>TA+CCL100%</v>
          </cell>
          <cell r="N368" t="e">
            <v>#N/A</v>
          </cell>
          <cell r="O368" t="e">
            <v>#N/A</v>
          </cell>
          <cell r="P368">
            <v>159</v>
          </cell>
          <cell r="Q368">
            <v>0</v>
          </cell>
          <cell r="S368">
            <v>0</v>
          </cell>
          <cell r="T368">
            <v>314.041</v>
          </cell>
          <cell r="V368">
            <v>0</v>
          </cell>
          <cell r="W368" t="e">
            <v>#N/A</v>
          </cell>
          <cell r="X368" t="e">
            <v>#N/A</v>
          </cell>
          <cell r="Y368" t="e">
            <v>#N/A</v>
          </cell>
          <cell r="Z368" t="e">
            <v>#N/A</v>
          </cell>
          <cell r="AA368" t="e">
            <v>#N/A</v>
          </cell>
          <cell r="AD368">
            <v>0</v>
          </cell>
        </row>
        <row r="369">
          <cell r="A369">
            <v>46560</v>
          </cell>
          <cell r="B369" t="e">
            <v>#N/A</v>
          </cell>
          <cell r="C369"/>
          <cell r="D369" t="e">
            <v>#N/A</v>
          </cell>
          <cell r="F369">
            <v>0</v>
          </cell>
          <cell r="G369" t="e">
            <v>#N/A</v>
          </cell>
          <cell r="H369">
            <v>0</v>
          </cell>
          <cell r="I369" t="e">
            <v>#N/A</v>
          </cell>
          <cell r="J369">
            <v>18</v>
          </cell>
          <cell r="K369" t="str">
            <v>XFILL_PMG100%</v>
          </cell>
          <cell r="L369">
            <v>10</v>
          </cell>
          <cell r="M369" t="str">
            <v>TA+CCL100%</v>
          </cell>
          <cell r="N369" t="e">
            <v>#N/A</v>
          </cell>
          <cell r="O369" t="e">
            <v>#N/A</v>
          </cell>
          <cell r="P369">
            <v>159</v>
          </cell>
          <cell r="Q369">
            <v>0</v>
          </cell>
          <cell r="S369">
            <v>0</v>
          </cell>
          <cell r="T369">
            <v>314.041</v>
          </cell>
          <cell r="V369">
            <v>0</v>
          </cell>
          <cell r="W369" t="e">
            <v>#N/A</v>
          </cell>
          <cell r="X369" t="e">
            <v>#N/A</v>
          </cell>
          <cell r="Y369" t="e">
            <v>#N/A</v>
          </cell>
          <cell r="Z369" t="e">
            <v>#N/A</v>
          </cell>
          <cell r="AA369" t="e">
            <v>#N/A</v>
          </cell>
          <cell r="AD369">
            <v>0</v>
          </cell>
        </row>
        <row r="370">
          <cell r="A370">
            <v>46561</v>
          </cell>
          <cell r="B370" t="e">
            <v>#N/A</v>
          </cell>
          <cell r="C370"/>
          <cell r="D370" t="e">
            <v>#N/A</v>
          </cell>
          <cell r="F370">
            <v>0</v>
          </cell>
          <cell r="G370" t="e">
            <v>#N/A</v>
          </cell>
          <cell r="H370">
            <v>0</v>
          </cell>
          <cell r="I370" t="e">
            <v>#N/A</v>
          </cell>
          <cell r="J370">
            <v>18</v>
          </cell>
          <cell r="K370" t="str">
            <v>XFILL_PMG100%</v>
          </cell>
          <cell r="L370">
            <v>10</v>
          </cell>
          <cell r="M370" t="str">
            <v>TA+CCL100%</v>
          </cell>
          <cell r="N370" t="e">
            <v>#N/A</v>
          </cell>
          <cell r="O370" t="e">
            <v>#N/A</v>
          </cell>
          <cell r="P370">
            <v>159</v>
          </cell>
          <cell r="Q370">
            <v>0</v>
          </cell>
          <cell r="S370">
            <v>0</v>
          </cell>
          <cell r="T370">
            <v>314.041</v>
          </cell>
          <cell r="V370">
            <v>0</v>
          </cell>
          <cell r="W370" t="e">
            <v>#N/A</v>
          </cell>
          <cell r="X370" t="e">
            <v>#N/A</v>
          </cell>
          <cell r="Y370" t="e">
            <v>#N/A</v>
          </cell>
          <cell r="Z370" t="e">
            <v>#N/A</v>
          </cell>
          <cell r="AA370" t="e">
            <v>#N/A</v>
          </cell>
          <cell r="AD370">
            <v>0</v>
          </cell>
        </row>
        <row r="371">
          <cell r="A371">
            <v>46562</v>
          </cell>
          <cell r="B371" t="e">
            <v>#N/A</v>
          </cell>
          <cell r="C371"/>
          <cell r="D371" t="e">
            <v>#N/A</v>
          </cell>
          <cell r="F371">
            <v>0</v>
          </cell>
          <cell r="G371" t="e">
            <v>#N/A</v>
          </cell>
          <cell r="H371">
            <v>0</v>
          </cell>
          <cell r="I371" t="e">
            <v>#N/A</v>
          </cell>
          <cell r="J371">
            <v>18</v>
          </cell>
          <cell r="K371" t="str">
            <v>XFILL_PMG100%</v>
          </cell>
          <cell r="L371">
            <v>10</v>
          </cell>
          <cell r="M371" t="str">
            <v>TA+CCL100%</v>
          </cell>
          <cell r="N371" t="e">
            <v>#N/A</v>
          </cell>
          <cell r="O371" t="e">
            <v>#N/A</v>
          </cell>
          <cell r="P371">
            <v>159</v>
          </cell>
          <cell r="Q371">
            <v>0</v>
          </cell>
          <cell r="S371">
            <v>0</v>
          </cell>
          <cell r="T371">
            <v>314.041</v>
          </cell>
          <cell r="V371">
            <v>0</v>
          </cell>
          <cell r="W371" t="e">
            <v>#N/A</v>
          </cell>
          <cell r="X371" t="e">
            <v>#N/A</v>
          </cell>
          <cell r="Y371" t="e">
            <v>#N/A</v>
          </cell>
          <cell r="Z371" t="e">
            <v>#N/A</v>
          </cell>
          <cell r="AA371" t="e">
            <v>#N/A</v>
          </cell>
          <cell r="AD371">
            <v>0</v>
          </cell>
        </row>
        <row r="372">
          <cell r="A372">
            <v>46563</v>
          </cell>
          <cell r="B372" t="e">
            <v>#N/A</v>
          </cell>
          <cell r="C372"/>
          <cell r="D372" t="e">
            <v>#N/A</v>
          </cell>
          <cell r="F372">
            <v>0</v>
          </cell>
          <cell r="G372" t="e">
            <v>#N/A</v>
          </cell>
          <cell r="H372">
            <v>0</v>
          </cell>
          <cell r="I372" t="e">
            <v>#N/A</v>
          </cell>
          <cell r="J372">
            <v>18</v>
          </cell>
          <cell r="K372" t="str">
            <v>XFILL_PMG100%</v>
          </cell>
          <cell r="L372">
            <v>10</v>
          </cell>
          <cell r="M372" t="str">
            <v>TA+CCL100%</v>
          </cell>
          <cell r="N372" t="e">
            <v>#N/A</v>
          </cell>
          <cell r="O372" t="e">
            <v>#N/A</v>
          </cell>
          <cell r="P372">
            <v>159</v>
          </cell>
          <cell r="Q372">
            <v>0</v>
          </cell>
          <cell r="S372">
            <v>0</v>
          </cell>
          <cell r="T372">
            <v>314.041</v>
          </cell>
          <cell r="V372">
            <v>0</v>
          </cell>
          <cell r="W372" t="e">
            <v>#N/A</v>
          </cell>
          <cell r="X372" t="e">
            <v>#N/A</v>
          </cell>
          <cell r="Y372" t="e">
            <v>#N/A</v>
          </cell>
          <cell r="Z372" t="e">
            <v>#N/A</v>
          </cell>
          <cell r="AA372" t="e">
            <v>#N/A</v>
          </cell>
          <cell r="AD372">
            <v>0</v>
          </cell>
        </row>
        <row r="373">
          <cell r="A373">
            <v>46564</v>
          </cell>
          <cell r="B373" t="e">
            <v>#N/A</v>
          </cell>
          <cell r="C373"/>
          <cell r="D373" t="e">
            <v>#N/A</v>
          </cell>
          <cell r="F373">
            <v>0</v>
          </cell>
          <cell r="G373" t="e">
            <v>#N/A</v>
          </cell>
          <cell r="H373">
            <v>0</v>
          </cell>
          <cell r="I373" t="e">
            <v>#N/A</v>
          </cell>
          <cell r="J373">
            <v>18</v>
          </cell>
          <cell r="K373" t="str">
            <v>XFILL_PMG100%</v>
          </cell>
          <cell r="L373">
            <v>10</v>
          </cell>
          <cell r="M373" t="str">
            <v>TA+CCL100%</v>
          </cell>
          <cell r="N373" t="e">
            <v>#N/A</v>
          </cell>
          <cell r="O373" t="e">
            <v>#N/A</v>
          </cell>
          <cell r="P373">
            <v>159</v>
          </cell>
          <cell r="Q373">
            <v>0</v>
          </cell>
          <cell r="S373">
            <v>0</v>
          </cell>
          <cell r="T373">
            <v>314.041</v>
          </cell>
          <cell r="V373">
            <v>0</v>
          </cell>
          <cell r="W373" t="e">
            <v>#N/A</v>
          </cell>
          <cell r="X373" t="e">
            <v>#N/A</v>
          </cell>
          <cell r="Y373" t="e">
            <v>#N/A</v>
          </cell>
          <cell r="Z373" t="e">
            <v>#N/A</v>
          </cell>
          <cell r="AA373" t="e">
            <v>#N/A</v>
          </cell>
          <cell r="AD373">
            <v>0</v>
          </cell>
        </row>
        <row r="374">
          <cell r="A374">
            <v>46565</v>
          </cell>
          <cell r="B374" t="e">
            <v>#N/A</v>
          </cell>
          <cell r="C374"/>
          <cell r="D374" t="e">
            <v>#N/A</v>
          </cell>
          <cell r="F374">
            <v>0</v>
          </cell>
          <cell r="G374" t="e">
            <v>#N/A</v>
          </cell>
          <cell r="H374">
            <v>0</v>
          </cell>
          <cell r="I374" t="e">
            <v>#N/A</v>
          </cell>
          <cell r="J374">
            <v>18</v>
          </cell>
          <cell r="K374" t="str">
            <v>XFILL_PMG100%</v>
          </cell>
          <cell r="L374">
            <v>10</v>
          </cell>
          <cell r="M374" t="str">
            <v>TA+CCL100%</v>
          </cell>
          <cell r="N374" t="e">
            <v>#N/A</v>
          </cell>
          <cell r="O374" t="e">
            <v>#N/A</v>
          </cell>
          <cell r="P374">
            <v>159</v>
          </cell>
          <cell r="Q374">
            <v>0</v>
          </cell>
          <cell r="S374">
            <v>0</v>
          </cell>
          <cell r="T374">
            <v>314.041</v>
          </cell>
          <cell r="V374">
            <v>0</v>
          </cell>
          <cell r="W374" t="e">
            <v>#N/A</v>
          </cell>
          <cell r="X374" t="e">
            <v>#N/A</v>
          </cell>
          <cell r="Y374" t="e">
            <v>#N/A</v>
          </cell>
          <cell r="Z374" t="e">
            <v>#N/A</v>
          </cell>
          <cell r="AA374" t="e">
            <v>#N/A</v>
          </cell>
          <cell r="AD374">
            <v>0</v>
          </cell>
        </row>
        <row r="375">
          <cell r="A375">
            <v>46566</v>
          </cell>
          <cell r="B375" t="e">
            <v>#N/A</v>
          </cell>
          <cell r="C375"/>
          <cell r="D375" t="e">
            <v>#N/A</v>
          </cell>
          <cell r="F375">
            <v>0</v>
          </cell>
          <cell r="G375" t="e">
            <v>#N/A</v>
          </cell>
          <cell r="H375">
            <v>0</v>
          </cell>
          <cell r="I375" t="e">
            <v>#N/A</v>
          </cell>
          <cell r="J375">
            <v>18</v>
          </cell>
          <cell r="K375" t="str">
            <v>XFILL_PMG100%</v>
          </cell>
          <cell r="L375">
            <v>10</v>
          </cell>
          <cell r="M375" t="str">
            <v>TA+CCL100%</v>
          </cell>
          <cell r="N375" t="e">
            <v>#N/A</v>
          </cell>
          <cell r="O375" t="e">
            <v>#N/A</v>
          </cell>
          <cell r="P375">
            <v>159</v>
          </cell>
          <cell r="Q375">
            <v>0</v>
          </cell>
          <cell r="S375">
            <v>0</v>
          </cell>
          <cell r="T375">
            <v>314.041</v>
          </cell>
          <cell r="V375">
            <v>0</v>
          </cell>
          <cell r="W375" t="e">
            <v>#N/A</v>
          </cell>
          <cell r="X375" t="e">
            <v>#N/A</v>
          </cell>
          <cell r="Y375" t="e">
            <v>#N/A</v>
          </cell>
          <cell r="Z375" t="e">
            <v>#N/A</v>
          </cell>
          <cell r="AA375" t="e">
            <v>#N/A</v>
          </cell>
          <cell r="AD375">
            <v>0</v>
          </cell>
        </row>
        <row r="376">
          <cell r="A376">
            <v>46567</v>
          </cell>
          <cell r="B376" t="e">
            <v>#N/A</v>
          </cell>
          <cell r="C376"/>
          <cell r="D376" t="e">
            <v>#N/A</v>
          </cell>
          <cell r="F376">
            <v>0</v>
          </cell>
          <cell r="G376" t="e">
            <v>#N/A</v>
          </cell>
          <cell r="H376">
            <v>0</v>
          </cell>
          <cell r="I376" t="e">
            <v>#N/A</v>
          </cell>
          <cell r="J376">
            <v>18</v>
          </cell>
          <cell r="K376" t="str">
            <v>XFILL_PMG100%</v>
          </cell>
          <cell r="L376">
            <v>10</v>
          </cell>
          <cell r="M376" t="str">
            <v>TA+CCL100%</v>
          </cell>
          <cell r="N376" t="e">
            <v>#N/A</v>
          </cell>
          <cell r="O376" t="e">
            <v>#N/A</v>
          </cell>
          <cell r="P376">
            <v>159</v>
          </cell>
          <cell r="Q376">
            <v>0</v>
          </cell>
          <cell r="S376">
            <v>0</v>
          </cell>
          <cell r="T376">
            <v>314.041</v>
          </cell>
          <cell r="V376">
            <v>0</v>
          </cell>
          <cell r="W376" t="e">
            <v>#N/A</v>
          </cell>
          <cell r="X376" t="e">
            <v>#N/A</v>
          </cell>
          <cell r="Y376" t="e">
            <v>#N/A</v>
          </cell>
          <cell r="Z376" t="e">
            <v>#N/A</v>
          </cell>
          <cell r="AA376" t="e">
            <v>#N/A</v>
          </cell>
          <cell r="AD376">
            <v>0</v>
          </cell>
        </row>
        <row r="377">
          <cell r="A377">
            <v>46568</v>
          </cell>
          <cell r="B377" t="e">
            <v>#N/A</v>
          </cell>
          <cell r="C377"/>
          <cell r="D377" t="e">
            <v>#N/A</v>
          </cell>
          <cell r="F377">
            <v>0</v>
          </cell>
          <cell r="G377" t="e">
            <v>#N/A</v>
          </cell>
          <cell r="H377">
            <v>0</v>
          </cell>
          <cell r="I377" t="e">
            <v>#N/A</v>
          </cell>
          <cell r="J377">
            <v>18</v>
          </cell>
          <cell r="K377" t="str">
            <v>XFILL_PMG100%</v>
          </cell>
          <cell r="L377">
            <v>10</v>
          </cell>
          <cell r="M377" t="str">
            <v>TA+CCL100%</v>
          </cell>
          <cell r="N377" t="e">
            <v>#N/A</v>
          </cell>
          <cell r="O377" t="e">
            <v>#N/A</v>
          </cell>
          <cell r="P377">
            <v>159</v>
          </cell>
          <cell r="Q377">
            <v>0</v>
          </cell>
          <cell r="S377">
            <v>0</v>
          </cell>
          <cell r="T377">
            <v>314.041</v>
          </cell>
          <cell r="V377">
            <v>0</v>
          </cell>
          <cell r="W377" t="e">
            <v>#N/A</v>
          </cell>
          <cell r="X377" t="e">
            <v>#N/A</v>
          </cell>
          <cell r="Y377" t="e">
            <v>#N/A</v>
          </cell>
          <cell r="Z377" t="e">
            <v>#N/A</v>
          </cell>
          <cell r="AA377" t="e">
            <v>#N/A</v>
          </cell>
          <cell r="AD377">
            <v>0</v>
          </cell>
        </row>
        <row r="378">
          <cell r="A378">
            <v>46569</v>
          </cell>
          <cell r="B378" t="e">
            <v>#N/A</v>
          </cell>
          <cell r="C378"/>
          <cell r="D378" t="e">
            <v>#N/A</v>
          </cell>
          <cell r="F378">
            <v>0</v>
          </cell>
          <cell r="G378" t="e">
            <v>#N/A</v>
          </cell>
          <cell r="H378">
            <v>0</v>
          </cell>
          <cell r="I378" t="e">
            <v>#N/A</v>
          </cell>
          <cell r="J378">
            <v>18</v>
          </cell>
          <cell r="K378" t="str">
            <v>XFILL_PMG100%</v>
          </cell>
          <cell r="L378">
            <v>10</v>
          </cell>
          <cell r="M378" t="str">
            <v>TA+CCL100%</v>
          </cell>
          <cell r="N378" t="e">
            <v>#N/A</v>
          </cell>
          <cell r="O378" t="e">
            <v>#N/A</v>
          </cell>
          <cell r="P378">
            <v>159</v>
          </cell>
          <cell r="Q378">
            <v>0</v>
          </cell>
          <cell r="S378">
            <v>0</v>
          </cell>
          <cell r="T378">
            <v>314.041</v>
          </cell>
          <cell r="V378">
            <v>0</v>
          </cell>
          <cell r="W378" t="e">
            <v>#N/A</v>
          </cell>
          <cell r="X378" t="e">
            <v>#N/A</v>
          </cell>
          <cell r="Y378" t="e">
            <v>#N/A</v>
          </cell>
          <cell r="Z378" t="e">
            <v>#N/A</v>
          </cell>
          <cell r="AA378" t="e">
            <v>#N/A</v>
          </cell>
          <cell r="AD378">
            <v>0</v>
          </cell>
        </row>
        <row r="379">
          <cell r="A379">
            <v>46570</v>
          </cell>
          <cell r="B379" t="e">
            <v>#N/A</v>
          </cell>
          <cell r="C379"/>
          <cell r="D379" t="e">
            <v>#N/A</v>
          </cell>
          <cell r="F379">
            <v>0</v>
          </cell>
          <cell r="G379" t="e">
            <v>#N/A</v>
          </cell>
          <cell r="H379">
            <v>0</v>
          </cell>
          <cell r="I379" t="e">
            <v>#N/A</v>
          </cell>
          <cell r="J379">
            <v>18</v>
          </cell>
          <cell r="K379" t="str">
            <v>XFILL_PMG100%</v>
          </cell>
          <cell r="L379">
            <v>10</v>
          </cell>
          <cell r="M379" t="str">
            <v>TA+CCL100%</v>
          </cell>
          <cell r="N379" t="e">
            <v>#N/A</v>
          </cell>
          <cell r="O379" t="e">
            <v>#N/A</v>
          </cell>
          <cell r="P379">
            <v>159</v>
          </cell>
          <cell r="Q379">
            <v>0</v>
          </cell>
          <cell r="S379">
            <v>0</v>
          </cell>
          <cell r="T379">
            <v>314.041</v>
          </cell>
          <cell r="V379">
            <v>0</v>
          </cell>
          <cell r="W379" t="e">
            <v>#N/A</v>
          </cell>
          <cell r="X379" t="e">
            <v>#N/A</v>
          </cell>
          <cell r="Y379" t="e">
            <v>#N/A</v>
          </cell>
          <cell r="Z379" t="e">
            <v>#N/A</v>
          </cell>
          <cell r="AA379" t="e">
            <v>#N/A</v>
          </cell>
          <cell r="AD379">
            <v>0</v>
          </cell>
        </row>
        <row r="380">
          <cell r="A380">
            <v>46571</v>
          </cell>
          <cell r="B380" t="e">
            <v>#N/A</v>
          </cell>
          <cell r="C380"/>
          <cell r="D380" t="e">
            <v>#N/A</v>
          </cell>
          <cell r="F380">
            <v>0</v>
          </cell>
          <cell r="G380" t="e">
            <v>#N/A</v>
          </cell>
          <cell r="H380">
            <v>0</v>
          </cell>
          <cell r="I380" t="e">
            <v>#N/A</v>
          </cell>
          <cell r="J380">
            <v>18</v>
          </cell>
          <cell r="K380" t="str">
            <v>XFILL_PMG100%</v>
          </cell>
          <cell r="L380">
            <v>10</v>
          </cell>
          <cell r="M380" t="str">
            <v>TA+CCL100%</v>
          </cell>
          <cell r="N380" t="e">
            <v>#N/A</v>
          </cell>
          <cell r="O380" t="e">
            <v>#N/A</v>
          </cell>
          <cell r="P380">
            <v>159</v>
          </cell>
          <cell r="Q380">
            <v>0</v>
          </cell>
          <cell r="S380">
            <v>0</v>
          </cell>
          <cell r="T380">
            <v>314.041</v>
          </cell>
          <cell r="V380">
            <v>0</v>
          </cell>
          <cell r="W380" t="e">
            <v>#N/A</v>
          </cell>
          <cell r="X380" t="e">
            <v>#N/A</v>
          </cell>
          <cell r="Y380" t="e">
            <v>#N/A</v>
          </cell>
          <cell r="Z380" t="e">
            <v>#N/A</v>
          </cell>
          <cell r="AA380" t="e">
            <v>#N/A</v>
          </cell>
          <cell r="AD380">
            <v>0</v>
          </cell>
        </row>
        <row r="381">
          <cell r="A381">
            <v>46572</v>
          </cell>
          <cell r="B381" t="e">
            <v>#N/A</v>
          </cell>
          <cell r="C381"/>
          <cell r="D381" t="e">
            <v>#N/A</v>
          </cell>
          <cell r="F381">
            <v>0</v>
          </cell>
          <cell r="G381" t="e">
            <v>#N/A</v>
          </cell>
          <cell r="H381">
            <v>0</v>
          </cell>
          <cell r="I381" t="e">
            <v>#N/A</v>
          </cell>
          <cell r="J381">
            <v>18</v>
          </cell>
          <cell r="K381" t="str">
            <v>XFILL_PMG100%</v>
          </cell>
          <cell r="L381">
            <v>10</v>
          </cell>
          <cell r="M381" t="str">
            <v>TA+CCL100%</v>
          </cell>
          <cell r="N381" t="e">
            <v>#N/A</v>
          </cell>
          <cell r="O381" t="e">
            <v>#N/A</v>
          </cell>
          <cell r="P381">
            <v>159</v>
          </cell>
          <cell r="Q381">
            <v>0</v>
          </cell>
          <cell r="S381">
            <v>0</v>
          </cell>
          <cell r="T381">
            <v>314.041</v>
          </cell>
          <cell r="V381">
            <v>0</v>
          </cell>
          <cell r="W381" t="e">
            <v>#N/A</v>
          </cell>
          <cell r="X381" t="e">
            <v>#N/A</v>
          </cell>
          <cell r="Y381" t="e">
            <v>#N/A</v>
          </cell>
          <cell r="Z381" t="e">
            <v>#N/A</v>
          </cell>
          <cell r="AA381" t="e">
            <v>#N/A</v>
          </cell>
          <cell r="AD381">
            <v>0</v>
          </cell>
        </row>
        <row r="382">
          <cell r="A382">
            <v>46573</v>
          </cell>
          <cell r="B382" t="e">
            <v>#N/A</v>
          </cell>
          <cell r="C382"/>
          <cell r="D382" t="e">
            <v>#N/A</v>
          </cell>
          <cell r="F382">
            <v>0</v>
          </cell>
          <cell r="G382" t="e">
            <v>#N/A</v>
          </cell>
          <cell r="H382">
            <v>0</v>
          </cell>
          <cell r="I382" t="e">
            <v>#N/A</v>
          </cell>
          <cell r="J382">
            <v>18</v>
          </cell>
          <cell r="K382" t="str">
            <v>XFILL_PMG100%</v>
          </cell>
          <cell r="L382">
            <v>10</v>
          </cell>
          <cell r="M382" t="str">
            <v>TA+CCL100%</v>
          </cell>
          <cell r="N382" t="e">
            <v>#N/A</v>
          </cell>
          <cell r="O382" t="e">
            <v>#N/A</v>
          </cell>
          <cell r="P382">
            <v>159</v>
          </cell>
          <cell r="Q382">
            <v>0</v>
          </cell>
          <cell r="S382">
            <v>0</v>
          </cell>
          <cell r="T382">
            <v>314.041</v>
          </cell>
          <cell r="V382">
            <v>0</v>
          </cell>
          <cell r="W382" t="e">
            <v>#N/A</v>
          </cell>
          <cell r="X382" t="e">
            <v>#N/A</v>
          </cell>
          <cell r="Y382" t="e">
            <v>#N/A</v>
          </cell>
          <cell r="Z382" t="e">
            <v>#N/A</v>
          </cell>
          <cell r="AA382" t="e">
            <v>#N/A</v>
          </cell>
          <cell r="AD382">
            <v>0</v>
          </cell>
        </row>
        <row r="383">
          <cell r="A383">
            <v>46574</v>
          </cell>
          <cell r="B383" t="e">
            <v>#N/A</v>
          </cell>
          <cell r="C383"/>
          <cell r="D383" t="e">
            <v>#N/A</v>
          </cell>
          <cell r="F383">
            <v>0</v>
          </cell>
          <cell r="G383" t="e">
            <v>#N/A</v>
          </cell>
          <cell r="H383">
            <v>0</v>
          </cell>
          <cell r="I383" t="e">
            <v>#N/A</v>
          </cell>
          <cell r="J383">
            <v>18</v>
          </cell>
          <cell r="K383" t="str">
            <v>XFILL_PMG100%</v>
          </cell>
          <cell r="L383">
            <v>10</v>
          </cell>
          <cell r="M383" t="str">
            <v>TA+CCL100%</v>
          </cell>
          <cell r="N383" t="e">
            <v>#N/A</v>
          </cell>
          <cell r="O383" t="e">
            <v>#N/A</v>
          </cell>
          <cell r="P383">
            <v>159</v>
          </cell>
          <cell r="Q383">
            <v>0</v>
          </cell>
          <cell r="S383">
            <v>0</v>
          </cell>
          <cell r="T383">
            <v>314.041</v>
          </cell>
          <cell r="V383">
            <v>0</v>
          </cell>
          <cell r="W383" t="e">
            <v>#N/A</v>
          </cell>
          <cell r="X383" t="e">
            <v>#N/A</v>
          </cell>
          <cell r="Y383" t="e">
            <v>#N/A</v>
          </cell>
          <cell r="Z383" t="e">
            <v>#N/A</v>
          </cell>
          <cell r="AA383" t="e">
            <v>#N/A</v>
          </cell>
          <cell r="AD383">
            <v>0</v>
          </cell>
        </row>
        <row r="384">
          <cell r="A384">
            <v>46575</v>
          </cell>
          <cell r="B384" t="e">
            <v>#N/A</v>
          </cell>
          <cell r="C384"/>
          <cell r="D384" t="e">
            <v>#N/A</v>
          </cell>
          <cell r="F384">
            <v>0</v>
          </cell>
          <cell r="G384" t="e">
            <v>#N/A</v>
          </cell>
          <cell r="H384">
            <v>0</v>
          </cell>
          <cell r="I384" t="e">
            <v>#N/A</v>
          </cell>
          <cell r="J384">
            <v>18</v>
          </cell>
          <cell r="K384" t="str">
            <v>XFILL_PMG100%</v>
          </cell>
          <cell r="L384">
            <v>10</v>
          </cell>
          <cell r="M384" t="str">
            <v>TA+CCL100%</v>
          </cell>
          <cell r="N384" t="e">
            <v>#N/A</v>
          </cell>
          <cell r="O384" t="e">
            <v>#N/A</v>
          </cell>
          <cell r="P384">
            <v>159</v>
          </cell>
          <cell r="Q384">
            <v>0</v>
          </cell>
          <cell r="S384">
            <v>0</v>
          </cell>
          <cell r="T384">
            <v>314.041</v>
          </cell>
          <cell r="V384">
            <v>0</v>
          </cell>
          <cell r="W384" t="e">
            <v>#N/A</v>
          </cell>
          <cell r="X384" t="e">
            <v>#N/A</v>
          </cell>
          <cell r="Y384" t="e">
            <v>#N/A</v>
          </cell>
          <cell r="Z384" t="e">
            <v>#N/A</v>
          </cell>
          <cell r="AA384" t="e">
            <v>#N/A</v>
          </cell>
          <cell r="AD384">
            <v>0</v>
          </cell>
        </row>
        <row r="385">
          <cell r="A385">
            <v>46576</v>
          </cell>
          <cell r="B385" t="e">
            <v>#N/A</v>
          </cell>
          <cell r="C385"/>
          <cell r="D385" t="e">
            <v>#N/A</v>
          </cell>
          <cell r="F385">
            <v>0</v>
          </cell>
          <cell r="G385" t="e">
            <v>#N/A</v>
          </cell>
          <cell r="H385">
            <v>0</v>
          </cell>
          <cell r="I385" t="e">
            <v>#N/A</v>
          </cell>
          <cell r="J385">
            <v>18</v>
          </cell>
          <cell r="K385" t="str">
            <v>XFILL_PMG100%</v>
          </cell>
          <cell r="L385">
            <v>10</v>
          </cell>
          <cell r="M385" t="str">
            <v>TA+CCL100%</v>
          </cell>
          <cell r="N385" t="e">
            <v>#N/A</v>
          </cell>
          <cell r="O385" t="e">
            <v>#N/A</v>
          </cell>
          <cell r="P385">
            <v>159</v>
          </cell>
          <cell r="Q385">
            <v>0</v>
          </cell>
          <cell r="S385">
            <v>0</v>
          </cell>
          <cell r="T385">
            <v>314.041</v>
          </cell>
          <cell r="V385">
            <v>0</v>
          </cell>
          <cell r="W385" t="e">
            <v>#N/A</v>
          </cell>
          <cell r="X385" t="e">
            <v>#N/A</v>
          </cell>
          <cell r="Y385" t="e">
            <v>#N/A</v>
          </cell>
          <cell r="Z385" t="e">
            <v>#N/A</v>
          </cell>
          <cell r="AA385" t="e">
            <v>#N/A</v>
          </cell>
          <cell r="AD385">
            <v>0</v>
          </cell>
        </row>
        <row r="386">
          <cell r="A386">
            <v>46577</v>
          </cell>
          <cell r="B386" t="e">
            <v>#N/A</v>
          </cell>
          <cell r="C386"/>
          <cell r="D386" t="e">
            <v>#N/A</v>
          </cell>
          <cell r="F386">
            <v>0</v>
          </cell>
          <cell r="G386" t="e">
            <v>#N/A</v>
          </cell>
          <cell r="H386">
            <v>0</v>
          </cell>
          <cell r="I386" t="e">
            <v>#N/A</v>
          </cell>
          <cell r="J386">
            <v>18</v>
          </cell>
          <cell r="K386" t="str">
            <v>XFILL_PMG100%</v>
          </cell>
          <cell r="L386">
            <v>10</v>
          </cell>
          <cell r="M386" t="str">
            <v>TA+CCL100%</v>
          </cell>
          <cell r="N386" t="e">
            <v>#N/A</v>
          </cell>
          <cell r="O386" t="e">
            <v>#N/A</v>
          </cell>
          <cell r="P386">
            <v>159</v>
          </cell>
          <cell r="Q386">
            <v>0</v>
          </cell>
          <cell r="S386">
            <v>0</v>
          </cell>
          <cell r="T386">
            <v>314.041</v>
          </cell>
          <cell r="V386">
            <v>0</v>
          </cell>
          <cell r="W386" t="e">
            <v>#N/A</v>
          </cell>
          <cell r="X386" t="e">
            <v>#N/A</v>
          </cell>
          <cell r="Y386" t="e">
            <v>#N/A</v>
          </cell>
          <cell r="Z386" t="e">
            <v>#N/A</v>
          </cell>
          <cell r="AA386" t="e">
            <v>#N/A</v>
          </cell>
          <cell r="AD386">
            <v>0</v>
          </cell>
        </row>
        <row r="387">
          <cell r="A387">
            <v>46578</v>
          </cell>
          <cell r="B387" t="e">
            <v>#N/A</v>
          </cell>
          <cell r="C387"/>
          <cell r="D387" t="e">
            <v>#N/A</v>
          </cell>
          <cell r="F387">
            <v>0</v>
          </cell>
          <cell r="G387" t="e">
            <v>#N/A</v>
          </cell>
          <cell r="H387">
            <v>0</v>
          </cell>
          <cell r="I387" t="e">
            <v>#N/A</v>
          </cell>
          <cell r="J387">
            <v>18</v>
          </cell>
          <cell r="K387" t="str">
            <v>XFILL_PMG100%</v>
          </cell>
          <cell r="L387">
            <v>10</v>
          </cell>
          <cell r="M387" t="str">
            <v>TA+CCL100%</v>
          </cell>
          <cell r="N387" t="e">
            <v>#N/A</v>
          </cell>
          <cell r="O387" t="e">
            <v>#N/A</v>
          </cell>
          <cell r="P387">
            <v>159</v>
          </cell>
          <cell r="Q387">
            <v>0</v>
          </cell>
          <cell r="S387">
            <v>0</v>
          </cell>
          <cell r="T387">
            <v>314.041</v>
          </cell>
          <cell r="V387">
            <v>0</v>
          </cell>
          <cell r="W387" t="e">
            <v>#N/A</v>
          </cell>
          <cell r="X387" t="e">
            <v>#N/A</v>
          </cell>
          <cell r="Y387" t="e">
            <v>#N/A</v>
          </cell>
          <cell r="Z387" t="e">
            <v>#N/A</v>
          </cell>
          <cell r="AA387" t="e">
            <v>#N/A</v>
          </cell>
          <cell r="AD387">
            <v>0</v>
          </cell>
        </row>
        <row r="388">
          <cell r="A388">
            <v>46579</v>
          </cell>
          <cell r="B388" t="e">
            <v>#N/A</v>
          </cell>
          <cell r="C388"/>
          <cell r="D388" t="e">
            <v>#N/A</v>
          </cell>
          <cell r="F388">
            <v>0</v>
          </cell>
          <cell r="G388" t="e">
            <v>#N/A</v>
          </cell>
          <cell r="H388">
            <v>0</v>
          </cell>
          <cell r="I388" t="e">
            <v>#N/A</v>
          </cell>
          <cell r="J388">
            <v>18</v>
          </cell>
          <cell r="K388" t="str">
            <v>XFILL_PMG100%</v>
          </cell>
          <cell r="L388">
            <v>10</v>
          </cell>
          <cell r="M388" t="str">
            <v>TA+CCL100%</v>
          </cell>
          <cell r="N388" t="e">
            <v>#N/A</v>
          </cell>
          <cell r="O388" t="e">
            <v>#N/A</v>
          </cell>
          <cell r="P388">
            <v>159</v>
          </cell>
          <cell r="Q388">
            <v>0</v>
          </cell>
          <cell r="S388">
            <v>0</v>
          </cell>
          <cell r="T388">
            <v>314.041</v>
          </cell>
          <cell r="V388">
            <v>0</v>
          </cell>
          <cell r="W388" t="e">
            <v>#N/A</v>
          </cell>
          <cell r="X388" t="e">
            <v>#N/A</v>
          </cell>
          <cell r="Y388" t="e">
            <v>#N/A</v>
          </cell>
          <cell r="Z388" t="e">
            <v>#N/A</v>
          </cell>
          <cell r="AA388" t="e">
            <v>#N/A</v>
          </cell>
          <cell r="AD388">
            <v>0</v>
          </cell>
        </row>
        <row r="389">
          <cell r="A389">
            <v>46580</v>
          </cell>
          <cell r="B389" t="e">
            <v>#N/A</v>
          </cell>
          <cell r="C389"/>
          <cell r="D389" t="e">
            <v>#N/A</v>
          </cell>
          <cell r="F389">
            <v>0</v>
          </cell>
          <cell r="G389" t="e">
            <v>#N/A</v>
          </cell>
          <cell r="H389">
            <v>0</v>
          </cell>
          <cell r="I389" t="e">
            <v>#N/A</v>
          </cell>
          <cell r="J389">
            <v>18</v>
          </cell>
          <cell r="K389" t="str">
            <v>XFILL_PMG100%</v>
          </cell>
          <cell r="L389">
            <v>10</v>
          </cell>
          <cell r="M389" t="str">
            <v>TA+CCL100%</v>
          </cell>
          <cell r="N389" t="e">
            <v>#N/A</v>
          </cell>
          <cell r="O389" t="e">
            <v>#N/A</v>
          </cell>
          <cell r="P389">
            <v>159</v>
          </cell>
          <cell r="Q389">
            <v>0</v>
          </cell>
          <cell r="S389">
            <v>0</v>
          </cell>
          <cell r="T389">
            <v>314.041</v>
          </cell>
          <cell r="V389">
            <v>0</v>
          </cell>
          <cell r="W389" t="e">
            <v>#N/A</v>
          </cell>
          <cell r="X389" t="e">
            <v>#N/A</v>
          </cell>
          <cell r="Y389" t="e">
            <v>#N/A</v>
          </cell>
          <cell r="Z389" t="e">
            <v>#N/A</v>
          </cell>
          <cell r="AA389" t="e">
            <v>#N/A</v>
          </cell>
          <cell r="AD389">
            <v>0</v>
          </cell>
        </row>
        <row r="390">
          <cell r="A390">
            <v>46581</v>
          </cell>
          <cell r="B390" t="e">
            <v>#N/A</v>
          </cell>
          <cell r="C390"/>
          <cell r="D390" t="e">
            <v>#N/A</v>
          </cell>
          <cell r="F390">
            <v>0</v>
          </cell>
          <cell r="G390" t="e">
            <v>#N/A</v>
          </cell>
          <cell r="H390">
            <v>0</v>
          </cell>
          <cell r="I390" t="e">
            <v>#N/A</v>
          </cell>
          <cell r="J390">
            <v>18</v>
          </cell>
          <cell r="K390" t="str">
            <v>XFILL_PMG100%</v>
          </cell>
          <cell r="L390">
            <v>10</v>
          </cell>
          <cell r="M390" t="str">
            <v>TA+CCL100%</v>
          </cell>
          <cell r="N390" t="e">
            <v>#N/A</v>
          </cell>
          <cell r="O390" t="e">
            <v>#N/A</v>
          </cell>
          <cell r="P390">
            <v>159</v>
          </cell>
          <cell r="Q390">
            <v>0</v>
          </cell>
          <cell r="S390">
            <v>0</v>
          </cell>
          <cell r="T390">
            <v>314.041</v>
          </cell>
          <cell r="V390">
            <v>0</v>
          </cell>
          <cell r="W390" t="e">
            <v>#N/A</v>
          </cell>
          <cell r="X390" t="e">
            <v>#N/A</v>
          </cell>
          <cell r="Y390" t="e">
            <v>#N/A</v>
          </cell>
          <cell r="Z390" t="e">
            <v>#N/A</v>
          </cell>
          <cell r="AA390" t="e">
            <v>#N/A</v>
          </cell>
          <cell r="AD390">
            <v>0</v>
          </cell>
        </row>
        <row r="391">
          <cell r="A391">
            <v>46582</v>
          </cell>
          <cell r="B391" t="e">
            <v>#N/A</v>
          </cell>
          <cell r="C391"/>
          <cell r="D391" t="e">
            <v>#N/A</v>
          </cell>
          <cell r="F391">
            <v>0</v>
          </cell>
          <cell r="G391" t="e">
            <v>#N/A</v>
          </cell>
          <cell r="H391">
            <v>0</v>
          </cell>
          <cell r="I391" t="e">
            <v>#N/A</v>
          </cell>
          <cell r="J391">
            <v>18</v>
          </cell>
          <cell r="K391" t="str">
            <v>XFILL_PMG100%</v>
          </cell>
          <cell r="L391">
            <v>10</v>
          </cell>
          <cell r="M391" t="str">
            <v>TA+CCL100%</v>
          </cell>
          <cell r="N391" t="e">
            <v>#N/A</v>
          </cell>
          <cell r="O391" t="e">
            <v>#N/A</v>
          </cell>
          <cell r="P391">
            <v>159</v>
          </cell>
          <cell r="Q391">
            <v>0</v>
          </cell>
          <cell r="S391">
            <v>0</v>
          </cell>
          <cell r="T391">
            <v>314.041</v>
          </cell>
          <cell r="V391">
            <v>0</v>
          </cell>
          <cell r="W391" t="e">
            <v>#N/A</v>
          </cell>
          <cell r="X391" t="e">
            <v>#N/A</v>
          </cell>
          <cell r="Y391" t="e">
            <v>#N/A</v>
          </cell>
          <cell r="Z391" t="e">
            <v>#N/A</v>
          </cell>
          <cell r="AA391" t="e">
            <v>#N/A</v>
          </cell>
          <cell r="AD391">
            <v>0</v>
          </cell>
        </row>
        <row r="392">
          <cell r="A392">
            <v>46583</v>
          </cell>
          <cell r="B392" t="e">
            <v>#N/A</v>
          </cell>
          <cell r="C392"/>
          <cell r="D392" t="e">
            <v>#N/A</v>
          </cell>
          <cell r="F392">
            <v>0</v>
          </cell>
          <cell r="G392" t="e">
            <v>#N/A</v>
          </cell>
          <cell r="H392">
            <v>0</v>
          </cell>
          <cell r="I392" t="e">
            <v>#N/A</v>
          </cell>
          <cell r="J392">
            <v>18</v>
          </cell>
          <cell r="K392" t="str">
            <v>XFILL_PMG100%</v>
          </cell>
          <cell r="L392">
            <v>10</v>
          </cell>
          <cell r="M392" t="str">
            <v>TA+CCL100%</v>
          </cell>
          <cell r="N392" t="e">
            <v>#N/A</v>
          </cell>
          <cell r="O392" t="e">
            <v>#N/A</v>
          </cell>
          <cell r="P392">
            <v>159</v>
          </cell>
          <cell r="Q392">
            <v>0</v>
          </cell>
          <cell r="S392">
            <v>0</v>
          </cell>
          <cell r="T392">
            <v>314.041</v>
          </cell>
          <cell r="V392">
            <v>0</v>
          </cell>
          <cell r="W392" t="e">
            <v>#N/A</v>
          </cell>
          <cell r="X392" t="e">
            <v>#N/A</v>
          </cell>
          <cell r="Y392" t="e">
            <v>#N/A</v>
          </cell>
          <cell r="Z392" t="e">
            <v>#N/A</v>
          </cell>
          <cell r="AA392" t="e">
            <v>#N/A</v>
          </cell>
          <cell r="AD392">
            <v>0</v>
          </cell>
        </row>
        <row r="393">
          <cell r="A393">
            <v>46584</v>
          </cell>
          <cell r="B393" t="e">
            <v>#N/A</v>
          </cell>
          <cell r="C393"/>
          <cell r="D393" t="e">
            <v>#N/A</v>
          </cell>
          <cell r="F393">
            <v>0</v>
          </cell>
          <cell r="G393" t="e">
            <v>#N/A</v>
          </cell>
          <cell r="H393">
            <v>0</v>
          </cell>
          <cell r="I393" t="e">
            <v>#N/A</v>
          </cell>
          <cell r="J393">
            <v>18</v>
          </cell>
          <cell r="K393" t="str">
            <v>XFILL_PMG100%</v>
          </cell>
          <cell r="L393">
            <v>10</v>
          </cell>
          <cell r="M393" t="str">
            <v>TA+CCL100%</v>
          </cell>
          <cell r="N393" t="e">
            <v>#N/A</v>
          </cell>
          <cell r="O393" t="e">
            <v>#N/A</v>
          </cell>
          <cell r="P393">
            <v>159</v>
          </cell>
          <cell r="Q393">
            <v>0</v>
          </cell>
          <cell r="S393">
            <v>0</v>
          </cell>
          <cell r="T393">
            <v>314.041</v>
          </cell>
          <cell r="V393">
            <v>0</v>
          </cell>
          <cell r="W393" t="e">
            <v>#N/A</v>
          </cell>
          <cell r="X393" t="e">
            <v>#N/A</v>
          </cell>
          <cell r="Y393" t="e">
            <v>#N/A</v>
          </cell>
          <cell r="Z393" t="e">
            <v>#N/A</v>
          </cell>
          <cell r="AA393" t="e">
            <v>#N/A</v>
          </cell>
          <cell r="AD393">
            <v>0</v>
          </cell>
        </row>
        <row r="394">
          <cell r="A394">
            <v>46585</v>
          </cell>
          <cell r="B394" t="e">
            <v>#N/A</v>
          </cell>
          <cell r="C394"/>
          <cell r="D394" t="e">
            <v>#N/A</v>
          </cell>
          <cell r="F394">
            <v>0</v>
          </cell>
          <cell r="G394" t="e">
            <v>#N/A</v>
          </cell>
          <cell r="H394">
            <v>0</v>
          </cell>
          <cell r="I394" t="e">
            <v>#N/A</v>
          </cell>
          <cell r="J394">
            <v>18</v>
          </cell>
          <cell r="K394" t="str">
            <v>XFILL_PMG100%</v>
          </cell>
          <cell r="L394">
            <v>10</v>
          </cell>
          <cell r="M394" t="str">
            <v>TA+CCL100%</v>
          </cell>
          <cell r="N394" t="e">
            <v>#N/A</v>
          </cell>
          <cell r="O394" t="e">
            <v>#N/A</v>
          </cell>
          <cell r="P394">
            <v>159</v>
          </cell>
          <cell r="Q394">
            <v>0</v>
          </cell>
          <cell r="S394">
            <v>0</v>
          </cell>
          <cell r="T394">
            <v>314.041</v>
          </cell>
          <cell r="V394">
            <v>0</v>
          </cell>
          <cell r="W394" t="e">
            <v>#N/A</v>
          </cell>
          <cell r="X394" t="e">
            <v>#N/A</v>
          </cell>
          <cell r="Y394" t="e">
            <v>#N/A</v>
          </cell>
          <cell r="Z394" t="e">
            <v>#N/A</v>
          </cell>
          <cell r="AA394" t="e">
            <v>#N/A</v>
          </cell>
          <cell r="AD394">
            <v>0</v>
          </cell>
        </row>
        <row r="395">
          <cell r="A395">
            <v>46586</v>
          </cell>
          <cell r="B395" t="e">
            <v>#N/A</v>
          </cell>
          <cell r="C395"/>
          <cell r="D395" t="e">
            <v>#N/A</v>
          </cell>
          <cell r="F395">
            <v>0</v>
          </cell>
          <cell r="G395" t="e">
            <v>#N/A</v>
          </cell>
          <cell r="H395">
            <v>0</v>
          </cell>
          <cell r="I395" t="e">
            <v>#N/A</v>
          </cell>
          <cell r="J395">
            <v>18</v>
          </cell>
          <cell r="K395" t="str">
            <v>XFILL_PMG100%</v>
          </cell>
          <cell r="L395">
            <v>10</v>
          </cell>
          <cell r="M395" t="str">
            <v>TA+CCL100%</v>
          </cell>
          <cell r="N395" t="e">
            <v>#N/A</v>
          </cell>
          <cell r="O395" t="e">
            <v>#N/A</v>
          </cell>
          <cell r="P395">
            <v>159</v>
          </cell>
          <cell r="Q395">
            <v>0</v>
          </cell>
          <cell r="S395">
            <v>0</v>
          </cell>
          <cell r="T395">
            <v>314.041</v>
          </cell>
          <cell r="V395">
            <v>0</v>
          </cell>
          <cell r="W395" t="e">
            <v>#N/A</v>
          </cell>
          <cell r="X395" t="e">
            <v>#N/A</v>
          </cell>
          <cell r="Y395" t="e">
            <v>#N/A</v>
          </cell>
          <cell r="Z395" t="e">
            <v>#N/A</v>
          </cell>
          <cell r="AA395" t="e">
            <v>#N/A</v>
          </cell>
          <cell r="AD395">
            <v>0</v>
          </cell>
        </row>
        <row r="396">
          <cell r="A396">
            <v>46587</v>
          </cell>
          <cell r="B396" t="e">
            <v>#N/A</v>
          </cell>
          <cell r="C396"/>
          <cell r="D396" t="e">
            <v>#N/A</v>
          </cell>
          <cell r="F396">
            <v>0</v>
          </cell>
          <cell r="G396" t="e">
            <v>#N/A</v>
          </cell>
          <cell r="H396">
            <v>0</v>
          </cell>
          <cell r="I396" t="e">
            <v>#N/A</v>
          </cell>
          <cell r="J396">
            <v>18</v>
          </cell>
          <cell r="K396" t="str">
            <v>XFILL_PMG100%</v>
          </cell>
          <cell r="L396">
            <v>10</v>
          </cell>
          <cell r="M396" t="str">
            <v>TA+CCL100%</v>
          </cell>
          <cell r="N396" t="e">
            <v>#N/A</v>
          </cell>
          <cell r="O396" t="e">
            <v>#N/A</v>
          </cell>
          <cell r="P396">
            <v>159</v>
          </cell>
          <cell r="Q396">
            <v>0</v>
          </cell>
          <cell r="S396">
            <v>0</v>
          </cell>
          <cell r="T396">
            <v>314.041</v>
          </cell>
          <cell r="V396">
            <v>0</v>
          </cell>
          <cell r="W396" t="e">
            <v>#N/A</v>
          </cell>
          <cell r="X396" t="e">
            <v>#N/A</v>
          </cell>
          <cell r="Y396" t="e">
            <v>#N/A</v>
          </cell>
          <cell r="Z396" t="e">
            <v>#N/A</v>
          </cell>
          <cell r="AA396" t="e">
            <v>#N/A</v>
          </cell>
          <cell r="AD396">
            <v>0</v>
          </cell>
        </row>
        <row r="397">
          <cell r="A397">
            <v>46588</v>
          </cell>
          <cell r="B397" t="e">
            <v>#N/A</v>
          </cell>
          <cell r="C397"/>
          <cell r="D397" t="e">
            <v>#N/A</v>
          </cell>
          <cell r="F397">
            <v>0</v>
          </cell>
          <cell r="G397" t="e">
            <v>#N/A</v>
          </cell>
          <cell r="H397">
            <v>0</v>
          </cell>
          <cell r="I397" t="e">
            <v>#N/A</v>
          </cell>
          <cell r="J397">
            <v>18</v>
          </cell>
          <cell r="K397" t="str">
            <v>XFILL_PMG100%</v>
          </cell>
          <cell r="L397">
            <v>10</v>
          </cell>
          <cell r="M397" t="str">
            <v>TA+CCL100%</v>
          </cell>
          <cell r="N397" t="e">
            <v>#N/A</v>
          </cell>
          <cell r="O397" t="e">
            <v>#N/A</v>
          </cell>
          <cell r="P397">
            <v>159</v>
          </cell>
          <cell r="Q397">
            <v>0</v>
          </cell>
          <cell r="S397">
            <v>0</v>
          </cell>
          <cell r="T397">
            <v>314.041</v>
          </cell>
          <cell r="V397">
            <v>0</v>
          </cell>
          <cell r="W397" t="e">
            <v>#N/A</v>
          </cell>
          <cell r="X397" t="e">
            <v>#N/A</v>
          </cell>
          <cell r="Y397" t="e">
            <v>#N/A</v>
          </cell>
          <cell r="Z397" t="e">
            <v>#N/A</v>
          </cell>
          <cell r="AA397" t="e">
            <v>#N/A</v>
          </cell>
          <cell r="AD397">
            <v>0</v>
          </cell>
        </row>
        <row r="398">
          <cell r="A398">
            <v>46589</v>
          </cell>
          <cell r="B398" t="e">
            <v>#N/A</v>
          </cell>
          <cell r="C398"/>
          <cell r="D398" t="e">
            <v>#N/A</v>
          </cell>
          <cell r="F398">
            <v>0</v>
          </cell>
          <cell r="G398" t="e">
            <v>#N/A</v>
          </cell>
          <cell r="H398">
            <v>0</v>
          </cell>
          <cell r="I398" t="e">
            <v>#N/A</v>
          </cell>
          <cell r="J398">
            <v>18</v>
          </cell>
          <cell r="K398" t="str">
            <v>XFILL_PMG100%</v>
          </cell>
          <cell r="L398">
            <v>10</v>
          </cell>
          <cell r="M398" t="str">
            <v>TA+CCL100%</v>
          </cell>
          <cell r="N398" t="e">
            <v>#N/A</v>
          </cell>
          <cell r="O398" t="e">
            <v>#N/A</v>
          </cell>
          <cell r="P398">
            <v>159</v>
          </cell>
          <cell r="Q398">
            <v>0</v>
          </cell>
          <cell r="S398">
            <v>0</v>
          </cell>
          <cell r="T398">
            <v>314.041</v>
          </cell>
          <cell r="V398">
            <v>0</v>
          </cell>
          <cell r="W398" t="e">
            <v>#N/A</v>
          </cell>
          <cell r="X398" t="e">
            <v>#N/A</v>
          </cell>
          <cell r="Y398" t="e">
            <v>#N/A</v>
          </cell>
          <cell r="Z398" t="e">
            <v>#N/A</v>
          </cell>
          <cell r="AA398" t="e">
            <v>#N/A</v>
          </cell>
          <cell r="AD398">
            <v>0</v>
          </cell>
        </row>
        <row r="399">
          <cell r="A399">
            <v>46590</v>
          </cell>
          <cell r="B399" t="e">
            <v>#N/A</v>
          </cell>
          <cell r="C399"/>
          <cell r="D399" t="e">
            <v>#N/A</v>
          </cell>
          <cell r="F399">
            <v>0</v>
          </cell>
          <cell r="G399" t="e">
            <v>#N/A</v>
          </cell>
          <cell r="H399">
            <v>0</v>
          </cell>
          <cell r="I399" t="e">
            <v>#N/A</v>
          </cell>
          <cell r="J399">
            <v>18</v>
          </cell>
          <cell r="K399" t="str">
            <v>XFILL_PMG100%</v>
          </cell>
          <cell r="L399">
            <v>10</v>
          </cell>
          <cell r="M399" t="str">
            <v>TA+CCL100%</v>
          </cell>
          <cell r="N399" t="e">
            <v>#N/A</v>
          </cell>
          <cell r="O399" t="e">
            <v>#N/A</v>
          </cell>
          <cell r="P399">
            <v>159</v>
          </cell>
          <cell r="Q399">
            <v>0</v>
          </cell>
          <cell r="S399">
            <v>0</v>
          </cell>
          <cell r="T399">
            <v>314.041</v>
          </cell>
          <cell r="V399">
            <v>0</v>
          </cell>
          <cell r="W399" t="e">
            <v>#N/A</v>
          </cell>
          <cell r="X399" t="e">
            <v>#N/A</v>
          </cell>
          <cell r="Y399" t="e">
            <v>#N/A</v>
          </cell>
          <cell r="Z399" t="e">
            <v>#N/A</v>
          </cell>
          <cell r="AA399" t="e">
            <v>#N/A</v>
          </cell>
          <cell r="AD399">
            <v>0</v>
          </cell>
        </row>
        <row r="400">
          <cell r="A400">
            <v>46591</v>
          </cell>
          <cell r="B400" t="e">
            <v>#N/A</v>
          </cell>
          <cell r="C400"/>
          <cell r="D400" t="e">
            <v>#N/A</v>
          </cell>
          <cell r="F400">
            <v>0</v>
          </cell>
          <cell r="G400" t="e">
            <v>#N/A</v>
          </cell>
          <cell r="H400">
            <v>0</v>
          </cell>
          <cell r="I400" t="e">
            <v>#N/A</v>
          </cell>
          <cell r="J400">
            <v>18</v>
          </cell>
          <cell r="K400" t="str">
            <v>XFILL_PMG100%</v>
          </cell>
          <cell r="L400">
            <v>10</v>
          </cell>
          <cell r="M400" t="str">
            <v>TA+CCL100%</v>
          </cell>
          <cell r="N400" t="e">
            <v>#N/A</v>
          </cell>
          <cell r="O400" t="e">
            <v>#N/A</v>
          </cell>
          <cell r="P400">
            <v>159</v>
          </cell>
          <cell r="Q400">
            <v>0</v>
          </cell>
          <cell r="S400">
            <v>0</v>
          </cell>
          <cell r="T400">
            <v>314.041</v>
          </cell>
          <cell r="V400">
            <v>0</v>
          </cell>
          <cell r="W400" t="e">
            <v>#N/A</v>
          </cell>
          <cell r="X400" t="e">
            <v>#N/A</v>
          </cell>
          <cell r="Y400" t="e">
            <v>#N/A</v>
          </cell>
          <cell r="Z400" t="e">
            <v>#N/A</v>
          </cell>
          <cell r="AA400" t="e">
            <v>#N/A</v>
          </cell>
          <cell r="AD400">
            <v>0</v>
          </cell>
        </row>
        <row r="401">
          <cell r="A401">
            <v>46592</v>
          </cell>
          <cell r="B401" t="e">
            <v>#N/A</v>
          </cell>
          <cell r="C401"/>
          <cell r="D401" t="e">
            <v>#N/A</v>
          </cell>
          <cell r="F401">
            <v>0</v>
          </cell>
          <cell r="G401" t="e">
            <v>#N/A</v>
          </cell>
          <cell r="H401">
            <v>0</v>
          </cell>
          <cell r="I401" t="e">
            <v>#N/A</v>
          </cell>
          <cell r="J401">
            <v>18</v>
          </cell>
          <cell r="K401" t="str">
            <v>XFILL_PMG100%</v>
          </cell>
          <cell r="L401">
            <v>10</v>
          </cell>
          <cell r="M401" t="str">
            <v>TA+CCL100%</v>
          </cell>
          <cell r="N401" t="e">
            <v>#N/A</v>
          </cell>
          <cell r="O401" t="e">
            <v>#N/A</v>
          </cell>
          <cell r="P401">
            <v>159</v>
          </cell>
          <cell r="Q401">
            <v>0</v>
          </cell>
          <cell r="S401">
            <v>0</v>
          </cell>
          <cell r="T401">
            <v>314.041</v>
          </cell>
          <cell r="V401">
            <v>0</v>
          </cell>
          <cell r="W401" t="e">
            <v>#N/A</v>
          </cell>
          <cell r="X401" t="e">
            <v>#N/A</v>
          </cell>
          <cell r="Y401" t="e">
            <v>#N/A</v>
          </cell>
          <cell r="Z401" t="e">
            <v>#N/A</v>
          </cell>
          <cell r="AA401" t="e">
            <v>#N/A</v>
          </cell>
          <cell r="AD401">
            <v>0</v>
          </cell>
        </row>
        <row r="402">
          <cell r="A402">
            <v>46593</v>
          </cell>
          <cell r="B402" t="e">
            <v>#N/A</v>
          </cell>
          <cell r="C402"/>
          <cell r="D402" t="e">
            <v>#N/A</v>
          </cell>
          <cell r="F402">
            <v>0</v>
          </cell>
          <cell r="G402" t="e">
            <v>#N/A</v>
          </cell>
          <cell r="H402">
            <v>0</v>
          </cell>
          <cell r="I402" t="e">
            <v>#N/A</v>
          </cell>
          <cell r="J402">
            <v>18</v>
          </cell>
          <cell r="K402" t="str">
            <v>XFILL_PMG100%</v>
          </cell>
          <cell r="L402">
            <v>10</v>
          </cell>
          <cell r="M402" t="str">
            <v>TA+CCL100%</v>
          </cell>
          <cell r="N402" t="e">
            <v>#N/A</v>
          </cell>
          <cell r="O402" t="e">
            <v>#N/A</v>
          </cell>
          <cell r="P402">
            <v>159</v>
          </cell>
          <cell r="Q402">
            <v>0</v>
          </cell>
          <cell r="S402">
            <v>0</v>
          </cell>
          <cell r="T402">
            <v>314.041</v>
          </cell>
          <cell r="V402">
            <v>0</v>
          </cell>
          <cell r="W402" t="e">
            <v>#N/A</v>
          </cell>
          <cell r="X402" t="e">
            <v>#N/A</v>
          </cell>
          <cell r="Y402" t="e">
            <v>#N/A</v>
          </cell>
          <cell r="Z402" t="e">
            <v>#N/A</v>
          </cell>
          <cell r="AA402" t="e">
            <v>#N/A</v>
          </cell>
          <cell r="AD402">
            <v>0</v>
          </cell>
        </row>
        <row r="403">
          <cell r="A403">
            <v>46594</v>
          </cell>
          <cell r="B403" t="e">
            <v>#N/A</v>
          </cell>
          <cell r="C403"/>
          <cell r="D403" t="e">
            <v>#N/A</v>
          </cell>
          <cell r="F403">
            <v>0</v>
          </cell>
          <cell r="G403" t="e">
            <v>#N/A</v>
          </cell>
          <cell r="H403">
            <v>0</v>
          </cell>
          <cell r="I403" t="e">
            <v>#N/A</v>
          </cell>
          <cell r="J403">
            <v>18</v>
          </cell>
          <cell r="K403" t="str">
            <v>XFILL_PMG100%</v>
          </cell>
          <cell r="L403">
            <v>10</v>
          </cell>
          <cell r="M403" t="str">
            <v>TA+CCL100%</v>
          </cell>
          <cell r="N403" t="e">
            <v>#N/A</v>
          </cell>
          <cell r="O403" t="e">
            <v>#N/A</v>
          </cell>
          <cell r="P403">
            <v>159</v>
          </cell>
          <cell r="Q403">
            <v>0</v>
          </cell>
          <cell r="S403">
            <v>0</v>
          </cell>
          <cell r="T403">
            <v>314.041</v>
          </cell>
          <cell r="V403">
            <v>0</v>
          </cell>
          <cell r="W403" t="e">
            <v>#N/A</v>
          </cell>
          <cell r="X403" t="e">
            <v>#N/A</v>
          </cell>
          <cell r="Y403" t="e">
            <v>#N/A</v>
          </cell>
          <cell r="Z403" t="e">
            <v>#N/A</v>
          </cell>
          <cell r="AA403" t="e">
            <v>#N/A</v>
          </cell>
          <cell r="AD403">
            <v>0</v>
          </cell>
        </row>
        <row r="404">
          <cell r="A404">
            <v>46595</v>
          </cell>
          <cell r="B404" t="e">
            <v>#N/A</v>
          </cell>
          <cell r="C404"/>
          <cell r="D404" t="e">
            <v>#N/A</v>
          </cell>
          <cell r="F404">
            <v>0</v>
          </cell>
          <cell r="G404" t="e">
            <v>#N/A</v>
          </cell>
          <cell r="H404">
            <v>0</v>
          </cell>
          <cell r="I404" t="e">
            <v>#N/A</v>
          </cell>
          <cell r="J404">
            <v>18</v>
          </cell>
          <cell r="K404" t="str">
            <v>XFILL_PMG100%</v>
          </cell>
          <cell r="L404">
            <v>10</v>
          </cell>
          <cell r="M404" t="str">
            <v>TA+CCL100%</v>
          </cell>
          <cell r="N404" t="e">
            <v>#N/A</v>
          </cell>
          <cell r="O404" t="e">
            <v>#N/A</v>
          </cell>
          <cell r="P404">
            <v>159</v>
          </cell>
          <cell r="Q404">
            <v>0</v>
          </cell>
          <cell r="S404">
            <v>0</v>
          </cell>
          <cell r="T404">
            <v>314.041</v>
          </cell>
          <cell r="V404">
            <v>0</v>
          </cell>
          <cell r="W404" t="e">
            <v>#N/A</v>
          </cell>
          <cell r="X404" t="e">
            <v>#N/A</v>
          </cell>
          <cell r="Y404" t="e">
            <v>#N/A</v>
          </cell>
          <cell r="Z404" t="e">
            <v>#N/A</v>
          </cell>
          <cell r="AA404" t="e">
            <v>#N/A</v>
          </cell>
          <cell r="AD404">
            <v>0</v>
          </cell>
        </row>
        <row r="405">
          <cell r="A405">
            <v>46596</v>
          </cell>
          <cell r="B405" t="e">
            <v>#N/A</v>
          </cell>
          <cell r="C405"/>
          <cell r="D405" t="e">
            <v>#N/A</v>
          </cell>
          <cell r="F405">
            <v>0</v>
          </cell>
          <cell r="G405" t="e">
            <v>#N/A</v>
          </cell>
          <cell r="H405">
            <v>0</v>
          </cell>
          <cell r="I405" t="e">
            <v>#N/A</v>
          </cell>
          <cell r="J405">
            <v>18</v>
          </cell>
          <cell r="K405" t="str">
            <v>XFILL_PMG100%</v>
          </cell>
          <cell r="L405">
            <v>10</v>
          </cell>
          <cell r="M405" t="str">
            <v>TA+CCL100%</v>
          </cell>
          <cell r="N405" t="e">
            <v>#N/A</v>
          </cell>
          <cell r="O405" t="e">
            <v>#N/A</v>
          </cell>
          <cell r="P405">
            <v>159</v>
          </cell>
          <cell r="Q405">
            <v>0</v>
          </cell>
          <cell r="S405">
            <v>0</v>
          </cell>
          <cell r="T405">
            <v>314.041</v>
          </cell>
          <cell r="V405">
            <v>0</v>
          </cell>
          <cell r="W405" t="e">
            <v>#N/A</v>
          </cell>
          <cell r="X405" t="e">
            <v>#N/A</v>
          </cell>
          <cell r="Y405" t="e">
            <v>#N/A</v>
          </cell>
          <cell r="Z405" t="e">
            <v>#N/A</v>
          </cell>
          <cell r="AA405" t="e">
            <v>#N/A</v>
          </cell>
          <cell r="AD405">
            <v>0</v>
          </cell>
        </row>
        <row r="406">
          <cell r="A406">
            <v>46597</v>
          </cell>
          <cell r="B406" t="e">
            <v>#N/A</v>
          </cell>
          <cell r="C406"/>
          <cell r="D406" t="e">
            <v>#N/A</v>
          </cell>
          <cell r="F406">
            <v>0</v>
          </cell>
          <cell r="G406" t="e">
            <v>#N/A</v>
          </cell>
          <cell r="H406">
            <v>0</v>
          </cell>
          <cell r="I406" t="e">
            <v>#N/A</v>
          </cell>
          <cell r="J406">
            <v>18</v>
          </cell>
          <cell r="K406" t="str">
            <v>XFILL_PMG100%</v>
          </cell>
          <cell r="L406">
            <v>10</v>
          </cell>
          <cell r="M406" t="str">
            <v>TA+CCL100%</v>
          </cell>
          <cell r="N406" t="e">
            <v>#N/A</v>
          </cell>
          <cell r="O406" t="e">
            <v>#N/A</v>
          </cell>
          <cell r="P406">
            <v>159</v>
          </cell>
          <cell r="Q406">
            <v>0</v>
          </cell>
          <cell r="S406">
            <v>0</v>
          </cell>
          <cell r="T406">
            <v>314.041</v>
          </cell>
          <cell r="V406">
            <v>0</v>
          </cell>
          <cell r="W406" t="e">
            <v>#N/A</v>
          </cell>
          <cell r="X406" t="e">
            <v>#N/A</v>
          </cell>
          <cell r="Y406" t="e">
            <v>#N/A</v>
          </cell>
          <cell r="Z406" t="e">
            <v>#N/A</v>
          </cell>
          <cell r="AA406" t="e">
            <v>#N/A</v>
          </cell>
          <cell r="AD406">
            <v>0</v>
          </cell>
        </row>
        <row r="407">
          <cell r="A407">
            <v>46598</v>
          </cell>
          <cell r="B407" t="e">
            <v>#N/A</v>
          </cell>
          <cell r="C407"/>
          <cell r="D407" t="e">
            <v>#N/A</v>
          </cell>
          <cell r="F407">
            <v>0</v>
          </cell>
          <cell r="G407" t="e">
            <v>#N/A</v>
          </cell>
          <cell r="H407">
            <v>0</v>
          </cell>
          <cell r="I407" t="e">
            <v>#N/A</v>
          </cell>
          <cell r="J407">
            <v>18</v>
          </cell>
          <cell r="K407" t="str">
            <v>XFILL_PMG100%</v>
          </cell>
          <cell r="L407">
            <v>10</v>
          </cell>
          <cell r="M407" t="str">
            <v>TA+CCL100%</v>
          </cell>
          <cell r="N407" t="e">
            <v>#N/A</v>
          </cell>
          <cell r="O407" t="e">
            <v>#N/A</v>
          </cell>
          <cell r="P407">
            <v>159</v>
          </cell>
          <cell r="Q407">
            <v>0</v>
          </cell>
          <cell r="S407">
            <v>0</v>
          </cell>
          <cell r="T407">
            <v>314.041</v>
          </cell>
          <cell r="V407">
            <v>0</v>
          </cell>
          <cell r="W407" t="e">
            <v>#N/A</v>
          </cell>
          <cell r="X407" t="e">
            <v>#N/A</v>
          </cell>
          <cell r="Y407" t="e">
            <v>#N/A</v>
          </cell>
          <cell r="Z407" t="e">
            <v>#N/A</v>
          </cell>
          <cell r="AA407" t="e">
            <v>#N/A</v>
          </cell>
          <cell r="AD407">
            <v>0</v>
          </cell>
        </row>
        <row r="408">
          <cell r="A408">
            <v>46599</v>
          </cell>
          <cell r="B408" t="e">
            <v>#N/A</v>
          </cell>
          <cell r="C408"/>
          <cell r="D408" t="e">
            <v>#N/A</v>
          </cell>
          <cell r="F408">
            <v>0</v>
          </cell>
          <cell r="G408" t="e">
            <v>#N/A</v>
          </cell>
          <cell r="H408">
            <v>0</v>
          </cell>
          <cell r="I408" t="e">
            <v>#N/A</v>
          </cell>
          <cell r="J408">
            <v>18</v>
          </cell>
          <cell r="K408" t="str">
            <v>XFILL_PMG100%</v>
          </cell>
          <cell r="L408">
            <v>10</v>
          </cell>
          <cell r="M408" t="str">
            <v>TA+CCL100%</v>
          </cell>
          <cell r="N408" t="e">
            <v>#N/A</v>
          </cell>
          <cell r="O408" t="e">
            <v>#N/A</v>
          </cell>
          <cell r="P408">
            <v>159</v>
          </cell>
          <cell r="Q408">
            <v>0</v>
          </cell>
          <cell r="S408">
            <v>0</v>
          </cell>
          <cell r="T408">
            <v>314.041</v>
          </cell>
          <cell r="V408">
            <v>0</v>
          </cell>
          <cell r="W408" t="e">
            <v>#N/A</v>
          </cell>
          <cell r="X408" t="e">
            <v>#N/A</v>
          </cell>
          <cell r="Y408" t="e">
            <v>#N/A</v>
          </cell>
          <cell r="Z408" t="e">
            <v>#N/A</v>
          </cell>
          <cell r="AA408" t="e">
            <v>#N/A</v>
          </cell>
          <cell r="AD408">
            <v>0</v>
          </cell>
        </row>
        <row r="409">
          <cell r="A409">
            <v>46600</v>
          </cell>
          <cell r="B409" t="e">
            <v>#N/A</v>
          </cell>
          <cell r="C409"/>
          <cell r="D409" t="e">
            <v>#N/A</v>
          </cell>
          <cell r="F409">
            <v>0</v>
          </cell>
          <cell r="G409" t="e">
            <v>#N/A</v>
          </cell>
          <cell r="H409">
            <v>0</v>
          </cell>
          <cell r="I409" t="e">
            <v>#N/A</v>
          </cell>
          <cell r="J409">
            <v>18</v>
          </cell>
          <cell r="K409" t="str">
            <v>XFILL_PMG100%</v>
          </cell>
          <cell r="L409">
            <v>10</v>
          </cell>
          <cell r="M409" t="str">
            <v>TA+CCL100%</v>
          </cell>
          <cell r="N409" t="e">
            <v>#N/A</v>
          </cell>
          <cell r="O409" t="e">
            <v>#N/A</v>
          </cell>
          <cell r="P409">
            <v>159</v>
          </cell>
          <cell r="Q409">
            <v>0</v>
          </cell>
          <cell r="S409">
            <v>0</v>
          </cell>
          <cell r="T409">
            <v>314.041</v>
          </cell>
          <cell r="V409">
            <v>0</v>
          </cell>
          <cell r="W409" t="e">
            <v>#N/A</v>
          </cell>
          <cell r="X409" t="e">
            <v>#N/A</v>
          </cell>
          <cell r="Y409" t="e">
            <v>#N/A</v>
          </cell>
          <cell r="Z409" t="e">
            <v>#N/A</v>
          </cell>
          <cell r="AA409" t="e">
            <v>#N/A</v>
          </cell>
          <cell r="AD409">
            <v>0</v>
          </cell>
        </row>
        <row r="410">
          <cell r="A410">
            <v>46601</v>
          </cell>
          <cell r="B410" t="e">
            <v>#N/A</v>
          </cell>
          <cell r="C410"/>
          <cell r="D410" t="e">
            <v>#N/A</v>
          </cell>
          <cell r="F410">
            <v>0</v>
          </cell>
          <cell r="G410" t="e">
            <v>#N/A</v>
          </cell>
          <cell r="H410">
            <v>0</v>
          </cell>
          <cell r="I410" t="e">
            <v>#N/A</v>
          </cell>
          <cell r="J410">
            <v>18</v>
          </cell>
          <cell r="K410" t="str">
            <v>XFILL_PMG100%</v>
          </cell>
          <cell r="L410">
            <v>10</v>
          </cell>
          <cell r="M410" t="str">
            <v>TA+CCL100%</v>
          </cell>
          <cell r="N410" t="e">
            <v>#N/A</v>
          </cell>
          <cell r="O410" t="e">
            <v>#N/A</v>
          </cell>
          <cell r="P410">
            <v>159</v>
          </cell>
          <cell r="Q410">
            <v>0</v>
          </cell>
          <cell r="S410">
            <v>0</v>
          </cell>
          <cell r="T410">
            <v>314.041</v>
          </cell>
          <cell r="V410">
            <v>0</v>
          </cell>
          <cell r="W410" t="e">
            <v>#N/A</v>
          </cell>
          <cell r="X410" t="e">
            <v>#N/A</v>
          </cell>
          <cell r="Y410" t="e">
            <v>#N/A</v>
          </cell>
          <cell r="Z410" t="e">
            <v>#N/A</v>
          </cell>
          <cell r="AA410" t="e">
            <v>#N/A</v>
          </cell>
          <cell r="AD410">
            <v>0</v>
          </cell>
        </row>
        <row r="411">
          <cell r="A411">
            <v>46602</v>
          </cell>
          <cell r="B411" t="e">
            <v>#N/A</v>
          </cell>
          <cell r="C411"/>
          <cell r="D411" t="e">
            <v>#N/A</v>
          </cell>
          <cell r="F411">
            <v>0</v>
          </cell>
          <cell r="G411" t="e">
            <v>#N/A</v>
          </cell>
          <cell r="H411">
            <v>0</v>
          </cell>
          <cell r="I411" t="e">
            <v>#N/A</v>
          </cell>
          <cell r="J411">
            <v>18</v>
          </cell>
          <cell r="K411" t="str">
            <v>XFILL_PMG100%</v>
          </cell>
          <cell r="L411">
            <v>10</v>
          </cell>
          <cell r="M411" t="str">
            <v>TA+CCL100%</v>
          </cell>
          <cell r="N411" t="e">
            <v>#N/A</v>
          </cell>
          <cell r="O411" t="e">
            <v>#N/A</v>
          </cell>
          <cell r="P411">
            <v>159</v>
          </cell>
          <cell r="Q411">
            <v>0</v>
          </cell>
          <cell r="S411">
            <v>0</v>
          </cell>
          <cell r="T411">
            <v>314.041</v>
          </cell>
          <cell r="V411">
            <v>0</v>
          </cell>
          <cell r="W411" t="e">
            <v>#N/A</v>
          </cell>
          <cell r="X411" t="e">
            <v>#N/A</v>
          </cell>
          <cell r="Y411" t="e">
            <v>#N/A</v>
          </cell>
          <cell r="Z411" t="e">
            <v>#N/A</v>
          </cell>
          <cell r="AA411" t="e">
            <v>#N/A</v>
          </cell>
          <cell r="AD411">
            <v>0</v>
          </cell>
        </row>
        <row r="412">
          <cell r="A412">
            <v>46603</v>
          </cell>
          <cell r="B412" t="e">
            <v>#N/A</v>
          </cell>
          <cell r="C412"/>
          <cell r="D412" t="e">
            <v>#N/A</v>
          </cell>
          <cell r="F412">
            <v>0</v>
          </cell>
          <cell r="G412" t="e">
            <v>#N/A</v>
          </cell>
          <cell r="H412">
            <v>0</v>
          </cell>
          <cell r="I412" t="e">
            <v>#N/A</v>
          </cell>
          <cell r="J412">
            <v>18</v>
          </cell>
          <cell r="K412" t="str">
            <v>XFILL_PMG100%</v>
          </cell>
          <cell r="L412">
            <v>10</v>
          </cell>
          <cell r="M412" t="str">
            <v>TA+CCL100%</v>
          </cell>
          <cell r="N412" t="e">
            <v>#N/A</v>
          </cell>
          <cell r="O412" t="e">
            <v>#N/A</v>
          </cell>
          <cell r="P412">
            <v>159</v>
          </cell>
          <cell r="Q412">
            <v>0</v>
          </cell>
          <cell r="S412">
            <v>0</v>
          </cell>
          <cell r="T412">
            <v>314.041</v>
          </cell>
          <cell r="V412">
            <v>0</v>
          </cell>
          <cell r="W412" t="e">
            <v>#N/A</v>
          </cell>
          <cell r="X412" t="e">
            <v>#N/A</v>
          </cell>
          <cell r="Y412" t="e">
            <v>#N/A</v>
          </cell>
          <cell r="Z412" t="e">
            <v>#N/A</v>
          </cell>
          <cell r="AA412" t="e">
            <v>#N/A</v>
          </cell>
          <cell r="AD412">
            <v>0</v>
          </cell>
        </row>
        <row r="413">
          <cell r="A413">
            <v>46604</v>
          </cell>
          <cell r="B413" t="e">
            <v>#N/A</v>
          </cell>
          <cell r="C413"/>
          <cell r="D413" t="e">
            <v>#N/A</v>
          </cell>
          <cell r="F413">
            <v>0</v>
          </cell>
          <cell r="G413" t="e">
            <v>#N/A</v>
          </cell>
          <cell r="H413">
            <v>0</v>
          </cell>
          <cell r="I413" t="e">
            <v>#N/A</v>
          </cell>
          <cell r="J413">
            <v>18</v>
          </cell>
          <cell r="K413" t="str">
            <v>XFILL_PMG100%</v>
          </cell>
          <cell r="L413">
            <v>10</v>
          </cell>
          <cell r="M413" t="str">
            <v>TA+CCL100%</v>
          </cell>
          <cell r="N413" t="e">
            <v>#N/A</v>
          </cell>
          <cell r="O413" t="e">
            <v>#N/A</v>
          </cell>
          <cell r="P413">
            <v>159</v>
          </cell>
          <cell r="Q413">
            <v>0</v>
          </cell>
          <cell r="S413">
            <v>0</v>
          </cell>
          <cell r="T413">
            <v>314.041</v>
          </cell>
          <cell r="V413">
            <v>0</v>
          </cell>
          <cell r="W413" t="e">
            <v>#N/A</v>
          </cell>
          <cell r="X413" t="e">
            <v>#N/A</v>
          </cell>
          <cell r="Y413" t="e">
            <v>#N/A</v>
          </cell>
          <cell r="Z413" t="e">
            <v>#N/A</v>
          </cell>
          <cell r="AA413" t="e">
            <v>#N/A</v>
          </cell>
          <cell r="AD413">
            <v>0</v>
          </cell>
        </row>
        <row r="414">
          <cell r="A414">
            <v>46605</v>
          </cell>
          <cell r="B414" t="e">
            <v>#N/A</v>
          </cell>
          <cell r="C414"/>
          <cell r="D414" t="e">
            <v>#N/A</v>
          </cell>
          <cell r="F414">
            <v>0</v>
          </cell>
          <cell r="G414" t="e">
            <v>#N/A</v>
          </cell>
          <cell r="H414">
            <v>0</v>
          </cell>
          <cell r="I414" t="e">
            <v>#N/A</v>
          </cell>
          <cell r="J414">
            <v>18</v>
          </cell>
          <cell r="K414" t="str">
            <v>XFILL_PMG100%</v>
          </cell>
          <cell r="L414">
            <v>10</v>
          </cell>
          <cell r="M414" t="str">
            <v>TA+CCL100%</v>
          </cell>
          <cell r="N414" t="e">
            <v>#N/A</v>
          </cell>
          <cell r="O414" t="e">
            <v>#N/A</v>
          </cell>
          <cell r="P414">
            <v>159</v>
          </cell>
          <cell r="Q414">
            <v>0</v>
          </cell>
          <cell r="S414">
            <v>0</v>
          </cell>
          <cell r="T414">
            <v>314.041</v>
          </cell>
          <cell r="V414">
            <v>0</v>
          </cell>
          <cell r="W414" t="e">
            <v>#N/A</v>
          </cell>
          <cell r="X414" t="e">
            <v>#N/A</v>
          </cell>
          <cell r="Y414" t="e">
            <v>#N/A</v>
          </cell>
          <cell r="Z414" t="e">
            <v>#N/A</v>
          </cell>
          <cell r="AA414" t="e">
            <v>#N/A</v>
          </cell>
          <cell r="AD414">
            <v>0</v>
          </cell>
        </row>
        <row r="415">
          <cell r="A415">
            <v>46606</v>
          </cell>
          <cell r="B415" t="e">
            <v>#N/A</v>
          </cell>
          <cell r="C415"/>
          <cell r="D415" t="e">
            <v>#N/A</v>
          </cell>
          <cell r="F415">
            <v>0</v>
          </cell>
          <cell r="G415" t="e">
            <v>#N/A</v>
          </cell>
          <cell r="H415">
            <v>0</v>
          </cell>
          <cell r="I415" t="e">
            <v>#N/A</v>
          </cell>
          <cell r="J415">
            <v>18</v>
          </cell>
          <cell r="K415" t="str">
            <v>XFILL_PMG100%</v>
          </cell>
          <cell r="L415">
            <v>10</v>
          </cell>
          <cell r="M415" t="str">
            <v>TA+CCL100%</v>
          </cell>
          <cell r="N415" t="e">
            <v>#N/A</v>
          </cell>
          <cell r="O415" t="e">
            <v>#N/A</v>
          </cell>
          <cell r="P415">
            <v>159</v>
          </cell>
          <cell r="Q415">
            <v>0</v>
          </cell>
          <cell r="S415">
            <v>0</v>
          </cell>
          <cell r="T415">
            <v>314.041</v>
          </cell>
          <cell r="V415">
            <v>0</v>
          </cell>
          <cell r="W415" t="e">
            <v>#N/A</v>
          </cell>
          <cell r="X415" t="e">
            <v>#N/A</v>
          </cell>
          <cell r="Y415" t="e">
            <v>#N/A</v>
          </cell>
          <cell r="Z415" t="e">
            <v>#N/A</v>
          </cell>
          <cell r="AA415" t="e">
            <v>#N/A</v>
          </cell>
          <cell r="AD415">
            <v>0</v>
          </cell>
        </row>
        <row r="416">
          <cell r="A416">
            <v>46607</v>
          </cell>
          <cell r="B416" t="e">
            <v>#N/A</v>
          </cell>
          <cell r="C416"/>
          <cell r="D416" t="e">
            <v>#N/A</v>
          </cell>
          <cell r="F416">
            <v>0</v>
          </cell>
          <cell r="G416" t="e">
            <v>#N/A</v>
          </cell>
          <cell r="H416">
            <v>0</v>
          </cell>
          <cell r="I416" t="e">
            <v>#N/A</v>
          </cell>
          <cell r="J416">
            <v>18</v>
          </cell>
          <cell r="K416" t="str">
            <v>XFILL_PMG100%</v>
          </cell>
          <cell r="L416">
            <v>10</v>
          </cell>
          <cell r="M416" t="str">
            <v>TA+CCL100%</v>
          </cell>
          <cell r="N416" t="e">
            <v>#N/A</v>
          </cell>
          <cell r="O416" t="e">
            <v>#N/A</v>
          </cell>
          <cell r="P416">
            <v>159</v>
          </cell>
          <cell r="Q416">
            <v>0</v>
          </cell>
          <cell r="S416">
            <v>0</v>
          </cell>
          <cell r="T416">
            <v>314.041</v>
          </cell>
          <cell r="V416">
            <v>0</v>
          </cell>
          <cell r="W416" t="e">
            <v>#N/A</v>
          </cell>
          <cell r="X416" t="e">
            <v>#N/A</v>
          </cell>
          <cell r="Y416" t="e">
            <v>#N/A</v>
          </cell>
          <cell r="Z416" t="e">
            <v>#N/A</v>
          </cell>
          <cell r="AA416" t="e">
            <v>#N/A</v>
          </cell>
          <cell r="AD416">
            <v>0</v>
          </cell>
        </row>
        <row r="417">
          <cell r="A417">
            <v>46608</v>
          </cell>
          <cell r="B417" t="e">
            <v>#N/A</v>
          </cell>
          <cell r="C417"/>
          <cell r="D417" t="e">
            <v>#N/A</v>
          </cell>
          <cell r="F417">
            <v>0</v>
          </cell>
          <cell r="G417" t="e">
            <v>#N/A</v>
          </cell>
          <cell r="H417">
            <v>0</v>
          </cell>
          <cell r="I417" t="e">
            <v>#N/A</v>
          </cell>
          <cell r="J417">
            <v>18</v>
          </cell>
          <cell r="K417" t="str">
            <v>XFILL_PMG100%</v>
          </cell>
          <cell r="L417">
            <v>10</v>
          </cell>
          <cell r="M417" t="str">
            <v>TA+CCL100%</v>
          </cell>
          <cell r="N417" t="e">
            <v>#N/A</v>
          </cell>
          <cell r="O417" t="e">
            <v>#N/A</v>
          </cell>
          <cell r="P417">
            <v>159</v>
          </cell>
          <cell r="Q417">
            <v>0</v>
          </cell>
          <cell r="S417">
            <v>0</v>
          </cell>
          <cell r="T417">
            <v>314.041</v>
          </cell>
          <cell r="V417">
            <v>0</v>
          </cell>
          <cell r="W417" t="e">
            <v>#N/A</v>
          </cell>
          <cell r="X417" t="e">
            <v>#N/A</v>
          </cell>
          <cell r="Y417" t="e">
            <v>#N/A</v>
          </cell>
          <cell r="Z417" t="e">
            <v>#N/A</v>
          </cell>
          <cell r="AA417" t="e">
            <v>#N/A</v>
          </cell>
          <cell r="AD417">
            <v>0</v>
          </cell>
        </row>
        <row r="418">
          <cell r="A418">
            <v>46609</v>
          </cell>
          <cell r="B418" t="e">
            <v>#N/A</v>
          </cell>
          <cell r="C418"/>
          <cell r="D418" t="e">
            <v>#N/A</v>
          </cell>
          <cell r="F418">
            <v>0</v>
          </cell>
          <cell r="G418" t="e">
            <v>#N/A</v>
          </cell>
          <cell r="H418">
            <v>0</v>
          </cell>
          <cell r="I418" t="e">
            <v>#N/A</v>
          </cell>
          <cell r="J418">
            <v>18</v>
          </cell>
          <cell r="K418" t="str">
            <v>XFILL_PMG100%</v>
          </cell>
          <cell r="L418">
            <v>10</v>
          </cell>
          <cell r="M418" t="str">
            <v>TA+CCL100%</v>
          </cell>
          <cell r="N418" t="e">
            <v>#N/A</v>
          </cell>
          <cell r="O418" t="e">
            <v>#N/A</v>
          </cell>
          <cell r="P418">
            <v>159</v>
          </cell>
          <cell r="Q418">
            <v>0</v>
          </cell>
          <cell r="S418">
            <v>0</v>
          </cell>
          <cell r="T418">
            <v>314.041</v>
          </cell>
          <cell r="V418">
            <v>0</v>
          </cell>
          <cell r="W418" t="e">
            <v>#N/A</v>
          </cell>
          <cell r="X418" t="e">
            <v>#N/A</v>
          </cell>
          <cell r="Y418" t="e">
            <v>#N/A</v>
          </cell>
          <cell r="Z418" t="e">
            <v>#N/A</v>
          </cell>
          <cell r="AA418" t="e">
            <v>#N/A</v>
          </cell>
          <cell r="AD418">
            <v>0</v>
          </cell>
        </row>
        <row r="419">
          <cell r="A419">
            <v>46610</v>
          </cell>
          <cell r="B419" t="e">
            <v>#N/A</v>
          </cell>
          <cell r="C419"/>
          <cell r="D419" t="e">
            <v>#N/A</v>
          </cell>
          <cell r="F419">
            <v>0</v>
          </cell>
          <cell r="G419" t="e">
            <v>#N/A</v>
          </cell>
          <cell r="H419">
            <v>0</v>
          </cell>
          <cell r="I419" t="e">
            <v>#N/A</v>
          </cell>
          <cell r="J419">
            <v>18</v>
          </cell>
          <cell r="K419" t="str">
            <v>XFILL_PMG100%</v>
          </cell>
          <cell r="L419">
            <v>10</v>
          </cell>
          <cell r="M419" t="str">
            <v>TA+CCL100%</v>
          </cell>
          <cell r="N419" t="e">
            <v>#N/A</v>
          </cell>
          <cell r="O419" t="e">
            <v>#N/A</v>
          </cell>
          <cell r="P419">
            <v>159</v>
          </cell>
          <cell r="Q419">
            <v>0</v>
          </cell>
          <cell r="S419">
            <v>0</v>
          </cell>
          <cell r="T419">
            <v>314.041</v>
          </cell>
          <cell r="V419">
            <v>0</v>
          </cell>
          <cell r="W419" t="e">
            <v>#N/A</v>
          </cell>
          <cell r="X419" t="e">
            <v>#N/A</v>
          </cell>
          <cell r="Y419" t="e">
            <v>#N/A</v>
          </cell>
          <cell r="Z419" t="e">
            <v>#N/A</v>
          </cell>
          <cell r="AA419" t="e">
            <v>#N/A</v>
          </cell>
          <cell r="AD419">
            <v>0</v>
          </cell>
        </row>
        <row r="420">
          <cell r="A420">
            <v>46611</v>
          </cell>
          <cell r="B420" t="e">
            <v>#N/A</v>
          </cell>
          <cell r="C420"/>
          <cell r="D420" t="e">
            <v>#N/A</v>
          </cell>
          <cell r="F420">
            <v>0</v>
          </cell>
          <cell r="G420" t="e">
            <v>#N/A</v>
          </cell>
          <cell r="H420">
            <v>0</v>
          </cell>
          <cell r="I420" t="e">
            <v>#N/A</v>
          </cell>
          <cell r="J420">
            <v>18</v>
          </cell>
          <cell r="K420" t="str">
            <v>XFILL_PMG100%</v>
          </cell>
          <cell r="L420">
            <v>10</v>
          </cell>
          <cell r="M420" t="str">
            <v>TA+CCL100%</v>
          </cell>
          <cell r="N420" t="e">
            <v>#N/A</v>
          </cell>
          <cell r="O420" t="e">
            <v>#N/A</v>
          </cell>
          <cell r="P420">
            <v>159</v>
          </cell>
          <cell r="Q420">
            <v>0</v>
          </cell>
          <cell r="S420">
            <v>0</v>
          </cell>
          <cell r="T420">
            <v>314.041</v>
          </cell>
          <cell r="V420">
            <v>0</v>
          </cell>
          <cell r="W420" t="e">
            <v>#N/A</v>
          </cell>
          <cell r="X420" t="e">
            <v>#N/A</v>
          </cell>
          <cell r="Y420" t="e">
            <v>#N/A</v>
          </cell>
          <cell r="Z420" t="e">
            <v>#N/A</v>
          </cell>
          <cell r="AA420" t="e">
            <v>#N/A</v>
          </cell>
          <cell r="AD420">
            <v>0</v>
          </cell>
        </row>
        <row r="421">
          <cell r="A421">
            <v>46612</v>
          </cell>
          <cell r="B421" t="e">
            <v>#N/A</v>
          </cell>
          <cell r="C421"/>
          <cell r="D421" t="e">
            <v>#N/A</v>
          </cell>
          <cell r="F421">
            <v>0</v>
          </cell>
          <cell r="G421" t="e">
            <v>#N/A</v>
          </cell>
          <cell r="H421">
            <v>0</v>
          </cell>
          <cell r="I421" t="e">
            <v>#N/A</v>
          </cell>
          <cell r="J421">
            <v>18</v>
          </cell>
          <cell r="K421" t="str">
            <v>XFILL_PMG100%</v>
          </cell>
          <cell r="L421">
            <v>10</v>
          </cell>
          <cell r="M421" t="str">
            <v>TA+CCL100%</v>
          </cell>
          <cell r="N421" t="e">
            <v>#N/A</v>
          </cell>
          <cell r="O421" t="e">
            <v>#N/A</v>
          </cell>
          <cell r="P421">
            <v>159</v>
          </cell>
          <cell r="Q421">
            <v>0</v>
          </cell>
          <cell r="S421">
            <v>0</v>
          </cell>
          <cell r="T421">
            <v>314.041</v>
          </cell>
          <cell r="V421">
            <v>0</v>
          </cell>
          <cell r="W421" t="e">
            <v>#N/A</v>
          </cell>
          <cell r="X421" t="e">
            <v>#N/A</v>
          </cell>
          <cell r="Y421" t="e">
            <v>#N/A</v>
          </cell>
          <cell r="Z421" t="e">
            <v>#N/A</v>
          </cell>
          <cell r="AA421" t="e">
            <v>#N/A</v>
          </cell>
          <cell r="AD421">
            <v>0</v>
          </cell>
        </row>
        <row r="422">
          <cell r="A422">
            <v>46613</v>
          </cell>
          <cell r="B422" t="e">
            <v>#N/A</v>
          </cell>
          <cell r="C422"/>
          <cell r="D422" t="e">
            <v>#N/A</v>
          </cell>
          <cell r="F422">
            <v>0</v>
          </cell>
          <cell r="G422" t="e">
            <v>#N/A</v>
          </cell>
          <cell r="H422">
            <v>0</v>
          </cell>
          <cell r="I422" t="e">
            <v>#N/A</v>
          </cell>
          <cell r="J422">
            <v>18</v>
          </cell>
          <cell r="K422" t="str">
            <v>XFILL_PMG100%</v>
          </cell>
          <cell r="L422">
            <v>10</v>
          </cell>
          <cell r="M422" t="str">
            <v>TA+CCL100%</v>
          </cell>
          <cell r="N422" t="e">
            <v>#N/A</v>
          </cell>
          <cell r="O422" t="e">
            <v>#N/A</v>
          </cell>
          <cell r="P422">
            <v>159</v>
          </cell>
          <cell r="Q422">
            <v>0</v>
          </cell>
          <cell r="S422">
            <v>0</v>
          </cell>
          <cell r="T422">
            <v>314.041</v>
          </cell>
          <cell r="V422">
            <v>0</v>
          </cell>
          <cell r="W422" t="e">
            <v>#N/A</v>
          </cell>
          <cell r="X422" t="e">
            <v>#N/A</v>
          </cell>
          <cell r="Y422" t="e">
            <v>#N/A</v>
          </cell>
          <cell r="Z422" t="e">
            <v>#N/A</v>
          </cell>
          <cell r="AA422" t="e">
            <v>#N/A</v>
          </cell>
          <cell r="AD422">
            <v>0</v>
          </cell>
        </row>
        <row r="423">
          <cell r="A423">
            <v>46614</v>
          </cell>
          <cell r="B423" t="e">
            <v>#N/A</v>
          </cell>
          <cell r="C423"/>
          <cell r="D423" t="e">
            <v>#N/A</v>
          </cell>
          <cell r="F423">
            <v>0</v>
          </cell>
          <cell r="G423" t="e">
            <v>#N/A</v>
          </cell>
          <cell r="H423">
            <v>0</v>
          </cell>
          <cell r="I423" t="e">
            <v>#N/A</v>
          </cell>
          <cell r="J423">
            <v>18</v>
          </cell>
          <cell r="K423" t="str">
            <v>XFILL_PMG100%</v>
          </cell>
          <cell r="L423">
            <v>10</v>
          </cell>
          <cell r="M423" t="str">
            <v>TA+CCL100%</v>
          </cell>
          <cell r="N423" t="e">
            <v>#N/A</v>
          </cell>
          <cell r="O423" t="e">
            <v>#N/A</v>
          </cell>
          <cell r="P423">
            <v>159</v>
          </cell>
          <cell r="Q423">
            <v>0</v>
          </cell>
          <cell r="S423">
            <v>0</v>
          </cell>
          <cell r="T423">
            <v>314.041</v>
          </cell>
          <cell r="V423">
            <v>0</v>
          </cell>
          <cell r="W423" t="e">
            <v>#N/A</v>
          </cell>
          <cell r="X423" t="e">
            <v>#N/A</v>
          </cell>
          <cell r="Y423" t="e">
            <v>#N/A</v>
          </cell>
          <cell r="Z423" t="e">
            <v>#N/A</v>
          </cell>
          <cell r="AA423" t="e">
            <v>#N/A</v>
          </cell>
          <cell r="AD423">
            <v>0</v>
          </cell>
        </row>
        <row r="424">
          <cell r="A424">
            <v>46615</v>
          </cell>
          <cell r="B424" t="e">
            <v>#N/A</v>
          </cell>
          <cell r="C424"/>
          <cell r="D424" t="e">
            <v>#N/A</v>
          </cell>
          <cell r="F424">
            <v>0</v>
          </cell>
          <cell r="G424" t="e">
            <v>#N/A</v>
          </cell>
          <cell r="H424">
            <v>0</v>
          </cell>
          <cell r="I424" t="e">
            <v>#N/A</v>
          </cell>
          <cell r="J424">
            <v>18</v>
          </cell>
          <cell r="K424" t="str">
            <v>XFILL_PMG100%</v>
          </cell>
          <cell r="L424">
            <v>10</v>
          </cell>
          <cell r="M424" t="str">
            <v>TA+CCL100%</v>
          </cell>
          <cell r="N424" t="e">
            <v>#N/A</v>
          </cell>
          <cell r="O424" t="e">
            <v>#N/A</v>
          </cell>
          <cell r="P424">
            <v>159</v>
          </cell>
          <cell r="Q424">
            <v>0</v>
          </cell>
          <cell r="S424">
            <v>0</v>
          </cell>
          <cell r="T424">
            <v>314.041</v>
          </cell>
          <cell r="V424">
            <v>0</v>
          </cell>
          <cell r="W424" t="e">
            <v>#N/A</v>
          </cell>
          <cell r="X424" t="e">
            <v>#N/A</v>
          </cell>
          <cell r="Y424" t="e">
            <v>#N/A</v>
          </cell>
          <cell r="Z424" t="e">
            <v>#N/A</v>
          </cell>
          <cell r="AA424" t="e">
            <v>#N/A</v>
          </cell>
          <cell r="AD424">
            <v>0</v>
          </cell>
        </row>
        <row r="425">
          <cell r="A425">
            <v>46616</v>
          </cell>
          <cell r="B425" t="e">
            <v>#N/A</v>
          </cell>
          <cell r="C425"/>
          <cell r="D425" t="e">
            <v>#N/A</v>
          </cell>
          <cell r="F425">
            <v>0</v>
          </cell>
          <cell r="G425" t="e">
            <v>#N/A</v>
          </cell>
          <cell r="H425">
            <v>0</v>
          </cell>
          <cell r="I425" t="e">
            <v>#N/A</v>
          </cell>
          <cell r="J425">
            <v>18</v>
          </cell>
          <cell r="K425" t="str">
            <v>XFILL_PMG100%</v>
          </cell>
          <cell r="L425">
            <v>10</v>
          </cell>
          <cell r="M425" t="str">
            <v>TA+CCL100%</v>
          </cell>
          <cell r="N425" t="e">
            <v>#N/A</v>
          </cell>
          <cell r="O425" t="e">
            <v>#N/A</v>
          </cell>
          <cell r="P425">
            <v>159</v>
          </cell>
          <cell r="Q425">
            <v>0</v>
          </cell>
          <cell r="S425">
            <v>0</v>
          </cell>
          <cell r="T425">
            <v>314.041</v>
          </cell>
          <cell r="V425">
            <v>0</v>
          </cell>
          <cell r="W425" t="e">
            <v>#N/A</v>
          </cell>
          <cell r="X425" t="e">
            <v>#N/A</v>
          </cell>
          <cell r="Y425" t="e">
            <v>#N/A</v>
          </cell>
          <cell r="Z425" t="e">
            <v>#N/A</v>
          </cell>
          <cell r="AA425" t="e">
            <v>#N/A</v>
          </cell>
          <cell r="AD425">
            <v>0</v>
          </cell>
        </row>
        <row r="426">
          <cell r="A426">
            <v>46617</v>
          </cell>
          <cell r="B426" t="e">
            <v>#N/A</v>
          </cell>
          <cell r="C426"/>
          <cell r="D426" t="e">
            <v>#N/A</v>
          </cell>
          <cell r="F426">
            <v>0</v>
          </cell>
          <cell r="G426" t="e">
            <v>#N/A</v>
          </cell>
          <cell r="H426">
            <v>0</v>
          </cell>
          <cell r="I426" t="e">
            <v>#N/A</v>
          </cell>
          <cell r="J426">
            <v>18</v>
          </cell>
          <cell r="K426" t="str">
            <v>XFILL_PMG100%</v>
          </cell>
          <cell r="L426">
            <v>10</v>
          </cell>
          <cell r="M426" t="str">
            <v>TA+CCL100%</v>
          </cell>
          <cell r="N426" t="e">
            <v>#N/A</v>
          </cell>
          <cell r="O426" t="e">
            <v>#N/A</v>
          </cell>
          <cell r="P426">
            <v>159</v>
          </cell>
          <cell r="Q426">
            <v>0</v>
          </cell>
          <cell r="S426">
            <v>0</v>
          </cell>
          <cell r="T426">
            <v>314.041</v>
          </cell>
          <cell r="V426">
            <v>0</v>
          </cell>
          <cell r="W426" t="e">
            <v>#N/A</v>
          </cell>
          <cell r="X426" t="e">
            <v>#N/A</v>
          </cell>
          <cell r="Y426" t="e">
            <v>#N/A</v>
          </cell>
          <cell r="Z426" t="e">
            <v>#N/A</v>
          </cell>
          <cell r="AA426" t="e">
            <v>#N/A</v>
          </cell>
          <cell r="AD426">
            <v>0</v>
          </cell>
        </row>
        <row r="427">
          <cell r="A427">
            <v>46618</v>
          </cell>
          <cell r="B427" t="e">
            <v>#N/A</v>
          </cell>
          <cell r="C427"/>
          <cell r="D427" t="e">
            <v>#N/A</v>
          </cell>
          <cell r="F427">
            <v>0</v>
          </cell>
          <cell r="G427" t="e">
            <v>#N/A</v>
          </cell>
          <cell r="H427">
            <v>0</v>
          </cell>
          <cell r="I427" t="e">
            <v>#N/A</v>
          </cell>
          <cell r="J427">
            <v>18</v>
          </cell>
          <cell r="K427" t="str">
            <v>XFILL_PMG100%</v>
          </cell>
          <cell r="L427">
            <v>10</v>
          </cell>
          <cell r="M427" t="str">
            <v>TA+CCL100%</v>
          </cell>
          <cell r="N427" t="e">
            <v>#N/A</v>
          </cell>
          <cell r="O427" t="e">
            <v>#N/A</v>
          </cell>
          <cell r="P427">
            <v>159</v>
          </cell>
          <cell r="Q427">
            <v>0</v>
          </cell>
          <cell r="S427">
            <v>0</v>
          </cell>
          <cell r="T427">
            <v>314.041</v>
          </cell>
          <cell r="V427">
            <v>0</v>
          </cell>
          <cell r="W427" t="e">
            <v>#N/A</v>
          </cell>
          <cell r="X427" t="e">
            <v>#N/A</v>
          </cell>
          <cell r="Y427" t="e">
            <v>#N/A</v>
          </cell>
          <cell r="Z427" t="e">
            <v>#N/A</v>
          </cell>
          <cell r="AA427" t="e">
            <v>#N/A</v>
          </cell>
          <cell r="AD427">
            <v>0</v>
          </cell>
        </row>
        <row r="428">
          <cell r="A428">
            <v>46619</v>
          </cell>
          <cell r="B428" t="e">
            <v>#N/A</v>
          </cell>
          <cell r="C428"/>
          <cell r="D428" t="e">
            <v>#N/A</v>
          </cell>
          <cell r="F428">
            <v>0</v>
          </cell>
          <cell r="G428" t="e">
            <v>#N/A</v>
          </cell>
          <cell r="H428">
            <v>0</v>
          </cell>
          <cell r="I428" t="e">
            <v>#N/A</v>
          </cell>
          <cell r="J428">
            <v>18</v>
          </cell>
          <cell r="K428" t="str">
            <v>XFILL_PMG100%</v>
          </cell>
          <cell r="L428">
            <v>10</v>
          </cell>
          <cell r="M428" t="str">
            <v>TA+CCL100%</v>
          </cell>
          <cell r="N428" t="e">
            <v>#N/A</v>
          </cell>
          <cell r="O428" t="e">
            <v>#N/A</v>
          </cell>
          <cell r="P428">
            <v>159</v>
          </cell>
          <cell r="Q428">
            <v>0</v>
          </cell>
          <cell r="S428">
            <v>0</v>
          </cell>
          <cell r="T428">
            <v>314.041</v>
          </cell>
          <cell r="V428">
            <v>0</v>
          </cell>
          <cell r="W428" t="e">
            <v>#N/A</v>
          </cell>
          <cell r="X428" t="e">
            <v>#N/A</v>
          </cell>
          <cell r="Y428" t="e">
            <v>#N/A</v>
          </cell>
          <cell r="Z428" t="e">
            <v>#N/A</v>
          </cell>
          <cell r="AA428" t="e">
            <v>#N/A</v>
          </cell>
          <cell r="AD428">
            <v>0</v>
          </cell>
        </row>
        <row r="429">
          <cell r="A429">
            <v>46620</v>
          </cell>
          <cell r="B429" t="e">
            <v>#N/A</v>
          </cell>
          <cell r="C429"/>
          <cell r="D429" t="e">
            <v>#N/A</v>
          </cell>
          <cell r="F429">
            <v>0</v>
          </cell>
          <cell r="G429" t="e">
            <v>#N/A</v>
          </cell>
          <cell r="H429">
            <v>0</v>
          </cell>
          <cell r="I429" t="e">
            <v>#N/A</v>
          </cell>
          <cell r="J429">
            <v>18</v>
          </cell>
          <cell r="K429" t="str">
            <v>XFILL_PMG100%</v>
          </cell>
          <cell r="L429">
            <v>10</v>
          </cell>
          <cell r="M429" t="str">
            <v>TA+CCL100%</v>
          </cell>
          <cell r="N429" t="e">
            <v>#N/A</v>
          </cell>
          <cell r="O429" t="e">
            <v>#N/A</v>
          </cell>
          <cell r="P429">
            <v>159</v>
          </cell>
          <cell r="Q429">
            <v>0</v>
          </cell>
          <cell r="S429">
            <v>0</v>
          </cell>
          <cell r="T429">
            <v>314.041</v>
          </cell>
          <cell r="V429">
            <v>0</v>
          </cell>
          <cell r="W429" t="e">
            <v>#N/A</v>
          </cell>
          <cell r="X429" t="e">
            <v>#N/A</v>
          </cell>
          <cell r="Y429" t="e">
            <v>#N/A</v>
          </cell>
          <cell r="Z429" t="e">
            <v>#N/A</v>
          </cell>
          <cell r="AA429" t="e">
            <v>#N/A</v>
          </cell>
          <cell r="AD429">
            <v>0</v>
          </cell>
        </row>
        <row r="430">
          <cell r="A430">
            <v>46621</v>
          </cell>
          <cell r="B430" t="e">
            <v>#N/A</v>
          </cell>
          <cell r="C430"/>
          <cell r="D430" t="e">
            <v>#N/A</v>
          </cell>
          <cell r="F430">
            <v>0</v>
          </cell>
          <cell r="G430" t="e">
            <v>#N/A</v>
          </cell>
          <cell r="H430">
            <v>0</v>
          </cell>
          <cell r="I430" t="e">
            <v>#N/A</v>
          </cell>
          <cell r="J430">
            <v>18</v>
          </cell>
          <cell r="K430" t="str">
            <v>XFILL_PMG100%</v>
          </cell>
          <cell r="L430">
            <v>10</v>
          </cell>
          <cell r="M430" t="str">
            <v>TA+CCL100%</v>
          </cell>
          <cell r="N430" t="e">
            <v>#N/A</v>
          </cell>
          <cell r="O430" t="e">
            <v>#N/A</v>
          </cell>
          <cell r="P430">
            <v>159</v>
          </cell>
          <cell r="Q430">
            <v>0</v>
          </cell>
          <cell r="S430">
            <v>0</v>
          </cell>
          <cell r="T430">
            <v>314.041</v>
          </cell>
          <cell r="V430">
            <v>0</v>
          </cell>
          <cell r="W430" t="e">
            <v>#N/A</v>
          </cell>
          <cell r="X430" t="e">
            <v>#N/A</v>
          </cell>
          <cell r="Y430" t="e">
            <v>#N/A</v>
          </cell>
          <cell r="Z430" t="e">
            <v>#N/A</v>
          </cell>
          <cell r="AA430" t="e">
            <v>#N/A</v>
          </cell>
          <cell r="AD430">
            <v>0</v>
          </cell>
        </row>
        <row r="431">
          <cell r="A431">
            <v>46622</v>
          </cell>
          <cell r="B431" t="e">
            <v>#N/A</v>
          </cell>
          <cell r="C431"/>
          <cell r="D431" t="e">
            <v>#N/A</v>
          </cell>
          <cell r="F431">
            <v>0</v>
          </cell>
          <cell r="G431" t="e">
            <v>#N/A</v>
          </cell>
          <cell r="H431">
            <v>0</v>
          </cell>
          <cell r="I431" t="e">
            <v>#N/A</v>
          </cell>
          <cell r="J431">
            <v>18</v>
          </cell>
          <cell r="K431" t="str">
            <v>XFILL_PMG100%</v>
          </cell>
          <cell r="L431">
            <v>10</v>
          </cell>
          <cell r="M431" t="str">
            <v>TA+CCL100%</v>
          </cell>
          <cell r="N431" t="e">
            <v>#N/A</v>
          </cell>
          <cell r="O431" t="e">
            <v>#N/A</v>
          </cell>
          <cell r="P431">
            <v>159</v>
          </cell>
          <cell r="Q431">
            <v>0</v>
          </cell>
          <cell r="S431">
            <v>0</v>
          </cell>
          <cell r="T431">
            <v>314.041</v>
          </cell>
          <cell r="V431">
            <v>0</v>
          </cell>
          <cell r="W431" t="e">
            <v>#N/A</v>
          </cell>
          <cell r="X431" t="e">
            <v>#N/A</v>
          </cell>
          <cell r="Y431" t="e">
            <v>#N/A</v>
          </cell>
          <cell r="Z431" t="e">
            <v>#N/A</v>
          </cell>
          <cell r="AA431" t="e">
            <v>#N/A</v>
          </cell>
          <cell r="AD431">
            <v>0</v>
          </cell>
        </row>
        <row r="432">
          <cell r="A432">
            <v>46623</v>
          </cell>
          <cell r="B432" t="e">
            <v>#N/A</v>
          </cell>
          <cell r="C432"/>
          <cell r="D432" t="e">
            <v>#N/A</v>
          </cell>
          <cell r="F432">
            <v>0</v>
          </cell>
          <cell r="G432" t="e">
            <v>#N/A</v>
          </cell>
          <cell r="H432">
            <v>0</v>
          </cell>
          <cell r="I432" t="e">
            <v>#N/A</v>
          </cell>
          <cell r="J432">
            <v>18</v>
          </cell>
          <cell r="K432" t="str">
            <v>XFILL_PMG100%</v>
          </cell>
          <cell r="L432">
            <v>10</v>
          </cell>
          <cell r="M432" t="str">
            <v>TA+CCL100%</v>
          </cell>
          <cell r="N432" t="e">
            <v>#N/A</v>
          </cell>
          <cell r="O432" t="e">
            <v>#N/A</v>
          </cell>
          <cell r="P432">
            <v>159</v>
          </cell>
          <cell r="Q432">
            <v>0</v>
          </cell>
          <cell r="S432">
            <v>0</v>
          </cell>
          <cell r="T432">
            <v>314.041</v>
          </cell>
          <cell r="V432">
            <v>0</v>
          </cell>
          <cell r="W432" t="e">
            <v>#N/A</v>
          </cell>
          <cell r="X432" t="e">
            <v>#N/A</v>
          </cell>
          <cell r="Y432" t="e">
            <v>#N/A</v>
          </cell>
          <cell r="Z432" t="e">
            <v>#N/A</v>
          </cell>
          <cell r="AA432" t="e">
            <v>#N/A</v>
          </cell>
          <cell r="AD432">
            <v>0</v>
          </cell>
        </row>
        <row r="433">
          <cell r="A433">
            <v>46624</v>
          </cell>
          <cell r="B433" t="e">
            <v>#N/A</v>
          </cell>
          <cell r="C433"/>
          <cell r="D433" t="e">
            <v>#N/A</v>
          </cell>
          <cell r="F433">
            <v>0</v>
          </cell>
          <cell r="G433" t="e">
            <v>#N/A</v>
          </cell>
          <cell r="H433">
            <v>0</v>
          </cell>
          <cell r="I433" t="e">
            <v>#N/A</v>
          </cell>
          <cell r="J433">
            <v>18</v>
          </cell>
          <cell r="K433" t="str">
            <v>XFILL_PMG100%</v>
          </cell>
          <cell r="L433">
            <v>10</v>
          </cell>
          <cell r="M433" t="str">
            <v>TA+CCL100%</v>
          </cell>
          <cell r="N433" t="e">
            <v>#N/A</v>
          </cell>
          <cell r="O433" t="e">
            <v>#N/A</v>
          </cell>
          <cell r="P433">
            <v>159</v>
          </cell>
          <cell r="Q433">
            <v>0</v>
          </cell>
          <cell r="S433">
            <v>0</v>
          </cell>
          <cell r="T433">
            <v>314.041</v>
          </cell>
          <cell r="V433">
            <v>0</v>
          </cell>
          <cell r="W433" t="e">
            <v>#N/A</v>
          </cell>
          <cell r="X433" t="e">
            <v>#N/A</v>
          </cell>
          <cell r="Y433" t="e">
            <v>#N/A</v>
          </cell>
          <cell r="Z433" t="e">
            <v>#N/A</v>
          </cell>
          <cell r="AA433" t="e">
            <v>#N/A</v>
          </cell>
          <cell r="AD433">
            <v>0</v>
          </cell>
        </row>
        <row r="434">
          <cell r="A434">
            <v>46625</v>
          </cell>
          <cell r="B434" t="e">
            <v>#N/A</v>
          </cell>
          <cell r="C434"/>
          <cell r="D434" t="e">
            <v>#N/A</v>
          </cell>
          <cell r="F434">
            <v>0</v>
          </cell>
          <cell r="G434" t="e">
            <v>#N/A</v>
          </cell>
          <cell r="H434">
            <v>0</v>
          </cell>
          <cell r="I434" t="e">
            <v>#N/A</v>
          </cell>
          <cell r="J434">
            <v>18</v>
          </cell>
          <cell r="K434" t="str">
            <v>XFILL_PMG100%</v>
          </cell>
          <cell r="L434">
            <v>10</v>
          </cell>
          <cell r="M434" t="str">
            <v>TA+CCL100%</v>
          </cell>
          <cell r="N434" t="e">
            <v>#N/A</v>
          </cell>
          <cell r="O434" t="e">
            <v>#N/A</v>
          </cell>
          <cell r="P434">
            <v>159</v>
          </cell>
          <cell r="Q434">
            <v>0</v>
          </cell>
          <cell r="S434">
            <v>0</v>
          </cell>
          <cell r="T434">
            <v>314.041</v>
          </cell>
          <cell r="V434">
            <v>0</v>
          </cell>
          <cell r="W434" t="e">
            <v>#N/A</v>
          </cell>
          <cell r="X434" t="e">
            <v>#N/A</v>
          </cell>
          <cell r="Y434" t="e">
            <v>#N/A</v>
          </cell>
          <cell r="Z434" t="e">
            <v>#N/A</v>
          </cell>
          <cell r="AA434" t="e">
            <v>#N/A</v>
          </cell>
          <cell r="AD434">
            <v>0</v>
          </cell>
        </row>
        <row r="435">
          <cell r="A435">
            <v>46626</v>
          </cell>
          <cell r="B435" t="e">
            <v>#N/A</v>
          </cell>
          <cell r="C435"/>
          <cell r="D435" t="e">
            <v>#N/A</v>
          </cell>
          <cell r="F435">
            <v>0</v>
          </cell>
          <cell r="G435" t="e">
            <v>#N/A</v>
          </cell>
          <cell r="H435">
            <v>0</v>
          </cell>
          <cell r="I435" t="e">
            <v>#N/A</v>
          </cell>
          <cell r="J435">
            <v>18</v>
          </cell>
          <cell r="K435" t="str">
            <v>XFILL_PMG100%</v>
          </cell>
          <cell r="L435">
            <v>10</v>
          </cell>
          <cell r="M435" t="str">
            <v>TA+CCL100%</v>
          </cell>
          <cell r="N435" t="e">
            <v>#N/A</v>
          </cell>
          <cell r="O435" t="e">
            <v>#N/A</v>
          </cell>
          <cell r="P435">
            <v>159</v>
          </cell>
          <cell r="Q435">
            <v>0</v>
          </cell>
          <cell r="S435">
            <v>0</v>
          </cell>
          <cell r="T435">
            <v>314.041</v>
          </cell>
          <cell r="V435">
            <v>0</v>
          </cell>
          <cell r="W435" t="e">
            <v>#N/A</v>
          </cell>
          <cell r="X435" t="e">
            <v>#N/A</v>
          </cell>
          <cell r="Y435" t="e">
            <v>#N/A</v>
          </cell>
          <cell r="Z435" t="e">
            <v>#N/A</v>
          </cell>
          <cell r="AA435" t="e">
            <v>#N/A</v>
          </cell>
          <cell r="AD435">
            <v>0</v>
          </cell>
        </row>
        <row r="436">
          <cell r="A436">
            <v>46627</v>
          </cell>
          <cell r="B436" t="e">
            <v>#N/A</v>
          </cell>
          <cell r="C436"/>
          <cell r="D436" t="e">
            <v>#N/A</v>
          </cell>
          <cell r="F436">
            <v>0</v>
          </cell>
          <cell r="G436" t="e">
            <v>#N/A</v>
          </cell>
          <cell r="H436">
            <v>0</v>
          </cell>
          <cell r="I436" t="e">
            <v>#N/A</v>
          </cell>
          <cell r="J436">
            <v>18</v>
          </cell>
          <cell r="K436" t="str">
            <v>XFILL_PMG100%</v>
          </cell>
          <cell r="L436">
            <v>10</v>
          </cell>
          <cell r="M436" t="str">
            <v>TA+CCL100%</v>
          </cell>
          <cell r="N436" t="e">
            <v>#N/A</v>
          </cell>
          <cell r="O436" t="e">
            <v>#N/A</v>
          </cell>
          <cell r="P436">
            <v>159</v>
          </cell>
          <cell r="Q436">
            <v>0</v>
          </cell>
          <cell r="S436">
            <v>0</v>
          </cell>
          <cell r="T436">
            <v>314.041</v>
          </cell>
          <cell r="V436">
            <v>0</v>
          </cell>
          <cell r="W436" t="e">
            <v>#N/A</v>
          </cell>
          <cell r="X436" t="e">
            <v>#N/A</v>
          </cell>
          <cell r="Y436" t="e">
            <v>#N/A</v>
          </cell>
          <cell r="Z436" t="e">
            <v>#N/A</v>
          </cell>
          <cell r="AA436" t="e">
            <v>#N/A</v>
          </cell>
          <cell r="AD436">
            <v>0</v>
          </cell>
        </row>
        <row r="437">
          <cell r="A437">
            <v>46628</v>
          </cell>
          <cell r="B437" t="e">
            <v>#N/A</v>
          </cell>
          <cell r="C437"/>
          <cell r="D437" t="e">
            <v>#N/A</v>
          </cell>
          <cell r="F437">
            <v>0</v>
          </cell>
          <cell r="G437" t="e">
            <v>#N/A</v>
          </cell>
          <cell r="H437">
            <v>0</v>
          </cell>
          <cell r="I437" t="e">
            <v>#N/A</v>
          </cell>
          <cell r="J437">
            <v>18</v>
          </cell>
          <cell r="K437" t="str">
            <v>XFILL_PMG100%</v>
          </cell>
          <cell r="L437">
            <v>10</v>
          </cell>
          <cell r="M437" t="str">
            <v>TA+CCL100%</v>
          </cell>
          <cell r="N437" t="e">
            <v>#N/A</v>
          </cell>
          <cell r="O437" t="e">
            <v>#N/A</v>
          </cell>
          <cell r="P437">
            <v>159</v>
          </cell>
          <cell r="Q437">
            <v>0</v>
          </cell>
          <cell r="S437">
            <v>0</v>
          </cell>
          <cell r="T437">
            <v>314.041</v>
          </cell>
          <cell r="V437">
            <v>0</v>
          </cell>
          <cell r="W437" t="e">
            <v>#N/A</v>
          </cell>
          <cell r="X437" t="e">
            <v>#N/A</v>
          </cell>
          <cell r="Y437" t="e">
            <v>#N/A</v>
          </cell>
          <cell r="Z437" t="e">
            <v>#N/A</v>
          </cell>
          <cell r="AA437" t="e">
            <v>#N/A</v>
          </cell>
          <cell r="AD437">
            <v>0</v>
          </cell>
        </row>
        <row r="438">
          <cell r="A438">
            <v>46629</v>
          </cell>
          <cell r="B438" t="e">
            <v>#N/A</v>
          </cell>
          <cell r="C438"/>
          <cell r="D438" t="e">
            <v>#N/A</v>
          </cell>
          <cell r="F438">
            <v>0</v>
          </cell>
          <cell r="G438" t="e">
            <v>#N/A</v>
          </cell>
          <cell r="H438">
            <v>0</v>
          </cell>
          <cell r="I438" t="e">
            <v>#N/A</v>
          </cell>
          <cell r="J438">
            <v>18</v>
          </cell>
          <cell r="K438" t="str">
            <v>XFILL_PMG100%</v>
          </cell>
          <cell r="L438">
            <v>10</v>
          </cell>
          <cell r="M438" t="str">
            <v>TA+CCL100%</v>
          </cell>
          <cell r="N438" t="e">
            <v>#N/A</v>
          </cell>
          <cell r="O438" t="e">
            <v>#N/A</v>
          </cell>
          <cell r="P438">
            <v>159</v>
          </cell>
          <cell r="Q438">
            <v>0</v>
          </cell>
          <cell r="S438">
            <v>0</v>
          </cell>
          <cell r="T438">
            <v>314.041</v>
          </cell>
          <cell r="V438">
            <v>0</v>
          </cell>
          <cell r="W438" t="e">
            <v>#N/A</v>
          </cell>
          <cell r="X438" t="e">
            <v>#N/A</v>
          </cell>
          <cell r="Y438" t="e">
            <v>#N/A</v>
          </cell>
          <cell r="Z438" t="e">
            <v>#N/A</v>
          </cell>
          <cell r="AA438" t="e">
            <v>#N/A</v>
          </cell>
          <cell r="AD438">
            <v>0</v>
          </cell>
        </row>
        <row r="439">
          <cell r="A439">
            <v>46630</v>
          </cell>
          <cell r="B439" t="e">
            <v>#N/A</v>
          </cell>
          <cell r="C439"/>
          <cell r="D439" t="e">
            <v>#N/A</v>
          </cell>
          <cell r="F439">
            <v>0</v>
          </cell>
          <cell r="G439" t="e">
            <v>#N/A</v>
          </cell>
          <cell r="H439">
            <v>0</v>
          </cell>
          <cell r="I439" t="e">
            <v>#N/A</v>
          </cell>
          <cell r="J439">
            <v>18</v>
          </cell>
          <cell r="K439" t="str">
            <v>XFILL_PMG100%</v>
          </cell>
          <cell r="L439">
            <v>10</v>
          </cell>
          <cell r="M439" t="str">
            <v>TA+CCL100%</v>
          </cell>
          <cell r="N439" t="e">
            <v>#N/A</v>
          </cell>
          <cell r="O439" t="e">
            <v>#N/A</v>
          </cell>
          <cell r="P439">
            <v>159</v>
          </cell>
          <cell r="Q439">
            <v>0</v>
          </cell>
          <cell r="S439">
            <v>0</v>
          </cell>
          <cell r="T439">
            <v>314.041</v>
          </cell>
          <cell r="V439">
            <v>0</v>
          </cell>
          <cell r="W439" t="e">
            <v>#N/A</v>
          </cell>
          <cell r="X439" t="e">
            <v>#N/A</v>
          </cell>
          <cell r="Y439" t="e">
            <v>#N/A</v>
          </cell>
          <cell r="Z439" t="e">
            <v>#N/A</v>
          </cell>
          <cell r="AA439" t="e">
            <v>#N/A</v>
          </cell>
          <cell r="AD439">
            <v>0</v>
          </cell>
        </row>
        <row r="440">
          <cell r="A440">
            <v>46631</v>
          </cell>
          <cell r="B440" t="e">
            <v>#N/A</v>
          </cell>
          <cell r="C440"/>
          <cell r="D440" t="e">
            <v>#N/A</v>
          </cell>
          <cell r="F440">
            <v>0</v>
          </cell>
          <cell r="G440" t="e">
            <v>#N/A</v>
          </cell>
          <cell r="H440">
            <v>0</v>
          </cell>
          <cell r="I440" t="e">
            <v>#N/A</v>
          </cell>
          <cell r="J440">
            <v>18</v>
          </cell>
          <cell r="K440" t="str">
            <v>XFILL_PMG100%</v>
          </cell>
          <cell r="L440">
            <v>10</v>
          </cell>
          <cell r="M440" t="str">
            <v>TA+CCL100%</v>
          </cell>
          <cell r="N440" t="e">
            <v>#N/A</v>
          </cell>
          <cell r="O440" t="e">
            <v>#N/A</v>
          </cell>
          <cell r="P440">
            <v>159</v>
          </cell>
          <cell r="Q440">
            <v>0</v>
          </cell>
          <cell r="S440">
            <v>0</v>
          </cell>
          <cell r="T440">
            <v>314.041</v>
          </cell>
          <cell r="V440">
            <v>0</v>
          </cell>
          <cell r="W440" t="e">
            <v>#N/A</v>
          </cell>
          <cell r="X440" t="e">
            <v>#N/A</v>
          </cell>
          <cell r="Y440" t="e">
            <v>#N/A</v>
          </cell>
          <cell r="Z440" t="e">
            <v>#N/A</v>
          </cell>
          <cell r="AA440" t="e">
            <v>#N/A</v>
          </cell>
          <cell r="AD440">
            <v>0</v>
          </cell>
        </row>
        <row r="441">
          <cell r="A441">
            <v>46632</v>
          </cell>
          <cell r="B441" t="e">
            <v>#N/A</v>
          </cell>
          <cell r="C441"/>
          <cell r="D441" t="e">
            <v>#N/A</v>
          </cell>
          <cell r="F441">
            <v>0</v>
          </cell>
          <cell r="G441" t="e">
            <v>#N/A</v>
          </cell>
          <cell r="H441">
            <v>0</v>
          </cell>
          <cell r="I441" t="e">
            <v>#N/A</v>
          </cell>
          <cell r="J441">
            <v>18</v>
          </cell>
          <cell r="K441" t="str">
            <v>XFILL_PMG100%</v>
          </cell>
          <cell r="L441">
            <v>10</v>
          </cell>
          <cell r="M441" t="str">
            <v>TA+CCL100%</v>
          </cell>
          <cell r="N441" t="e">
            <v>#N/A</v>
          </cell>
          <cell r="O441" t="e">
            <v>#N/A</v>
          </cell>
          <cell r="P441">
            <v>159</v>
          </cell>
          <cell r="Q441">
            <v>0</v>
          </cell>
          <cell r="S441">
            <v>0</v>
          </cell>
          <cell r="T441">
            <v>314.041</v>
          </cell>
          <cell r="V441">
            <v>0</v>
          </cell>
          <cell r="W441" t="e">
            <v>#N/A</v>
          </cell>
          <cell r="X441" t="e">
            <v>#N/A</v>
          </cell>
          <cell r="Y441" t="e">
            <v>#N/A</v>
          </cell>
          <cell r="Z441" t="e">
            <v>#N/A</v>
          </cell>
          <cell r="AA441" t="e">
            <v>#N/A</v>
          </cell>
          <cell r="AD441">
            <v>0</v>
          </cell>
        </row>
        <row r="442">
          <cell r="A442">
            <v>46633</v>
          </cell>
          <cell r="B442" t="e">
            <v>#N/A</v>
          </cell>
          <cell r="C442"/>
          <cell r="D442" t="e">
            <v>#N/A</v>
          </cell>
          <cell r="F442">
            <v>0</v>
          </cell>
          <cell r="G442" t="e">
            <v>#N/A</v>
          </cell>
          <cell r="H442">
            <v>0</v>
          </cell>
          <cell r="I442" t="e">
            <v>#N/A</v>
          </cell>
          <cell r="J442">
            <v>18</v>
          </cell>
          <cell r="K442" t="str">
            <v>XFILL_PMG100%</v>
          </cell>
          <cell r="L442">
            <v>10</v>
          </cell>
          <cell r="M442" t="str">
            <v>TA+CCL100%</v>
          </cell>
          <cell r="N442" t="e">
            <v>#N/A</v>
          </cell>
          <cell r="O442" t="e">
            <v>#N/A</v>
          </cell>
          <cell r="P442">
            <v>159</v>
          </cell>
          <cell r="Q442">
            <v>0</v>
          </cell>
          <cell r="S442">
            <v>0</v>
          </cell>
          <cell r="T442">
            <v>314.041</v>
          </cell>
          <cell r="V442">
            <v>0</v>
          </cell>
          <cell r="W442" t="e">
            <v>#N/A</v>
          </cell>
          <cell r="X442" t="e">
            <v>#N/A</v>
          </cell>
          <cell r="Y442" t="e">
            <v>#N/A</v>
          </cell>
          <cell r="Z442" t="e">
            <v>#N/A</v>
          </cell>
          <cell r="AA442" t="e">
            <v>#N/A</v>
          </cell>
          <cell r="AD442">
            <v>0</v>
          </cell>
        </row>
        <row r="443">
          <cell r="A443">
            <v>46634</v>
          </cell>
          <cell r="B443" t="e">
            <v>#N/A</v>
          </cell>
          <cell r="C443"/>
          <cell r="D443" t="e">
            <v>#N/A</v>
          </cell>
          <cell r="F443">
            <v>0</v>
          </cell>
          <cell r="G443" t="e">
            <v>#N/A</v>
          </cell>
          <cell r="H443">
            <v>0</v>
          </cell>
          <cell r="I443" t="e">
            <v>#N/A</v>
          </cell>
          <cell r="J443">
            <v>18</v>
          </cell>
          <cell r="K443" t="str">
            <v>XFILL_PMG100%</v>
          </cell>
          <cell r="L443">
            <v>10</v>
          </cell>
          <cell r="M443" t="str">
            <v>TA+CCL100%</v>
          </cell>
          <cell r="N443" t="e">
            <v>#N/A</v>
          </cell>
          <cell r="O443" t="e">
            <v>#N/A</v>
          </cell>
          <cell r="P443">
            <v>159</v>
          </cell>
          <cell r="Q443">
            <v>0</v>
          </cell>
          <cell r="S443">
            <v>0</v>
          </cell>
          <cell r="T443">
            <v>314.041</v>
          </cell>
          <cell r="V443">
            <v>0</v>
          </cell>
          <cell r="W443" t="e">
            <v>#N/A</v>
          </cell>
          <cell r="X443" t="e">
            <v>#N/A</v>
          </cell>
          <cell r="Y443" t="e">
            <v>#N/A</v>
          </cell>
          <cell r="Z443" t="e">
            <v>#N/A</v>
          </cell>
          <cell r="AA443" t="e">
            <v>#N/A</v>
          </cell>
          <cell r="AD443">
            <v>0</v>
          </cell>
        </row>
        <row r="444">
          <cell r="A444">
            <v>46635</v>
          </cell>
          <cell r="B444" t="e">
            <v>#N/A</v>
          </cell>
          <cell r="C444"/>
          <cell r="D444" t="e">
            <v>#N/A</v>
          </cell>
          <cell r="F444">
            <v>0</v>
          </cell>
          <cell r="G444" t="e">
            <v>#N/A</v>
          </cell>
          <cell r="H444">
            <v>0</v>
          </cell>
          <cell r="I444" t="e">
            <v>#N/A</v>
          </cell>
          <cell r="J444">
            <v>18</v>
          </cell>
          <cell r="K444" t="str">
            <v>XFILL_PMG100%</v>
          </cell>
          <cell r="L444">
            <v>10</v>
          </cell>
          <cell r="M444" t="str">
            <v>TA+CCL100%</v>
          </cell>
          <cell r="N444" t="e">
            <v>#N/A</v>
          </cell>
          <cell r="O444" t="e">
            <v>#N/A</v>
          </cell>
          <cell r="P444">
            <v>159</v>
          </cell>
          <cell r="Q444">
            <v>0</v>
          </cell>
          <cell r="S444">
            <v>0</v>
          </cell>
          <cell r="T444">
            <v>314.041</v>
          </cell>
          <cell r="V444">
            <v>0</v>
          </cell>
          <cell r="W444" t="e">
            <v>#N/A</v>
          </cell>
          <cell r="X444" t="e">
            <v>#N/A</v>
          </cell>
          <cell r="Y444" t="e">
            <v>#N/A</v>
          </cell>
          <cell r="Z444" t="e">
            <v>#N/A</v>
          </cell>
          <cell r="AA444" t="e">
            <v>#N/A</v>
          </cell>
          <cell r="AD444">
            <v>0</v>
          </cell>
        </row>
        <row r="445">
          <cell r="A445">
            <v>46636</v>
          </cell>
          <cell r="B445" t="e">
            <v>#N/A</v>
          </cell>
          <cell r="C445"/>
          <cell r="D445" t="e">
            <v>#N/A</v>
          </cell>
          <cell r="F445">
            <v>0</v>
          </cell>
          <cell r="G445" t="e">
            <v>#N/A</v>
          </cell>
          <cell r="H445">
            <v>0</v>
          </cell>
          <cell r="I445" t="e">
            <v>#N/A</v>
          </cell>
          <cell r="J445">
            <v>18</v>
          </cell>
          <cell r="K445" t="str">
            <v>XFILL_PMG100%</v>
          </cell>
          <cell r="L445">
            <v>10</v>
          </cell>
          <cell r="M445" t="str">
            <v>TA+CCL100%</v>
          </cell>
          <cell r="N445" t="e">
            <v>#N/A</v>
          </cell>
          <cell r="O445" t="e">
            <v>#N/A</v>
          </cell>
          <cell r="P445">
            <v>159</v>
          </cell>
          <cell r="Q445">
            <v>0</v>
          </cell>
          <cell r="S445">
            <v>0</v>
          </cell>
          <cell r="T445">
            <v>314.041</v>
          </cell>
          <cell r="V445">
            <v>0</v>
          </cell>
          <cell r="W445" t="e">
            <v>#N/A</v>
          </cell>
          <cell r="X445" t="e">
            <v>#N/A</v>
          </cell>
          <cell r="Y445" t="e">
            <v>#N/A</v>
          </cell>
          <cell r="Z445" t="e">
            <v>#N/A</v>
          </cell>
          <cell r="AA445" t="e">
            <v>#N/A</v>
          </cell>
          <cell r="AD445">
            <v>0</v>
          </cell>
        </row>
        <row r="446">
          <cell r="A446">
            <v>46637</v>
          </cell>
          <cell r="B446" t="e">
            <v>#N/A</v>
          </cell>
          <cell r="C446"/>
          <cell r="D446" t="e">
            <v>#N/A</v>
          </cell>
          <cell r="F446">
            <v>0</v>
          </cell>
          <cell r="G446" t="e">
            <v>#N/A</v>
          </cell>
          <cell r="H446">
            <v>0</v>
          </cell>
          <cell r="I446" t="e">
            <v>#N/A</v>
          </cell>
          <cell r="J446">
            <v>18</v>
          </cell>
          <cell r="K446" t="str">
            <v>XFILL_PMG100%</v>
          </cell>
          <cell r="L446">
            <v>10</v>
          </cell>
          <cell r="M446" t="str">
            <v>TA+CCL100%</v>
          </cell>
          <cell r="N446" t="e">
            <v>#N/A</v>
          </cell>
          <cell r="O446" t="e">
            <v>#N/A</v>
          </cell>
          <cell r="P446">
            <v>159</v>
          </cell>
          <cell r="Q446">
            <v>0</v>
          </cell>
          <cell r="S446">
            <v>0</v>
          </cell>
          <cell r="T446">
            <v>314.041</v>
          </cell>
          <cell r="V446">
            <v>0</v>
          </cell>
          <cell r="W446" t="e">
            <v>#N/A</v>
          </cell>
          <cell r="X446" t="e">
            <v>#N/A</v>
          </cell>
          <cell r="Y446" t="e">
            <v>#N/A</v>
          </cell>
          <cell r="Z446" t="e">
            <v>#N/A</v>
          </cell>
          <cell r="AA446" t="e">
            <v>#N/A</v>
          </cell>
          <cell r="AD446">
            <v>0</v>
          </cell>
        </row>
        <row r="447">
          <cell r="A447">
            <v>46638</v>
          </cell>
          <cell r="B447" t="e">
            <v>#N/A</v>
          </cell>
          <cell r="C447"/>
          <cell r="D447" t="e">
            <v>#N/A</v>
          </cell>
          <cell r="F447">
            <v>0</v>
          </cell>
          <cell r="G447" t="e">
            <v>#N/A</v>
          </cell>
          <cell r="H447">
            <v>0</v>
          </cell>
          <cell r="I447" t="e">
            <v>#N/A</v>
          </cell>
          <cell r="J447">
            <v>18</v>
          </cell>
          <cell r="K447" t="str">
            <v>XFILL_PMG100%</v>
          </cell>
          <cell r="L447">
            <v>10</v>
          </cell>
          <cell r="M447" t="str">
            <v>TA+CCL100%</v>
          </cell>
          <cell r="N447" t="e">
            <v>#N/A</v>
          </cell>
          <cell r="O447" t="e">
            <v>#N/A</v>
          </cell>
          <cell r="P447">
            <v>159</v>
          </cell>
          <cell r="Q447">
            <v>0</v>
          </cell>
          <cell r="S447">
            <v>0</v>
          </cell>
          <cell r="T447">
            <v>314.041</v>
          </cell>
          <cell r="V447">
            <v>0</v>
          </cell>
          <cell r="W447" t="e">
            <v>#N/A</v>
          </cell>
          <cell r="X447" t="e">
            <v>#N/A</v>
          </cell>
          <cell r="Y447" t="e">
            <v>#N/A</v>
          </cell>
          <cell r="Z447" t="e">
            <v>#N/A</v>
          </cell>
          <cell r="AA447" t="e">
            <v>#N/A</v>
          </cell>
          <cell r="AD447">
            <v>0</v>
          </cell>
        </row>
        <row r="448">
          <cell r="A448">
            <v>46639</v>
          </cell>
          <cell r="B448" t="e">
            <v>#N/A</v>
          </cell>
          <cell r="C448"/>
          <cell r="D448" t="e">
            <v>#N/A</v>
          </cell>
          <cell r="F448">
            <v>0</v>
          </cell>
          <cell r="G448" t="e">
            <v>#N/A</v>
          </cell>
          <cell r="H448">
            <v>0</v>
          </cell>
          <cell r="I448" t="e">
            <v>#N/A</v>
          </cell>
          <cell r="J448">
            <v>18</v>
          </cell>
          <cell r="K448" t="str">
            <v>XFILL_PMG100%</v>
          </cell>
          <cell r="L448">
            <v>10</v>
          </cell>
          <cell r="M448" t="str">
            <v>TA+CCL100%</v>
          </cell>
          <cell r="N448" t="e">
            <v>#N/A</v>
          </cell>
          <cell r="O448" t="e">
            <v>#N/A</v>
          </cell>
          <cell r="P448">
            <v>159</v>
          </cell>
          <cell r="Q448">
            <v>0</v>
          </cell>
          <cell r="S448">
            <v>0</v>
          </cell>
          <cell r="T448">
            <v>314.041</v>
          </cell>
          <cell r="V448">
            <v>0</v>
          </cell>
          <cell r="W448" t="e">
            <v>#N/A</v>
          </cell>
          <cell r="X448" t="e">
            <v>#N/A</v>
          </cell>
          <cell r="Y448" t="e">
            <v>#N/A</v>
          </cell>
          <cell r="Z448" t="e">
            <v>#N/A</v>
          </cell>
          <cell r="AA448" t="e">
            <v>#N/A</v>
          </cell>
          <cell r="AD448">
            <v>0</v>
          </cell>
        </row>
        <row r="449">
          <cell r="A449">
            <v>46640</v>
          </cell>
          <cell r="B449" t="e">
            <v>#N/A</v>
          </cell>
          <cell r="C449"/>
          <cell r="D449" t="e">
            <v>#N/A</v>
          </cell>
          <cell r="F449">
            <v>0</v>
          </cell>
          <cell r="G449" t="e">
            <v>#N/A</v>
          </cell>
          <cell r="H449">
            <v>0</v>
          </cell>
          <cell r="I449" t="e">
            <v>#N/A</v>
          </cell>
          <cell r="J449">
            <v>18</v>
          </cell>
          <cell r="K449" t="str">
            <v>XFILL_PMG100%</v>
          </cell>
          <cell r="L449">
            <v>10</v>
          </cell>
          <cell r="M449" t="str">
            <v>TA+CCL100%</v>
          </cell>
          <cell r="N449" t="e">
            <v>#N/A</v>
          </cell>
          <cell r="O449" t="e">
            <v>#N/A</v>
          </cell>
          <cell r="P449">
            <v>159</v>
          </cell>
          <cell r="Q449">
            <v>0</v>
          </cell>
          <cell r="S449">
            <v>0</v>
          </cell>
          <cell r="T449">
            <v>314.041</v>
          </cell>
          <cell r="V449">
            <v>0</v>
          </cell>
          <cell r="W449" t="e">
            <v>#N/A</v>
          </cell>
          <cell r="X449" t="e">
            <v>#N/A</v>
          </cell>
          <cell r="Y449" t="e">
            <v>#N/A</v>
          </cell>
          <cell r="Z449" t="e">
            <v>#N/A</v>
          </cell>
          <cell r="AA449" t="e">
            <v>#N/A</v>
          </cell>
          <cell r="AD449">
            <v>0</v>
          </cell>
        </row>
        <row r="450">
          <cell r="A450">
            <v>46641</v>
          </cell>
          <cell r="B450" t="e">
            <v>#N/A</v>
          </cell>
          <cell r="C450"/>
          <cell r="D450" t="e">
            <v>#N/A</v>
          </cell>
          <cell r="F450">
            <v>0</v>
          </cell>
          <cell r="G450" t="e">
            <v>#N/A</v>
          </cell>
          <cell r="H450">
            <v>0</v>
          </cell>
          <cell r="I450" t="e">
            <v>#N/A</v>
          </cell>
          <cell r="J450">
            <v>18</v>
          </cell>
          <cell r="K450" t="str">
            <v>XFILL_PMG100%</v>
          </cell>
          <cell r="L450">
            <v>10</v>
          </cell>
          <cell r="M450" t="str">
            <v>TA+CCL100%</v>
          </cell>
          <cell r="N450" t="e">
            <v>#N/A</v>
          </cell>
          <cell r="O450" t="e">
            <v>#N/A</v>
          </cell>
          <cell r="P450">
            <v>159</v>
          </cell>
          <cell r="Q450">
            <v>0</v>
          </cell>
          <cell r="S450">
            <v>0</v>
          </cell>
          <cell r="T450">
            <v>314.041</v>
          </cell>
          <cell r="V450">
            <v>0</v>
          </cell>
          <cell r="W450" t="e">
            <v>#N/A</v>
          </cell>
          <cell r="X450" t="e">
            <v>#N/A</v>
          </cell>
          <cell r="Y450" t="e">
            <v>#N/A</v>
          </cell>
          <cell r="Z450" t="e">
            <v>#N/A</v>
          </cell>
          <cell r="AA450" t="e">
            <v>#N/A</v>
          </cell>
          <cell r="AD450">
            <v>0</v>
          </cell>
        </row>
        <row r="451">
          <cell r="A451">
            <v>46642</v>
          </cell>
          <cell r="B451" t="e">
            <v>#N/A</v>
          </cell>
          <cell r="C451"/>
          <cell r="D451" t="e">
            <v>#N/A</v>
          </cell>
          <cell r="F451">
            <v>0</v>
          </cell>
          <cell r="G451" t="e">
            <v>#N/A</v>
          </cell>
          <cell r="H451">
            <v>0</v>
          </cell>
          <cell r="I451" t="e">
            <v>#N/A</v>
          </cell>
          <cell r="J451">
            <v>18</v>
          </cell>
          <cell r="K451" t="str">
            <v>XFILL_PMG100%</v>
          </cell>
          <cell r="L451">
            <v>10</v>
          </cell>
          <cell r="M451" t="str">
            <v>TA+CCL100%</v>
          </cell>
          <cell r="N451" t="e">
            <v>#N/A</v>
          </cell>
          <cell r="O451" t="e">
            <v>#N/A</v>
          </cell>
          <cell r="P451">
            <v>159</v>
          </cell>
          <cell r="Q451">
            <v>0</v>
          </cell>
          <cell r="S451">
            <v>0</v>
          </cell>
          <cell r="T451">
            <v>314.041</v>
          </cell>
          <cell r="V451">
            <v>0</v>
          </cell>
          <cell r="W451" t="e">
            <v>#N/A</v>
          </cell>
          <cell r="X451" t="e">
            <v>#N/A</v>
          </cell>
          <cell r="Y451" t="e">
            <v>#N/A</v>
          </cell>
          <cell r="Z451" t="e">
            <v>#N/A</v>
          </cell>
          <cell r="AA451" t="e">
            <v>#N/A</v>
          </cell>
          <cell r="AD451">
            <v>0</v>
          </cell>
        </row>
        <row r="452">
          <cell r="A452">
            <v>46643</v>
          </cell>
          <cell r="B452" t="e">
            <v>#N/A</v>
          </cell>
          <cell r="C452"/>
          <cell r="D452" t="e">
            <v>#N/A</v>
          </cell>
          <cell r="F452">
            <v>0</v>
          </cell>
          <cell r="G452" t="e">
            <v>#N/A</v>
          </cell>
          <cell r="H452">
            <v>0</v>
          </cell>
          <cell r="I452" t="e">
            <v>#N/A</v>
          </cell>
          <cell r="J452">
            <v>18</v>
          </cell>
          <cell r="K452" t="str">
            <v>XFILL_PMG100%</v>
          </cell>
          <cell r="L452">
            <v>10</v>
          </cell>
          <cell r="M452" t="str">
            <v>TA+CCL100%</v>
          </cell>
          <cell r="N452" t="e">
            <v>#N/A</v>
          </cell>
          <cell r="O452" t="e">
            <v>#N/A</v>
          </cell>
          <cell r="P452">
            <v>159</v>
          </cell>
          <cell r="Q452">
            <v>0</v>
          </cell>
          <cell r="S452">
            <v>0</v>
          </cell>
          <cell r="T452">
            <v>314.041</v>
          </cell>
          <cell r="V452">
            <v>0</v>
          </cell>
          <cell r="W452" t="e">
            <v>#N/A</v>
          </cell>
          <cell r="X452" t="e">
            <v>#N/A</v>
          </cell>
          <cell r="Y452" t="e">
            <v>#N/A</v>
          </cell>
          <cell r="Z452" t="e">
            <v>#N/A</v>
          </cell>
          <cell r="AA452" t="e">
            <v>#N/A</v>
          </cell>
          <cell r="AD452">
            <v>0</v>
          </cell>
        </row>
        <row r="453">
          <cell r="A453">
            <v>46644</v>
          </cell>
          <cell r="B453" t="e">
            <v>#N/A</v>
          </cell>
          <cell r="C453"/>
          <cell r="D453" t="e">
            <v>#N/A</v>
          </cell>
          <cell r="F453">
            <v>0</v>
          </cell>
          <cell r="G453" t="e">
            <v>#N/A</v>
          </cell>
          <cell r="H453">
            <v>0</v>
          </cell>
          <cell r="I453" t="e">
            <v>#N/A</v>
          </cell>
          <cell r="J453">
            <v>18</v>
          </cell>
          <cell r="K453" t="str">
            <v>XFILL_PMG100%</v>
          </cell>
          <cell r="L453">
            <v>10</v>
          </cell>
          <cell r="M453" t="str">
            <v>TA+CCL100%</v>
          </cell>
          <cell r="N453" t="e">
            <v>#N/A</v>
          </cell>
          <cell r="O453" t="e">
            <v>#N/A</v>
          </cell>
          <cell r="P453">
            <v>159</v>
          </cell>
          <cell r="Q453">
            <v>0</v>
          </cell>
          <cell r="S453">
            <v>0</v>
          </cell>
          <cell r="T453">
            <v>314.041</v>
          </cell>
          <cell r="V453">
            <v>0</v>
          </cell>
          <cell r="W453" t="e">
            <v>#N/A</v>
          </cell>
          <cell r="X453" t="e">
            <v>#N/A</v>
          </cell>
          <cell r="Y453" t="e">
            <v>#N/A</v>
          </cell>
          <cell r="Z453" t="e">
            <v>#N/A</v>
          </cell>
          <cell r="AA453" t="e">
            <v>#N/A</v>
          </cell>
          <cell r="AD453">
            <v>0</v>
          </cell>
        </row>
        <row r="454">
          <cell r="A454">
            <v>46645</v>
          </cell>
          <cell r="B454" t="e">
            <v>#N/A</v>
          </cell>
          <cell r="C454"/>
          <cell r="D454" t="e">
            <v>#N/A</v>
          </cell>
          <cell r="F454">
            <v>0</v>
          </cell>
          <cell r="G454" t="e">
            <v>#N/A</v>
          </cell>
          <cell r="H454">
            <v>0</v>
          </cell>
          <cell r="I454" t="e">
            <v>#N/A</v>
          </cell>
          <cell r="J454">
            <v>18</v>
          </cell>
          <cell r="K454" t="str">
            <v>XFILL_PMG100%</v>
          </cell>
          <cell r="L454">
            <v>10</v>
          </cell>
          <cell r="M454" t="str">
            <v>TA+CCL100%</v>
          </cell>
          <cell r="N454" t="e">
            <v>#N/A</v>
          </cell>
          <cell r="O454" t="e">
            <v>#N/A</v>
          </cell>
          <cell r="P454">
            <v>159</v>
          </cell>
          <cell r="Q454">
            <v>0</v>
          </cell>
          <cell r="S454">
            <v>0</v>
          </cell>
          <cell r="T454">
            <v>314.041</v>
          </cell>
          <cell r="V454">
            <v>0</v>
          </cell>
          <cell r="W454" t="e">
            <v>#N/A</v>
          </cell>
          <cell r="X454" t="e">
            <v>#N/A</v>
          </cell>
          <cell r="Y454" t="e">
            <v>#N/A</v>
          </cell>
          <cell r="Z454" t="e">
            <v>#N/A</v>
          </cell>
          <cell r="AA454" t="e">
            <v>#N/A</v>
          </cell>
          <cell r="AD454">
            <v>0</v>
          </cell>
        </row>
        <row r="455">
          <cell r="A455">
            <v>46646</v>
          </cell>
          <cell r="B455" t="e">
            <v>#N/A</v>
          </cell>
          <cell r="C455"/>
          <cell r="D455" t="e">
            <v>#N/A</v>
          </cell>
          <cell r="F455">
            <v>0</v>
          </cell>
          <cell r="G455" t="e">
            <v>#N/A</v>
          </cell>
          <cell r="H455">
            <v>0</v>
          </cell>
          <cell r="I455" t="e">
            <v>#N/A</v>
          </cell>
          <cell r="J455">
            <v>18</v>
          </cell>
          <cell r="K455" t="str">
            <v>XFILL_PMG100%</v>
          </cell>
          <cell r="L455">
            <v>10</v>
          </cell>
          <cell r="M455" t="str">
            <v>TA+CCL100%</v>
          </cell>
          <cell r="N455" t="e">
            <v>#N/A</v>
          </cell>
          <cell r="O455" t="e">
            <v>#N/A</v>
          </cell>
          <cell r="P455">
            <v>159</v>
          </cell>
          <cell r="Q455">
            <v>0</v>
          </cell>
          <cell r="S455">
            <v>0</v>
          </cell>
          <cell r="T455">
            <v>314.041</v>
          </cell>
          <cell r="V455">
            <v>0</v>
          </cell>
          <cell r="W455" t="e">
            <v>#N/A</v>
          </cell>
          <cell r="X455" t="e">
            <v>#N/A</v>
          </cell>
          <cell r="Y455" t="e">
            <v>#N/A</v>
          </cell>
          <cell r="Z455" t="e">
            <v>#N/A</v>
          </cell>
          <cell r="AA455" t="e">
            <v>#N/A</v>
          </cell>
          <cell r="AD455">
            <v>0</v>
          </cell>
        </row>
        <row r="456">
          <cell r="A456">
            <v>46647</v>
          </cell>
          <cell r="B456" t="e">
            <v>#N/A</v>
          </cell>
          <cell r="C456"/>
          <cell r="D456" t="e">
            <v>#N/A</v>
          </cell>
          <cell r="F456">
            <v>0</v>
          </cell>
          <cell r="G456" t="e">
            <v>#N/A</v>
          </cell>
          <cell r="H456">
            <v>0</v>
          </cell>
          <cell r="I456" t="e">
            <v>#N/A</v>
          </cell>
          <cell r="J456">
            <v>18</v>
          </cell>
          <cell r="K456" t="str">
            <v>XFILL_PMG100%</v>
          </cell>
          <cell r="L456">
            <v>10</v>
          </cell>
          <cell r="M456" t="str">
            <v>TA+CCL100%</v>
          </cell>
          <cell r="N456" t="e">
            <v>#N/A</v>
          </cell>
          <cell r="O456" t="e">
            <v>#N/A</v>
          </cell>
          <cell r="P456">
            <v>159</v>
          </cell>
          <cell r="Q456">
            <v>0</v>
          </cell>
          <cell r="S456">
            <v>0</v>
          </cell>
          <cell r="T456">
            <v>314.041</v>
          </cell>
          <cell r="V456">
            <v>0</v>
          </cell>
          <cell r="W456" t="e">
            <v>#N/A</v>
          </cell>
          <cell r="X456" t="e">
            <v>#N/A</v>
          </cell>
          <cell r="Y456" t="e">
            <v>#N/A</v>
          </cell>
          <cell r="Z456" t="e">
            <v>#N/A</v>
          </cell>
          <cell r="AA456" t="e">
            <v>#N/A</v>
          </cell>
          <cell r="AD456">
            <v>0</v>
          </cell>
        </row>
        <row r="457">
          <cell r="A457">
            <v>46648</v>
          </cell>
          <cell r="B457" t="e">
            <v>#N/A</v>
          </cell>
          <cell r="C457"/>
          <cell r="D457" t="e">
            <v>#N/A</v>
          </cell>
          <cell r="F457">
            <v>0</v>
          </cell>
          <cell r="G457" t="e">
            <v>#N/A</v>
          </cell>
          <cell r="H457">
            <v>0</v>
          </cell>
          <cell r="I457" t="e">
            <v>#N/A</v>
          </cell>
          <cell r="J457">
            <v>18</v>
          </cell>
          <cell r="K457" t="str">
            <v>XFILL_PMG100%</v>
          </cell>
          <cell r="L457">
            <v>10</v>
          </cell>
          <cell r="M457" t="str">
            <v>TA+CCL100%</v>
          </cell>
          <cell r="N457" t="e">
            <v>#N/A</v>
          </cell>
          <cell r="O457" t="e">
            <v>#N/A</v>
          </cell>
          <cell r="P457">
            <v>159</v>
          </cell>
          <cell r="Q457">
            <v>0</v>
          </cell>
          <cell r="S457">
            <v>0</v>
          </cell>
          <cell r="T457">
            <v>314.041</v>
          </cell>
          <cell r="V457">
            <v>0</v>
          </cell>
          <cell r="W457" t="e">
            <v>#N/A</v>
          </cell>
          <cell r="X457" t="e">
            <v>#N/A</v>
          </cell>
          <cell r="Y457" t="e">
            <v>#N/A</v>
          </cell>
          <cell r="Z457" t="e">
            <v>#N/A</v>
          </cell>
          <cell r="AA457" t="e">
            <v>#N/A</v>
          </cell>
          <cell r="AD457">
            <v>0</v>
          </cell>
        </row>
        <row r="458">
          <cell r="A458">
            <v>46649</v>
          </cell>
          <cell r="B458" t="e">
            <v>#N/A</v>
          </cell>
          <cell r="C458"/>
          <cell r="D458" t="e">
            <v>#N/A</v>
          </cell>
          <cell r="F458">
            <v>0</v>
          </cell>
          <cell r="G458" t="e">
            <v>#N/A</v>
          </cell>
          <cell r="H458">
            <v>0</v>
          </cell>
          <cell r="I458" t="e">
            <v>#N/A</v>
          </cell>
          <cell r="J458">
            <v>18</v>
          </cell>
          <cell r="K458" t="str">
            <v>XFILL_PMG100%</v>
          </cell>
          <cell r="L458">
            <v>10</v>
          </cell>
          <cell r="M458" t="str">
            <v>TA+CCL100%</v>
          </cell>
          <cell r="N458" t="e">
            <v>#N/A</v>
          </cell>
          <cell r="O458" t="e">
            <v>#N/A</v>
          </cell>
          <cell r="P458">
            <v>159</v>
          </cell>
          <cell r="Q458">
            <v>0</v>
          </cell>
          <cell r="S458">
            <v>0</v>
          </cell>
          <cell r="T458">
            <v>314.041</v>
          </cell>
          <cell r="V458">
            <v>0</v>
          </cell>
          <cell r="W458" t="e">
            <v>#N/A</v>
          </cell>
          <cell r="X458" t="e">
            <v>#N/A</v>
          </cell>
          <cell r="Y458" t="e">
            <v>#N/A</v>
          </cell>
          <cell r="Z458" t="e">
            <v>#N/A</v>
          </cell>
          <cell r="AA458" t="e">
            <v>#N/A</v>
          </cell>
          <cell r="AD458">
            <v>0</v>
          </cell>
        </row>
        <row r="459">
          <cell r="A459">
            <v>46650</v>
          </cell>
          <cell r="B459" t="e">
            <v>#N/A</v>
          </cell>
          <cell r="C459"/>
          <cell r="D459" t="e">
            <v>#N/A</v>
          </cell>
          <cell r="F459">
            <v>0</v>
          </cell>
          <cell r="G459" t="e">
            <v>#N/A</v>
          </cell>
          <cell r="H459">
            <v>0</v>
          </cell>
          <cell r="I459" t="e">
            <v>#N/A</v>
          </cell>
          <cell r="J459">
            <v>18</v>
          </cell>
          <cell r="K459" t="str">
            <v>XFILL_PMG100%</v>
          </cell>
          <cell r="L459">
            <v>10</v>
          </cell>
          <cell r="M459" t="str">
            <v>TA+CCL100%</v>
          </cell>
          <cell r="N459" t="e">
            <v>#N/A</v>
          </cell>
          <cell r="O459" t="e">
            <v>#N/A</v>
          </cell>
          <cell r="P459">
            <v>159</v>
          </cell>
          <cell r="Q459">
            <v>0</v>
          </cell>
          <cell r="S459">
            <v>0</v>
          </cell>
          <cell r="T459">
            <v>314.041</v>
          </cell>
          <cell r="V459">
            <v>0</v>
          </cell>
          <cell r="W459" t="e">
            <v>#N/A</v>
          </cell>
          <cell r="X459" t="e">
            <v>#N/A</v>
          </cell>
          <cell r="Y459" t="e">
            <v>#N/A</v>
          </cell>
          <cell r="Z459" t="e">
            <v>#N/A</v>
          </cell>
          <cell r="AA459" t="e">
            <v>#N/A</v>
          </cell>
          <cell r="AD459">
            <v>0</v>
          </cell>
        </row>
        <row r="460">
          <cell r="A460">
            <v>46651</v>
          </cell>
          <cell r="B460" t="e">
            <v>#N/A</v>
          </cell>
          <cell r="C460"/>
          <cell r="D460" t="e">
            <v>#N/A</v>
          </cell>
          <cell r="F460">
            <v>0</v>
          </cell>
          <cell r="G460" t="e">
            <v>#N/A</v>
          </cell>
          <cell r="H460">
            <v>0</v>
          </cell>
          <cell r="I460" t="e">
            <v>#N/A</v>
          </cell>
          <cell r="J460">
            <v>18</v>
          </cell>
          <cell r="K460" t="str">
            <v>XFILL_PMG100%</v>
          </cell>
          <cell r="L460">
            <v>10</v>
          </cell>
          <cell r="M460" t="str">
            <v>TA+CCL100%</v>
          </cell>
          <cell r="N460" t="e">
            <v>#N/A</v>
          </cell>
          <cell r="O460" t="e">
            <v>#N/A</v>
          </cell>
          <cell r="P460">
            <v>159</v>
          </cell>
          <cell r="Q460">
            <v>0</v>
          </cell>
          <cell r="S460">
            <v>0</v>
          </cell>
          <cell r="T460">
            <v>314.041</v>
          </cell>
          <cell r="V460">
            <v>0</v>
          </cell>
          <cell r="W460" t="e">
            <v>#N/A</v>
          </cell>
          <cell r="X460" t="e">
            <v>#N/A</v>
          </cell>
          <cell r="Y460" t="e">
            <v>#N/A</v>
          </cell>
          <cell r="Z460" t="e">
            <v>#N/A</v>
          </cell>
          <cell r="AA460" t="e">
            <v>#N/A</v>
          </cell>
          <cell r="AD460">
            <v>0</v>
          </cell>
        </row>
        <row r="461">
          <cell r="A461">
            <v>46652</v>
          </cell>
          <cell r="B461" t="e">
            <v>#N/A</v>
          </cell>
          <cell r="C461"/>
          <cell r="D461" t="e">
            <v>#N/A</v>
          </cell>
          <cell r="F461">
            <v>0</v>
          </cell>
          <cell r="G461" t="e">
            <v>#N/A</v>
          </cell>
          <cell r="H461">
            <v>0</v>
          </cell>
          <cell r="I461" t="e">
            <v>#N/A</v>
          </cell>
          <cell r="J461">
            <v>18</v>
          </cell>
          <cell r="K461" t="str">
            <v>XFILL_PMG100%</v>
          </cell>
          <cell r="L461">
            <v>10</v>
          </cell>
          <cell r="M461" t="str">
            <v>TA+CCL100%</v>
          </cell>
          <cell r="N461" t="e">
            <v>#N/A</v>
          </cell>
          <cell r="O461" t="e">
            <v>#N/A</v>
          </cell>
          <cell r="P461">
            <v>159</v>
          </cell>
          <cell r="Q461">
            <v>0</v>
          </cell>
          <cell r="S461">
            <v>0</v>
          </cell>
          <cell r="T461">
            <v>314.041</v>
          </cell>
          <cell r="V461">
            <v>0</v>
          </cell>
          <cell r="W461" t="e">
            <v>#N/A</v>
          </cell>
          <cell r="X461" t="e">
            <v>#N/A</v>
          </cell>
          <cell r="Y461" t="e">
            <v>#N/A</v>
          </cell>
          <cell r="Z461" t="e">
            <v>#N/A</v>
          </cell>
          <cell r="AA461" t="e">
            <v>#N/A</v>
          </cell>
          <cell r="AD461">
            <v>0</v>
          </cell>
        </row>
        <row r="462">
          <cell r="A462">
            <v>46653</v>
          </cell>
          <cell r="B462" t="e">
            <v>#N/A</v>
          </cell>
          <cell r="C462"/>
          <cell r="D462" t="e">
            <v>#N/A</v>
          </cell>
          <cell r="F462">
            <v>0</v>
          </cell>
          <cell r="G462" t="e">
            <v>#N/A</v>
          </cell>
          <cell r="H462">
            <v>0</v>
          </cell>
          <cell r="I462" t="e">
            <v>#N/A</v>
          </cell>
          <cell r="J462">
            <v>18</v>
          </cell>
          <cell r="K462" t="str">
            <v>XFILL_PMG100%</v>
          </cell>
          <cell r="L462">
            <v>10</v>
          </cell>
          <cell r="M462" t="str">
            <v>TA+CCL100%</v>
          </cell>
          <cell r="N462" t="e">
            <v>#N/A</v>
          </cell>
          <cell r="O462" t="e">
            <v>#N/A</v>
          </cell>
          <cell r="P462">
            <v>159</v>
          </cell>
          <cell r="Q462">
            <v>0</v>
          </cell>
          <cell r="S462">
            <v>0</v>
          </cell>
          <cell r="T462">
            <v>314.041</v>
          </cell>
          <cell r="V462">
            <v>0</v>
          </cell>
          <cell r="W462" t="e">
            <v>#N/A</v>
          </cell>
          <cell r="X462" t="e">
            <v>#N/A</v>
          </cell>
          <cell r="Y462" t="e">
            <v>#N/A</v>
          </cell>
          <cell r="Z462" t="e">
            <v>#N/A</v>
          </cell>
          <cell r="AA462" t="e">
            <v>#N/A</v>
          </cell>
          <cell r="AD462">
            <v>0</v>
          </cell>
        </row>
        <row r="463">
          <cell r="A463">
            <v>46654</v>
          </cell>
          <cell r="B463" t="e">
            <v>#N/A</v>
          </cell>
          <cell r="C463"/>
          <cell r="D463" t="e">
            <v>#N/A</v>
          </cell>
          <cell r="F463">
            <v>0</v>
          </cell>
          <cell r="G463" t="e">
            <v>#N/A</v>
          </cell>
          <cell r="H463">
            <v>0</v>
          </cell>
          <cell r="I463" t="e">
            <v>#N/A</v>
          </cell>
          <cell r="J463">
            <v>18</v>
          </cell>
          <cell r="K463" t="str">
            <v>XFILL_PMG100%</v>
          </cell>
          <cell r="L463">
            <v>10</v>
          </cell>
          <cell r="M463" t="str">
            <v>TA+CCL100%</v>
          </cell>
          <cell r="N463" t="e">
            <v>#N/A</v>
          </cell>
          <cell r="O463" t="e">
            <v>#N/A</v>
          </cell>
          <cell r="P463">
            <v>159</v>
          </cell>
          <cell r="Q463">
            <v>0</v>
          </cell>
          <cell r="S463">
            <v>0</v>
          </cell>
          <cell r="T463">
            <v>314.041</v>
          </cell>
          <cell r="V463">
            <v>0</v>
          </cell>
          <cell r="W463" t="e">
            <v>#N/A</v>
          </cell>
          <cell r="X463" t="e">
            <v>#N/A</v>
          </cell>
          <cell r="Y463" t="e">
            <v>#N/A</v>
          </cell>
          <cell r="Z463" t="e">
            <v>#N/A</v>
          </cell>
          <cell r="AA463" t="e">
            <v>#N/A</v>
          </cell>
          <cell r="AD463">
            <v>0</v>
          </cell>
        </row>
        <row r="464">
          <cell r="A464">
            <v>46655</v>
          </cell>
          <cell r="B464" t="e">
            <v>#N/A</v>
          </cell>
          <cell r="C464"/>
          <cell r="D464" t="e">
            <v>#N/A</v>
          </cell>
          <cell r="F464">
            <v>0</v>
          </cell>
          <cell r="G464" t="e">
            <v>#N/A</v>
          </cell>
          <cell r="H464">
            <v>0</v>
          </cell>
          <cell r="I464" t="e">
            <v>#N/A</v>
          </cell>
          <cell r="J464">
            <v>18</v>
          </cell>
          <cell r="K464" t="str">
            <v>XFILL_PMG100%</v>
          </cell>
          <cell r="L464">
            <v>10</v>
          </cell>
          <cell r="M464" t="str">
            <v>TA+CCL100%</v>
          </cell>
          <cell r="N464" t="e">
            <v>#N/A</v>
          </cell>
          <cell r="O464" t="e">
            <v>#N/A</v>
          </cell>
          <cell r="P464">
            <v>159</v>
          </cell>
          <cell r="Q464">
            <v>0</v>
          </cell>
          <cell r="S464">
            <v>0</v>
          </cell>
          <cell r="T464">
            <v>314.041</v>
          </cell>
          <cell r="V464">
            <v>0</v>
          </cell>
          <cell r="W464" t="e">
            <v>#N/A</v>
          </cell>
          <cell r="X464" t="e">
            <v>#N/A</v>
          </cell>
          <cell r="Y464" t="e">
            <v>#N/A</v>
          </cell>
          <cell r="Z464" t="e">
            <v>#N/A</v>
          </cell>
          <cell r="AA464" t="e">
            <v>#N/A</v>
          </cell>
          <cell r="AD464">
            <v>0</v>
          </cell>
        </row>
        <row r="465">
          <cell r="A465">
            <v>46656</v>
          </cell>
          <cell r="B465" t="e">
            <v>#N/A</v>
          </cell>
          <cell r="C465"/>
          <cell r="D465" t="e">
            <v>#N/A</v>
          </cell>
          <cell r="F465">
            <v>0</v>
          </cell>
          <cell r="G465" t="e">
            <v>#N/A</v>
          </cell>
          <cell r="H465">
            <v>0</v>
          </cell>
          <cell r="I465" t="e">
            <v>#N/A</v>
          </cell>
          <cell r="J465">
            <v>18</v>
          </cell>
          <cell r="K465" t="str">
            <v>XFILL_PMG100%</v>
          </cell>
          <cell r="L465">
            <v>10</v>
          </cell>
          <cell r="M465" t="str">
            <v>TA+CCL100%</v>
          </cell>
          <cell r="N465" t="e">
            <v>#N/A</v>
          </cell>
          <cell r="O465" t="e">
            <v>#N/A</v>
          </cell>
          <cell r="P465">
            <v>159</v>
          </cell>
          <cell r="Q465">
            <v>0</v>
          </cell>
          <cell r="S465">
            <v>0</v>
          </cell>
          <cell r="T465">
            <v>314.041</v>
          </cell>
          <cell r="V465">
            <v>0</v>
          </cell>
          <cell r="W465" t="e">
            <v>#N/A</v>
          </cell>
          <cell r="X465" t="e">
            <v>#N/A</v>
          </cell>
          <cell r="Y465" t="e">
            <v>#N/A</v>
          </cell>
          <cell r="Z465" t="e">
            <v>#N/A</v>
          </cell>
          <cell r="AA465" t="e">
            <v>#N/A</v>
          </cell>
          <cell r="AD465">
            <v>0</v>
          </cell>
        </row>
        <row r="466">
          <cell r="A466">
            <v>46657</v>
          </cell>
          <cell r="B466" t="e">
            <v>#N/A</v>
          </cell>
          <cell r="C466"/>
          <cell r="D466" t="e">
            <v>#N/A</v>
          </cell>
          <cell r="F466">
            <v>0</v>
          </cell>
          <cell r="G466" t="e">
            <v>#N/A</v>
          </cell>
          <cell r="H466">
            <v>0</v>
          </cell>
          <cell r="I466" t="e">
            <v>#N/A</v>
          </cell>
          <cell r="J466">
            <v>18</v>
          </cell>
          <cell r="K466" t="str">
            <v>XFILL_PMG100%</v>
          </cell>
          <cell r="L466">
            <v>10</v>
          </cell>
          <cell r="M466" t="str">
            <v>TA+CCL100%</v>
          </cell>
          <cell r="N466" t="e">
            <v>#N/A</v>
          </cell>
          <cell r="O466" t="e">
            <v>#N/A</v>
          </cell>
          <cell r="P466">
            <v>159</v>
          </cell>
          <cell r="Q466">
            <v>0</v>
          </cell>
          <cell r="S466">
            <v>0</v>
          </cell>
          <cell r="T466">
            <v>314.041</v>
          </cell>
          <cell r="V466">
            <v>0</v>
          </cell>
          <cell r="W466" t="e">
            <v>#N/A</v>
          </cell>
          <cell r="X466" t="e">
            <v>#N/A</v>
          </cell>
          <cell r="Y466" t="e">
            <v>#N/A</v>
          </cell>
          <cell r="Z466" t="e">
            <v>#N/A</v>
          </cell>
          <cell r="AA466" t="e">
            <v>#N/A</v>
          </cell>
          <cell r="AD466">
            <v>0</v>
          </cell>
        </row>
        <row r="467">
          <cell r="A467">
            <v>46658</v>
          </cell>
          <cell r="B467" t="e">
            <v>#N/A</v>
          </cell>
          <cell r="C467"/>
          <cell r="D467" t="e">
            <v>#N/A</v>
          </cell>
          <cell r="F467">
            <v>0</v>
          </cell>
          <cell r="G467" t="e">
            <v>#N/A</v>
          </cell>
          <cell r="H467">
            <v>0</v>
          </cell>
          <cell r="I467" t="e">
            <v>#N/A</v>
          </cell>
          <cell r="J467">
            <v>18</v>
          </cell>
          <cell r="K467" t="str">
            <v>XFILL_PMG100%</v>
          </cell>
          <cell r="L467">
            <v>10</v>
          </cell>
          <cell r="M467" t="str">
            <v>TA+CCL100%</v>
          </cell>
          <cell r="N467" t="e">
            <v>#N/A</v>
          </cell>
          <cell r="O467" t="e">
            <v>#N/A</v>
          </cell>
          <cell r="P467">
            <v>159</v>
          </cell>
          <cell r="Q467">
            <v>0</v>
          </cell>
          <cell r="S467">
            <v>0</v>
          </cell>
          <cell r="T467">
            <v>314.041</v>
          </cell>
          <cell r="V467">
            <v>0</v>
          </cell>
          <cell r="W467" t="e">
            <v>#N/A</v>
          </cell>
          <cell r="X467" t="e">
            <v>#N/A</v>
          </cell>
          <cell r="Y467" t="e">
            <v>#N/A</v>
          </cell>
          <cell r="Z467" t="e">
            <v>#N/A</v>
          </cell>
          <cell r="AA467" t="e">
            <v>#N/A</v>
          </cell>
          <cell r="AD467">
            <v>0</v>
          </cell>
        </row>
        <row r="468">
          <cell r="A468">
            <v>46659</v>
          </cell>
          <cell r="B468" t="e">
            <v>#N/A</v>
          </cell>
          <cell r="C468"/>
          <cell r="D468" t="e">
            <v>#N/A</v>
          </cell>
          <cell r="F468">
            <v>0</v>
          </cell>
          <cell r="G468" t="e">
            <v>#N/A</v>
          </cell>
          <cell r="H468">
            <v>0</v>
          </cell>
          <cell r="I468" t="e">
            <v>#N/A</v>
          </cell>
          <cell r="J468">
            <v>18</v>
          </cell>
          <cell r="K468" t="str">
            <v>XFILL_PMG100%</v>
          </cell>
          <cell r="L468">
            <v>10</v>
          </cell>
          <cell r="M468" t="str">
            <v>TA+CCL100%</v>
          </cell>
          <cell r="N468" t="e">
            <v>#N/A</v>
          </cell>
          <cell r="O468" t="e">
            <v>#N/A</v>
          </cell>
          <cell r="P468">
            <v>159</v>
          </cell>
          <cell r="Q468">
            <v>0</v>
          </cell>
          <cell r="S468">
            <v>0</v>
          </cell>
          <cell r="T468">
            <v>314.041</v>
          </cell>
          <cell r="V468">
            <v>0</v>
          </cell>
          <cell r="W468" t="e">
            <v>#N/A</v>
          </cell>
          <cell r="X468" t="e">
            <v>#N/A</v>
          </cell>
          <cell r="Y468" t="e">
            <v>#N/A</v>
          </cell>
          <cell r="Z468" t="e">
            <v>#N/A</v>
          </cell>
          <cell r="AA468" t="e">
            <v>#N/A</v>
          </cell>
          <cell r="AD468">
            <v>0</v>
          </cell>
        </row>
        <row r="469">
          <cell r="A469">
            <v>46660</v>
          </cell>
          <cell r="B469" t="e">
            <v>#N/A</v>
          </cell>
          <cell r="C469"/>
          <cell r="D469" t="e">
            <v>#N/A</v>
          </cell>
          <cell r="F469">
            <v>0</v>
          </cell>
          <cell r="G469" t="e">
            <v>#N/A</v>
          </cell>
          <cell r="H469">
            <v>0</v>
          </cell>
          <cell r="I469" t="e">
            <v>#N/A</v>
          </cell>
          <cell r="J469">
            <v>18</v>
          </cell>
          <cell r="K469" t="str">
            <v>XFILL_PMG100%</v>
          </cell>
          <cell r="L469">
            <v>10</v>
          </cell>
          <cell r="M469" t="str">
            <v>TA+CCL100%</v>
          </cell>
          <cell r="N469" t="e">
            <v>#N/A</v>
          </cell>
          <cell r="O469" t="e">
            <v>#N/A</v>
          </cell>
          <cell r="P469">
            <v>159</v>
          </cell>
          <cell r="Q469">
            <v>0</v>
          </cell>
          <cell r="S469">
            <v>0</v>
          </cell>
          <cell r="T469">
            <v>314.041</v>
          </cell>
          <cell r="V469">
            <v>0</v>
          </cell>
          <cell r="W469" t="e">
            <v>#N/A</v>
          </cell>
          <cell r="X469" t="e">
            <v>#N/A</v>
          </cell>
          <cell r="Y469" t="e">
            <v>#N/A</v>
          </cell>
          <cell r="Z469" t="e">
            <v>#N/A</v>
          </cell>
          <cell r="AA469" t="e">
            <v>#N/A</v>
          </cell>
          <cell r="AD469">
            <v>0</v>
          </cell>
        </row>
        <row r="470">
          <cell r="A470">
            <v>46661</v>
          </cell>
          <cell r="B470" t="e">
            <v>#N/A</v>
          </cell>
          <cell r="C470"/>
          <cell r="D470" t="e">
            <v>#N/A</v>
          </cell>
          <cell r="F470">
            <v>0</v>
          </cell>
          <cell r="G470" t="e">
            <v>#N/A</v>
          </cell>
          <cell r="H470">
            <v>0</v>
          </cell>
          <cell r="I470" t="e">
            <v>#N/A</v>
          </cell>
          <cell r="J470">
            <v>18</v>
          </cell>
          <cell r="K470" t="str">
            <v>XFILL_PMG100%</v>
          </cell>
          <cell r="L470">
            <v>10</v>
          </cell>
          <cell r="M470" t="str">
            <v>TA+CCL100%</v>
          </cell>
          <cell r="N470" t="e">
            <v>#N/A</v>
          </cell>
          <cell r="O470" t="e">
            <v>#N/A</v>
          </cell>
          <cell r="P470">
            <v>159</v>
          </cell>
          <cell r="Q470">
            <v>0</v>
          </cell>
          <cell r="S470">
            <v>0</v>
          </cell>
          <cell r="T470">
            <v>314.041</v>
          </cell>
          <cell r="V470">
            <v>0</v>
          </cell>
          <cell r="W470" t="e">
            <v>#N/A</v>
          </cell>
          <cell r="X470" t="e">
            <v>#N/A</v>
          </cell>
          <cell r="Y470" t="e">
            <v>#N/A</v>
          </cell>
          <cell r="Z470" t="e">
            <v>#N/A</v>
          </cell>
          <cell r="AA470" t="e">
            <v>#N/A</v>
          </cell>
          <cell r="AD470">
            <v>0</v>
          </cell>
        </row>
        <row r="471">
          <cell r="A471">
            <v>46662</v>
          </cell>
          <cell r="B471" t="e">
            <v>#N/A</v>
          </cell>
          <cell r="C471"/>
          <cell r="D471" t="e">
            <v>#N/A</v>
          </cell>
          <cell r="F471">
            <v>0</v>
          </cell>
          <cell r="G471" t="e">
            <v>#N/A</v>
          </cell>
          <cell r="H471">
            <v>0</v>
          </cell>
          <cell r="I471" t="e">
            <v>#N/A</v>
          </cell>
          <cell r="J471">
            <v>18</v>
          </cell>
          <cell r="K471" t="str">
            <v>XFILL_PMG100%</v>
          </cell>
          <cell r="L471">
            <v>10</v>
          </cell>
          <cell r="M471" t="str">
            <v>TA+CCL100%</v>
          </cell>
          <cell r="N471" t="e">
            <v>#N/A</v>
          </cell>
          <cell r="O471" t="e">
            <v>#N/A</v>
          </cell>
          <cell r="P471">
            <v>159</v>
          </cell>
          <cell r="Q471">
            <v>0</v>
          </cell>
          <cell r="S471">
            <v>0</v>
          </cell>
          <cell r="T471">
            <v>314.041</v>
          </cell>
          <cell r="V471">
            <v>0</v>
          </cell>
          <cell r="W471" t="e">
            <v>#N/A</v>
          </cell>
          <cell r="X471" t="e">
            <v>#N/A</v>
          </cell>
          <cell r="Y471" t="e">
            <v>#N/A</v>
          </cell>
          <cell r="Z471" t="e">
            <v>#N/A</v>
          </cell>
          <cell r="AA471" t="e">
            <v>#N/A</v>
          </cell>
          <cell r="AD471">
            <v>0</v>
          </cell>
        </row>
        <row r="472">
          <cell r="A472">
            <v>46663</v>
          </cell>
          <cell r="B472" t="e">
            <v>#N/A</v>
          </cell>
          <cell r="C472"/>
          <cell r="D472" t="e">
            <v>#N/A</v>
          </cell>
          <cell r="F472">
            <v>0</v>
          </cell>
          <cell r="G472" t="e">
            <v>#N/A</v>
          </cell>
          <cell r="H472">
            <v>0</v>
          </cell>
          <cell r="I472" t="e">
            <v>#N/A</v>
          </cell>
          <cell r="J472">
            <v>18</v>
          </cell>
          <cell r="K472" t="str">
            <v>XFILL_PMG100%</v>
          </cell>
          <cell r="L472">
            <v>10</v>
          </cell>
          <cell r="M472" t="str">
            <v>TA+CCL100%</v>
          </cell>
          <cell r="N472" t="e">
            <v>#N/A</v>
          </cell>
          <cell r="O472" t="e">
            <v>#N/A</v>
          </cell>
          <cell r="P472">
            <v>159</v>
          </cell>
          <cell r="Q472">
            <v>0</v>
          </cell>
          <cell r="S472">
            <v>0</v>
          </cell>
          <cell r="T472">
            <v>314.041</v>
          </cell>
          <cell r="V472">
            <v>0</v>
          </cell>
          <cell r="W472" t="e">
            <v>#N/A</v>
          </cell>
          <cell r="X472" t="e">
            <v>#N/A</v>
          </cell>
          <cell r="Y472" t="e">
            <v>#N/A</v>
          </cell>
          <cell r="Z472" t="e">
            <v>#N/A</v>
          </cell>
          <cell r="AA472" t="e">
            <v>#N/A</v>
          </cell>
          <cell r="AD472">
            <v>0</v>
          </cell>
        </row>
        <row r="473">
          <cell r="A473">
            <v>46664</v>
          </cell>
          <cell r="B473" t="e">
            <v>#N/A</v>
          </cell>
          <cell r="C473"/>
          <cell r="D473" t="e">
            <v>#N/A</v>
          </cell>
          <cell r="F473">
            <v>0</v>
          </cell>
          <cell r="G473" t="e">
            <v>#N/A</v>
          </cell>
          <cell r="H473">
            <v>0</v>
          </cell>
          <cell r="I473" t="e">
            <v>#N/A</v>
          </cell>
          <cell r="J473">
            <v>18</v>
          </cell>
          <cell r="K473" t="str">
            <v>XFILL_PMG100%</v>
          </cell>
          <cell r="L473">
            <v>10</v>
          </cell>
          <cell r="M473" t="str">
            <v>TA+CCL100%</v>
          </cell>
          <cell r="N473" t="e">
            <v>#N/A</v>
          </cell>
          <cell r="O473" t="e">
            <v>#N/A</v>
          </cell>
          <cell r="P473">
            <v>159</v>
          </cell>
          <cell r="Q473">
            <v>0</v>
          </cell>
          <cell r="S473">
            <v>0</v>
          </cell>
          <cell r="T473">
            <v>314.041</v>
          </cell>
          <cell r="V473">
            <v>0</v>
          </cell>
          <cell r="W473" t="e">
            <v>#N/A</v>
          </cell>
          <cell r="X473" t="e">
            <v>#N/A</v>
          </cell>
          <cell r="Y473" t="e">
            <v>#N/A</v>
          </cell>
          <cell r="Z473" t="e">
            <v>#N/A</v>
          </cell>
          <cell r="AA473" t="e">
            <v>#N/A</v>
          </cell>
          <cell r="AD473">
            <v>0</v>
          </cell>
        </row>
        <row r="474">
          <cell r="A474">
            <v>46665</v>
          </cell>
          <cell r="B474" t="e">
            <v>#N/A</v>
          </cell>
          <cell r="C474"/>
          <cell r="D474" t="e">
            <v>#N/A</v>
          </cell>
          <cell r="F474">
            <v>0</v>
          </cell>
          <cell r="G474" t="e">
            <v>#N/A</v>
          </cell>
          <cell r="H474">
            <v>0</v>
          </cell>
          <cell r="I474" t="e">
            <v>#N/A</v>
          </cell>
          <cell r="J474">
            <v>18</v>
          </cell>
          <cell r="K474" t="str">
            <v>XFILL_PMG100%</v>
          </cell>
          <cell r="L474">
            <v>10</v>
          </cell>
          <cell r="M474" t="str">
            <v>TA+CCL100%</v>
          </cell>
          <cell r="N474" t="e">
            <v>#N/A</v>
          </cell>
          <cell r="O474" t="e">
            <v>#N/A</v>
          </cell>
          <cell r="P474">
            <v>159</v>
          </cell>
          <cell r="Q474">
            <v>0</v>
          </cell>
          <cell r="S474">
            <v>0</v>
          </cell>
          <cell r="T474">
            <v>314.041</v>
          </cell>
          <cell r="V474">
            <v>0</v>
          </cell>
          <cell r="W474" t="e">
            <v>#N/A</v>
          </cell>
          <cell r="X474" t="e">
            <v>#N/A</v>
          </cell>
          <cell r="Y474" t="e">
            <v>#N/A</v>
          </cell>
          <cell r="Z474" t="e">
            <v>#N/A</v>
          </cell>
          <cell r="AA474" t="e">
            <v>#N/A</v>
          </cell>
          <cell r="AD474">
            <v>0</v>
          </cell>
        </row>
        <row r="475">
          <cell r="A475">
            <v>46666</v>
          </cell>
          <cell r="B475" t="e">
            <v>#N/A</v>
          </cell>
          <cell r="C475"/>
          <cell r="D475" t="e">
            <v>#N/A</v>
          </cell>
          <cell r="F475">
            <v>0</v>
          </cell>
          <cell r="G475" t="e">
            <v>#N/A</v>
          </cell>
          <cell r="H475">
            <v>0</v>
          </cell>
          <cell r="I475" t="e">
            <v>#N/A</v>
          </cell>
          <cell r="J475">
            <v>18</v>
          </cell>
          <cell r="K475" t="str">
            <v>XFILL_PMG100%</v>
          </cell>
          <cell r="L475">
            <v>10</v>
          </cell>
          <cell r="M475" t="str">
            <v>TA+CCL100%</v>
          </cell>
          <cell r="N475" t="e">
            <v>#N/A</v>
          </cell>
          <cell r="O475" t="e">
            <v>#N/A</v>
          </cell>
          <cell r="P475">
            <v>159</v>
          </cell>
          <cell r="Q475">
            <v>0</v>
          </cell>
          <cell r="S475">
            <v>0</v>
          </cell>
          <cell r="T475">
            <v>314.041</v>
          </cell>
          <cell r="V475">
            <v>0</v>
          </cell>
          <cell r="W475" t="e">
            <v>#N/A</v>
          </cell>
          <cell r="X475" t="e">
            <v>#N/A</v>
          </cell>
          <cell r="Y475" t="e">
            <v>#N/A</v>
          </cell>
          <cell r="Z475" t="e">
            <v>#N/A</v>
          </cell>
          <cell r="AA475" t="e">
            <v>#N/A</v>
          </cell>
          <cell r="AD475">
            <v>0</v>
          </cell>
        </row>
        <row r="476">
          <cell r="A476">
            <v>46667</v>
          </cell>
          <cell r="B476" t="e">
            <v>#N/A</v>
          </cell>
          <cell r="C476"/>
          <cell r="D476" t="e">
            <v>#N/A</v>
          </cell>
          <cell r="F476">
            <v>0</v>
          </cell>
          <cell r="G476" t="e">
            <v>#N/A</v>
          </cell>
          <cell r="H476">
            <v>0</v>
          </cell>
          <cell r="I476" t="e">
            <v>#N/A</v>
          </cell>
          <cell r="J476">
            <v>18</v>
          </cell>
          <cell r="K476" t="str">
            <v>XFILL_PMG100%</v>
          </cell>
          <cell r="L476">
            <v>10</v>
          </cell>
          <cell r="M476" t="str">
            <v>TA+CCL100%</v>
          </cell>
          <cell r="N476" t="e">
            <v>#N/A</v>
          </cell>
          <cell r="O476" t="e">
            <v>#N/A</v>
          </cell>
          <cell r="P476">
            <v>159</v>
          </cell>
          <cell r="Q476">
            <v>0</v>
          </cell>
          <cell r="S476">
            <v>0</v>
          </cell>
          <cell r="T476">
            <v>314.041</v>
          </cell>
          <cell r="V476">
            <v>0</v>
          </cell>
          <cell r="W476" t="e">
            <v>#N/A</v>
          </cell>
          <cell r="X476" t="e">
            <v>#N/A</v>
          </cell>
          <cell r="Y476" t="e">
            <v>#N/A</v>
          </cell>
          <cell r="Z476" t="e">
            <v>#N/A</v>
          </cell>
          <cell r="AA476" t="e">
            <v>#N/A</v>
          </cell>
          <cell r="AD476">
            <v>0</v>
          </cell>
        </row>
        <row r="477">
          <cell r="A477">
            <v>46668</v>
          </cell>
          <cell r="B477" t="e">
            <v>#N/A</v>
          </cell>
          <cell r="C477"/>
          <cell r="D477" t="e">
            <v>#N/A</v>
          </cell>
          <cell r="F477">
            <v>0</v>
          </cell>
          <cell r="G477" t="e">
            <v>#N/A</v>
          </cell>
          <cell r="H477">
            <v>0</v>
          </cell>
          <cell r="I477" t="e">
            <v>#N/A</v>
          </cell>
          <cell r="J477">
            <v>18</v>
          </cell>
          <cell r="K477" t="str">
            <v>XFILL_PMG100%</v>
          </cell>
          <cell r="L477">
            <v>10</v>
          </cell>
          <cell r="M477" t="str">
            <v>TA+CCL100%</v>
          </cell>
          <cell r="N477" t="e">
            <v>#N/A</v>
          </cell>
          <cell r="O477" t="e">
            <v>#N/A</v>
          </cell>
          <cell r="P477">
            <v>159</v>
          </cell>
          <cell r="Q477">
            <v>0</v>
          </cell>
          <cell r="S477">
            <v>0</v>
          </cell>
          <cell r="T477">
            <v>314.041</v>
          </cell>
          <cell r="V477">
            <v>0</v>
          </cell>
          <cell r="W477" t="e">
            <v>#N/A</v>
          </cell>
          <cell r="X477" t="e">
            <v>#N/A</v>
          </cell>
          <cell r="Y477" t="e">
            <v>#N/A</v>
          </cell>
          <cell r="Z477" t="e">
            <v>#N/A</v>
          </cell>
          <cell r="AA477" t="e">
            <v>#N/A</v>
          </cell>
          <cell r="AD477">
            <v>0</v>
          </cell>
        </row>
        <row r="478">
          <cell r="A478">
            <v>46669</v>
          </cell>
          <cell r="B478" t="e">
            <v>#N/A</v>
          </cell>
          <cell r="C478"/>
          <cell r="D478" t="e">
            <v>#N/A</v>
          </cell>
          <cell r="F478">
            <v>0</v>
          </cell>
          <cell r="G478" t="e">
            <v>#N/A</v>
          </cell>
          <cell r="H478">
            <v>0</v>
          </cell>
          <cell r="I478" t="e">
            <v>#N/A</v>
          </cell>
          <cell r="J478">
            <v>18</v>
          </cell>
          <cell r="K478" t="str">
            <v>XFILL_PMG100%</v>
          </cell>
          <cell r="L478">
            <v>10</v>
          </cell>
          <cell r="M478" t="str">
            <v>TA+CCL100%</v>
          </cell>
          <cell r="N478" t="e">
            <v>#N/A</v>
          </cell>
          <cell r="O478" t="e">
            <v>#N/A</v>
          </cell>
          <cell r="P478">
            <v>159</v>
          </cell>
          <cell r="Q478">
            <v>0</v>
          </cell>
          <cell r="S478">
            <v>0</v>
          </cell>
          <cell r="T478">
            <v>314.041</v>
          </cell>
          <cell r="V478">
            <v>0</v>
          </cell>
          <cell r="W478" t="e">
            <v>#N/A</v>
          </cell>
          <cell r="X478" t="e">
            <v>#N/A</v>
          </cell>
          <cell r="Y478" t="e">
            <v>#N/A</v>
          </cell>
          <cell r="Z478" t="e">
            <v>#N/A</v>
          </cell>
          <cell r="AA478" t="e">
            <v>#N/A</v>
          </cell>
          <cell r="AD478">
            <v>0</v>
          </cell>
        </row>
        <row r="479">
          <cell r="A479">
            <v>46670</v>
          </cell>
          <cell r="B479" t="e">
            <v>#N/A</v>
          </cell>
          <cell r="C479"/>
          <cell r="D479" t="e">
            <v>#N/A</v>
          </cell>
          <cell r="F479">
            <v>0</v>
          </cell>
          <cell r="G479" t="e">
            <v>#N/A</v>
          </cell>
          <cell r="H479">
            <v>0</v>
          </cell>
          <cell r="I479" t="e">
            <v>#N/A</v>
          </cell>
          <cell r="J479">
            <v>18</v>
          </cell>
          <cell r="K479" t="str">
            <v>XFILL_PMG100%</v>
          </cell>
          <cell r="L479">
            <v>10</v>
          </cell>
          <cell r="M479" t="str">
            <v>TA+CCL100%</v>
          </cell>
          <cell r="N479" t="e">
            <v>#N/A</v>
          </cell>
          <cell r="O479" t="e">
            <v>#N/A</v>
          </cell>
          <cell r="P479">
            <v>159</v>
          </cell>
          <cell r="Q479">
            <v>0</v>
          </cell>
          <cell r="S479">
            <v>0</v>
          </cell>
          <cell r="T479">
            <v>314.041</v>
          </cell>
          <cell r="V479">
            <v>0</v>
          </cell>
          <cell r="W479" t="e">
            <v>#N/A</v>
          </cell>
          <cell r="X479" t="e">
            <v>#N/A</v>
          </cell>
          <cell r="Y479" t="e">
            <v>#N/A</v>
          </cell>
          <cell r="Z479" t="e">
            <v>#N/A</v>
          </cell>
          <cell r="AA479" t="e">
            <v>#N/A</v>
          </cell>
          <cell r="AD479">
            <v>0</v>
          </cell>
        </row>
        <row r="480">
          <cell r="A480">
            <v>46671</v>
          </cell>
          <cell r="B480" t="e">
            <v>#N/A</v>
          </cell>
          <cell r="C480"/>
          <cell r="D480" t="e">
            <v>#N/A</v>
          </cell>
          <cell r="F480">
            <v>0</v>
          </cell>
          <cell r="G480" t="e">
            <v>#N/A</v>
          </cell>
          <cell r="H480">
            <v>0</v>
          </cell>
          <cell r="I480" t="e">
            <v>#N/A</v>
          </cell>
          <cell r="J480">
            <v>18</v>
          </cell>
          <cell r="K480" t="str">
            <v>XFILL_PMG100%</v>
          </cell>
          <cell r="L480">
            <v>10</v>
          </cell>
          <cell r="M480" t="str">
            <v>TA+CCL100%</v>
          </cell>
          <cell r="N480" t="e">
            <v>#N/A</v>
          </cell>
          <cell r="O480" t="e">
            <v>#N/A</v>
          </cell>
          <cell r="P480">
            <v>159</v>
          </cell>
          <cell r="Q480">
            <v>0</v>
          </cell>
          <cell r="S480">
            <v>0</v>
          </cell>
          <cell r="T480">
            <v>314.041</v>
          </cell>
          <cell r="V480">
            <v>0</v>
          </cell>
          <cell r="W480" t="e">
            <v>#N/A</v>
          </cell>
          <cell r="X480" t="e">
            <v>#N/A</v>
          </cell>
          <cell r="Y480" t="e">
            <v>#N/A</v>
          </cell>
          <cell r="Z480" t="e">
            <v>#N/A</v>
          </cell>
          <cell r="AA480" t="e">
            <v>#N/A</v>
          </cell>
          <cell r="AD480">
            <v>0</v>
          </cell>
        </row>
        <row r="481">
          <cell r="A481">
            <v>46672</v>
          </cell>
          <cell r="B481" t="e">
            <v>#N/A</v>
          </cell>
          <cell r="C481"/>
          <cell r="D481" t="e">
            <v>#N/A</v>
          </cell>
          <cell r="F481">
            <v>0</v>
          </cell>
          <cell r="G481" t="e">
            <v>#N/A</v>
          </cell>
          <cell r="H481">
            <v>0</v>
          </cell>
          <cell r="I481" t="e">
            <v>#N/A</v>
          </cell>
          <cell r="J481">
            <v>18</v>
          </cell>
          <cell r="K481" t="str">
            <v>XFILL_PMG100%</v>
          </cell>
          <cell r="L481">
            <v>10</v>
          </cell>
          <cell r="M481" t="str">
            <v>TA+CCL100%</v>
          </cell>
          <cell r="N481" t="e">
            <v>#N/A</v>
          </cell>
          <cell r="O481" t="e">
            <v>#N/A</v>
          </cell>
          <cell r="P481">
            <v>159</v>
          </cell>
          <cell r="Q481">
            <v>0</v>
          </cell>
          <cell r="S481">
            <v>0</v>
          </cell>
          <cell r="T481">
            <v>314.041</v>
          </cell>
          <cell r="V481">
            <v>0</v>
          </cell>
          <cell r="W481" t="e">
            <v>#N/A</v>
          </cell>
          <cell r="X481" t="e">
            <v>#N/A</v>
          </cell>
          <cell r="Y481" t="e">
            <v>#N/A</v>
          </cell>
          <cell r="Z481" t="e">
            <v>#N/A</v>
          </cell>
          <cell r="AA481" t="e">
            <v>#N/A</v>
          </cell>
          <cell r="AD481">
            <v>0</v>
          </cell>
        </row>
        <row r="482">
          <cell r="A482">
            <v>46673</v>
          </cell>
          <cell r="B482" t="e">
            <v>#N/A</v>
          </cell>
          <cell r="C482"/>
          <cell r="D482" t="e">
            <v>#N/A</v>
          </cell>
          <cell r="F482">
            <v>0</v>
          </cell>
          <cell r="G482" t="e">
            <v>#N/A</v>
          </cell>
          <cell r="H482">
            <v>0</v>
          </cell>
          <cell r="I482" t="e">
            <v>#N/A</v>
          </cell>
          <cell r="J482">
            <v>18</v>
          </cell>
          <cell r="K482" t="str">
            <v>XFILL_PMG100%</v>
          </cell>
          <cell r="L482">
            <v>10</v>
          </cell>
          <cell r="M482" t="str">
            <v>TA+CCL100%</v>
          </cell>
          <cell r="N482" t="e">
            <v>#N/A</v>
          </cell>
          <cell r="O482" t="e">
            <v>#N/A</v>
          </cell>
          <cell r="P482">
            <v>159</v>
          </cell>
          <cell r="Q482">
            <v>0</v>
          </cell>
          <cell r="S482">
            <v>0</v>
          </cell>
          <cell r="T482">
            <v>314.041</v>
          </cell>
          <cell r="V482">
            <v>0</v>
          </cell>
          <cell r="W482" t="e">
            <v>#N/A</v>
          </cell>
          <cell r="X482" t="e">
            <v>#N/A</v>
          </cell>
          <cell r="Y482" t="e">
            <v>#N/A</v>
          </cell>
          <cell r="Z482" t="e">
            <v>#N/A</v>
          </cell>
          <cell r="AA482" t="e">
            <v>#N/A</v>
          </cell>
          <cell r="AD482">
            <v>0</v>
          </cell>
        </row>
        <row r="483">
          <cell r="A483">
            <v>46674</v>
          </cell>
          <cell r="B483" t="e">
            <v>#N/A</v>
          </cell>
          <cell r="C483"/>
          <cell r="D483" t="e">
            <v>#N/A</v>
          </cell>
          <cell r="F483">
            <v>0</v>
          </cell>
          <cell r="G483" t="e">
            <v>#N/A</v>
          </cell>
          <cell r="H483">
            <v>0</v>
          </cell>
          <cell r="I483" t="e">
            <v>#N/A</v>
          </cell>
          <cell r="J483">
            <v>18</v>
          </cell>
          <cell r="K483" t="str">
            <v>XFILL_PMG100%</v>
          </cell>
          <cell r="L483">
            <v>10</v>
          </cell>
          <cell r="M483" t="str">
            <v>TA+CCL100%</v>
          </cell>
          <cell r="N483" t="e">
            <v>#N/A</v>
          </cell>
          <cell r="O483" t="e">
            <v>#N/A</v>
          </cell>
          <cell r="P483">
            <v>159</v>
          </cell>
          <cell r="Q483">
            <v>0</v>
          </cell>
          <cell r="S483">
            <v>0</v>
          </cell>
          <cell r="T483">
            <v>314.041</v>
          </cell>
          <cell r="V483">
            <v>0</v>
          </cell>
          <cell r="W483" t="e">
            <v>#N/A</v>
          </cell>
          <cell r="X483" t="e">
            <v>#N/A</v>
          </cell>
          <cell r="Y483" t="e">
            <v>#N/A</v>
          </cell>
          <cell r="Z483" t="e">
            <v>#N/A</v>
          </cell>
          <cell r="AA483" t="e">
            <v>#N/A</v>
          </cell>
          <cell r="AD483">
            <v>0</v>
          </cell>
        </row>
        <row r="484">
          <cell r="A484">
            <v>46675</v>
          </cell>
          <cell r="B484" t="e">
            <v>#N/A</v>
          </cell>
          <cell r="C484"/>
          <cell r="D484" t="e">
            <v>#N/A</v>
          </cell>
          <cell r="F484">
            <v>0</v>
          </cell>
          <cell r="G484" t="e">
            <v>#N/A</v>
          </cell>
          <cell r="H484">
            <v>0</v>
          </cell>
          <cell r="I484" t="e">
            <v>#N/A</v>
          </cell>
          <cell r="J484">
            <v>18</v>
          </cell>
          <cell r="K484" t="str">
            <v>XFILL_PMG100%</v>
          </cell>
          <cell r="L484">
            <v>10</v>
          </cell>
          <cell r="M484" t="str">
            <v>TA+CCL100%</v>
          </cell>
          <cell r="N484" t="e">
            <v>#N/A</v>
          </cell>
          <cell r="O484" t="e">
            <v>#N/A</v>
          </cell>
          <cell r="P484">
            <v>159</v>
          </cell>
          <cell r="Q484">
            <v>0</v>
          </cell>
          <cell r="S484">
            <v>0</v>
          </cell>
          <cell r="T484">
            <v>314.041</v>
          </cell>
          <cell r="V484">
            <v>0</v>
          </cell>
          <cell r="W484" t="e">
            <v>#N/A</v>
          </cell>
          <cell r="X484" t="e">
            <v>#N/A</v>
          </cell>
          <cell r="Y484" t="e">
            <v>#N/A</v>
          </cell>
          <cell r="Z484" t="e">
            <v>#N/A</v>
          </cell>
          <cell r="AA484" t="e">
            <v>#N/A</v>
          </cell>
          <cell r="AD484">
            <v>0</v>
          </cell>
        </row>
        <row r="485">
          <cell r="A485">
            <v>46676</v>
          </cell>
          <cell r="B485" t="e">
            <v>#N/A</v>
          </cell>
          <cell r="C485"/>
          <cell r="D485" t="e">
            <v>#N/A</v>
          </cell>
          <cell r="F485">
            <v>0</v>
          </cell>
          <cell r="G485" t="e">
            <v>#N/A</v>
          </cell>
          <cell r="H485">
            <v>0</v>
          </cell>
          <cell r="I485" t="e">
            <v>#N/A</v>
          </cell>
          <cell r="J485">
            <v>18</v>
          </cell>
          <cell r="K485" t="str">
            <v>XFILL_PMG100%</v>
          </cell>
          <cell r="L485">
            <v>10</v>
          </cell>
          <cell r="M485" t="str">
            <v>TA+CCL100%</v>
          </cell>
          <cell r="N485" t="e">
            <v>#N/A</v>
          </cell>
          <cell r="O485" t="e">
            <v>#N/A</v>
          </cell>
          <cell r="P485">
            <v>159</v>
          </cell>
          <cell r="Q485">
            <v>0</v>
          </cell>
          <cell r="S485">
            <v>0</v>
          </cell>
          <cell r="T485">
            <v>314.041</v>
          </cell>
          <cell r="V485">
            <v>0</v>
          </cell>
          <cell r="W485" t="e">
            <v>#N/A</v>
          </cell>
          <cell r="X485" t="e">
            <v>#N/A</v>
          </cell>
          <cell r="Y485" t="e">
            <v>#N/A</v>
          </cell>
          <cell r="Z485" t="e">
            <v>#N/A</v>
          </cell>
          <cell r="AA485" t="e">
            <v>#N/A</v>
          </cell>
          <cell r="AD485">
            <v>0</v>
          </cell>
        </row>
        <row r="486">
          <cell r="A486">
            <v>46677</v>
          </cell>
          <cell r="B486" t="e">
            <v>#N/A</v>
          </cell>
          <cell r="C486"/>
          <cell r="D486" t="e">
            <v>#N/A</v>
          </cell>
          <cell r="F486">
            <v>0</v>
          </cell>
          <cell r="G486" t="e">
            <v>#N/A</v>
          </cell>
          <cell r="H486">
            <v>0</v>
          </cell>
          <cell r="I486" t="e">
            <v>#N/A</v>
          </cell>
          <cell r="J486">
            <v>18</v>
          </cell>
          <cell r="K486" t="str">
            <v>XFILL_PMG100%</v>
          </cell>
          <cell r="L486">
            <v>10</v>
          </cell>
          <cell r="M486" t="str">
            <v>TA+CCL100%</v>
          </cell>
          <cell r="N486" t="e">
            <v>#N/A</v>
          </cell>
          <cell r="O486" t="e">
            <v>#N/A</v>
          </cell>
          <cell r="P486">
            <v>159</v>
          </cell>
          <cell r="Q486">
            <v>0</v>
          </cell>
          <cell r="S486">
            <v>0</v>
          </cell>
          <cell r="T486">
            <v>314.041</v>
          </cell>
          <cell r="V486">
            <v>0</v>
          </cell>
          <cell r="W486" t="e">
            <v>#N/A</v>
          </cell>
          <cell r="X486" t="e">
            <v>#N/A</v>
          </cell>
          <cell r="Y486" t="e">
            <v>#N/A</v>
          </cell>
          <cell r="Z486" t="e">
            <v>#N/A</v>
          </cell>
          <cell r="AA486" t="e">
            <v>#N/A</v>
          </cell>
          <cell r="AD486">
            <v>0</v>
          </cell>
        </row>
        <row r="487">
          <cell r="A487">
            <v>46678</v>
          </cell>
          <cell r="B487" t="e">
            <v>#N/A</v>
          </cell>
          <cell r="C487"/>
          <cell r="D487" t="e">
            <v>#N/A</v>
          </cell>
          <cell r="F487">
            <v>0</v>
          </cell>
          <cell r="G487" t="e">
            <v>#N/A</v>
          </cell>
          <cell r="H487">
            <v>0</v>
          </cell>
          <cell r="I487" t="e">
            <v>#N/A</v>
          </cell>
          <cell r="J487">
            <v>18</v>
          </cell>
          <cell r="K487" t="str">
            <v>XFILL_PMG100%</v>
          </cell>
          <cell r="L487">
            <v>10</v>
          </cell>
          <cell r="M487" t="str">
            <v>TA+CCL100%</v>
          </cell>
          <cell r="N487" t="e">
            <v>#N/A</v>
          </cell>
          <cell r="O487" t="e">
            <v>#N/A</v>
          </cell>
          <cell r="P487">
            <v>159</v>
          </cell>
          <cell r="Q487">
            <v>0</v>
          </cell>
          <cell r="S487">
            <v>0</v>
          </cell>
          <cell r="T487">
            <v>314.041</v>
          </cell>
          <cell r="V487">
            <v>0</v>
          </cell>
          <cell r="W487" t="e">
            <v>#N/A</v>
          </cell>
          <cell r="X487" t="e">
            <v>#N/A</v>
          </cell>
          <cell r="Y487" t="e">
            <v>#N/A</v>
          </cell>
          <cell r="Z487" t="e">
            <v>#N/A</v>
          </cell>
          <cell r="AA487" t="e">
            <v>#N/A</v>
          </cell>
          <cell r="AD487">
            <v>0</v>
          </cell>
        </row>
        <row r="488">
          <cell r="A488">
            <v>46679</v>
          </cell>
          <cell r="B488" t="e">
            <v>#N/A</v>
          </cell>
          <cell r="C488"/>
          <cell r="D488" t="e">
            <v>#N/A</v>
          </cell>
          <cell r="F488">
            <v>0</v>
          </cell>
          <cell r="G488" t="e">
            <v>#N/A</v>
          </cell>
          <cell r="H488">
            <v>0</v>
          </cell>
          <cell r="I488" t="e">
            <v>#N/A</v>
          </cell>
          <cell r="J488">
            <v>18</v>
          </cell>
          <cell r="K488" t="str">
            <v>XFILL_PMG100%</v>
          </cell>
          <cell r="L488">
            <v>10</v>
          </cell>
          <cell r="M488" t="str">
            <v>TA+CCL100%</v>
          </cell>
          <cell r="N488" t="e">
            <v>#N/A</v>
          </cell>
          <cell r="O488" t="e">
            <v>#N/A</v>
          </cell>
          <cell r="P488">
            <v>159</v>
          </cell>
          <cell r="Q488">
            <v>0</v>
          </cell>
          <cell r="S488">
            <v>0</v>
          </cell>
          <cell r="T488">
            <v>314.041</v>
          </cell>
          <cell r="V488">
            <v>0</v>
          </cell>
          <cell r="W488" t="e">
            <v>#N/A</v>
          </cell>
          <cell r="X488" t="e">
            <v>#N/A</v>
          </cell>
          <cell r="Y488" t="e">
            <v>#N/A</v>
          </cell>
          <cell r="Z488" t="e">
            <v>#N/A</v>
          </cell>
          <cell r="AA488" t="e">
            <v>#N/A</v>
          </cell>
          <cell r="AD488">
            <v>0</v>
          </cell>
        </row>
        <row r="489">
          <cell r="A489">
            <v>46680</v>
          </cell>
          <cell r="B489" t="e">
            <v>#N/A</v>
          </cell>
          <cell r="C489"/>
          <cell r="D489" t="e">
            <v>#N/A</v>
          </cell>
          <cell r="F489">
            <v>0</v>
          </cell>
          <cell r="G489" t="e">
            <v>#N/A</v>
          </cell>
          <cell r="H489">
            <v>0</v>
          </cell>
          <cell r="I489" t="e">
            <v>#N/A</v>
          </cell>
          <cell r="J489">
            <v>18</v>
          </cell>
          <cell r="K489" t="str">
            <v>XFILL_PMG100%</v>
          </cell>
          <cell r="L489">
            <v>10</v>
          </cell>
          <cell r="M489" t="str">
            <v>TA+CCL100%</v>
          </cell>
          <cell r="N489" t="e">
            <v>#N/A</v>
          </cell>
          <cell r="O489" t="e">
            <v>#N/A</v>
          </cell>
          <cell r="P489">
            <v>159</v>
          </cell>
          <cell r="Q489">
            <v>0</v>
          </cell>
          <cell r="S489">
            <v>0</v>
          </cell>
          <cell r="T489">
            <v>314.041</v>
          </cell>
          <cell r="V489">
            <v>0</v>
          </cell>
          <cell r="W489" t="e">
            <v>#N/A</v>
          </cell>
          <cell r="X489" t="e">
            <v>#N/A</v>
          </cell>
          <cell r="Y489" t="e">
            <v>#N/A</v>
          </cell>
          <cell r="Z489" t="e">
            <v>#N/A</v>
          </cell>
          <cell r="AA489" t="e">
            <v>#N/A</v>
          </cell>
          <cell r="AD489">
            <v>0</v>
          </cell>
        </row>
        <row r="490">
          <cell r="A490">
            <v>46681</v>
          </cell>
          <cell r="B490" t="e">
            <v>#N/A</v>
          </cell>
          <cell r="C490"/>
          <cell r="D490" t="e">
            <v>#N/A</v>
          </cell>
          <cell r="F490">
            <v>0</v>
          </cell>
          <cell r="G490" t="e">
            <v>#N/A</v>
          </cell>
          <cell r="H490">
            <v>0</v>
          </cell>
          <cell r="I490" t="e">
            <v>#N/A</v>
          </cell>
          <cell r="J490">
            <v>18</v>
          </cell>
          <cell r="K490" t="str">
            <v>XFILL_PMG100%</v>
          </cell>
          <cell r="L490">
            <v>10</v>
          </cell>
          <cell r="M490" t="str">
            <v>TA+CCL100%</v>
          </cell>
          <cell r="N490" t="e">
            <v>#N/A</v>
          </cell>
          <cell r="O490" t="e">
            <v>#N/A</v>
          </cell>
          <cell r="P490">
            <v>159</v>
          </cell>
          <cell r="Q490">
            <v>0</v>
          </cell>
          <cell r="S490">
            <v>0</v>
          </cell>
          <cell r="T490">
            <v>314.041</v>
          </cell>
          <cell r="V490">
            <v>0</v>
          </cell>
          <cell r="W490" t="e">
            <v>#N/A</v>
          </cell>
          <cell r="X490" t="e">
            <v>#N/A</v>
          </cell>
          <cell r="Y490" t="e">
            <v>#N/A</v>
          </cell>
          <cell r="Z490" t="e">
            <v>#N/A</v>
          </cell>
          <cell r="AA490" t="e">
            <v>#N/A</v>
          </cell>
          <cell r="AD490">
            <v>0</v>
          </cell>
        </row>
        <row r="491">
          <cell r="A491">
            <v>46682</v>
          </cell>
          <cell r="B491" t="e">
            <v>#N/A</v>
          </cell>
          <cell r="C491"/>
          <cell r="D491" t="e">
            <v>#N/A</v>
          </cell>
          <cell r="F491">
            <v>0</v>
          </cell>
          <cell r="G491" t="e">
            <v>#N/A</v>
          </cell>
          <cell r="H491">
            <v>0</v>
          </cell>
          <cell r="I491" t="e">
            <v>#N/A</v>
          </cell>
          <cell r="J491">
            <v>18</v>
          </cell>
          <cell r="K491" t="str">
            <v>XFILL_PMG100%</v>
          </cell>
          <cell r="L491">
            <v>10</v>
          </cell>
          <cell r="M491" t="str">
            <v>TA+CCL100%</v>
          </cell>
          <cell r="N491" t="e">
            <v>#N/A</v>
          </cell>
          <cell r="O491" t="e">
            <v>#N/A</v>
          </cell>
          <cell r="P491">
            <v>159</v>
          </cell>
          <cell r="Q491">
            <v>0</v>
          </cell>
          <cell r="S491">
            <v>0</v>
          </cell>
          <cell r="T491">
            <v>314.041</v>
          </cell>
          <cell r="V491">
            <v>0</v>
          </cell>
          <cell r="W491" t="e">
            <v>#N/A</v>
          </cell>
          <cell r="X491" t="e">
            <v>#N/A</v>
          </cell>
          <cell r="Y491" t="e">
            <v>#N/A</v>
          </cell>
          <cell r="Z491" t="e">
            <v>#N/A</v>
          </cell>
          <cell r="AA491" t="e">
            <v>#N/A</v>
          </cell>
          <cell r="AD491">
            <v>0</v>
          </cell>
        </row>
        <row r="492">
          <cell r="A492">
            <v>46683</v>
          </cell>
          <cell r="B492" t="e">
            <v>#N/A</v>
          </cell>
          <cell r="C492"/>
          <cell r="D492" t="e">
            <v>#N/A</v>
          </cell>
          <cell r="F492">
            <v>0</v>
          </cell>
          <cell r="G492" t="e">
            <v>#N/A</v>
          </cell>
          <cell r="H492">
            <v>0</v>
          </cell>
          <cell r="I492" t="e">
            <v>#N/A</v>
          </cell>
          <cell r="J492">
            <v>18</v>
          </cell>
          <cell r="K492" t="str">
            <v>XFILL_PMG100%</v>
          </cell>
          <cell r="L492">
            <v>10</v>
          </cell>
          <cell r="M492" t="str">
            <v>TA+CCL100%</v>
          </cell>
          <cell r="N492" t="e">
            <v>#N/A</v>
          </cell>
          <cell r="O492" t="e">
            <v>#N/A</v>
          </cell>
          <cell r="P492">
            <v>159</v>
          </cell>
          <cell r="Q492">
            <v>0</v>
          </cell>
          <cell r="S492">
            <v>0</v>
          </cell>
          <cell r="T492">
            <v>314.041</v>
          </cell>
          <cell r="V492">
            <v>0</v>
          </cell>
          <cell r="W492" t="e">
            <v>#N/A</v>
          </cell>
          <cell r="X492" t="e">
            <v>#N/A</v>
          </cell>
          <cell r="Y492" t="e">
            <v>#N/A</v>
          </cell>
          <cell r="Z492" t="e">
            <v>#N/A</v>
          </cell>
          <cell r="AA492" t="e">
            <v>#N/A</v>
          </cell>
          <cell r="AD492">
            <v>0</v>
          </cell>
        </row>
        <row r="493">
          <cell r="A493">
            <v>46684</v>
          </cell>
          <cell r="B493" t="e">
            <v>#N/A</v>
          </cell>
          <cell r="C493"/>
          <cell r="D493" t="e">
            <v>#N/A</v>
          </cell>
          <cell r="F493">
            <v>0</v>
          </cell>
          <cell r="G493" t="e">
            <v>#N/A</v>
          </cell>
          <cell r="H493">
            <v>0</v>
          </cell>
          <cell r="I493" t="e">
            <v>#N/A</v>
          </cell>
          <cell r="J493">
            <v>18</v>
          </cell>
          <cell r="K493" t="str">
            <v>XFILL_PMG100%</v>
          </cell>
          <cell r="L493">
            <v>10</v>
          </cell>
          <cell r="M493" t="str">
            <v>TA+CCL100%</v>
          </cell>
          <cell r="N493" t="e">
            <v>#N/A</v>
          </cell>
          <cell r="O493" t="e">
            <v>#N/A</v>
          </cell>
          <cell r="P493">
            <v>159</v>
          </cell>
          <cell r="Q493">
            <v>0</v>
          </cell>
          <cell r="S493">
            <v>0</v>
          </cell>
          <cell r="T493">
            <v>314.041</v>
          </cell>
          <cell r="V493">
            <v>0</v>
          </cell>
          <cell r="W493" t="e">
            <v>#N/A</v>
          </cell>
          <cell r="X493" t="e">
            <v>#N/A</v>
          </cell>
          <cell r="Y493" t="e">
            <v>#N/A</v>
          </cell>
          <cell r="Z493" t="e">
            <v>#N/A</v>
          </cell>
          <cell r="AA493" t="e">
            <v>#N/A</v>
          </cell>
          <cell r="AD493">
            <v>0</v>
          </cell>
        </row>
        <row r="494">
          <cell r="A494">
            <v>46685</v>
          </cell>
          <cell r="B494" t="e">
            <v>#N/A</v>
          </cell>
          <cell r="C494"/>
          <cell r="D494" t="e">
            <v>#N/A</v>
          </cell>
          <cell r="F494">
            <v>0</v>
          </cell>
          <cell r="G494" t="e">
            <v>#N/A</v>
          </cell>
          <cell r="H494">
            <v>0</v>
          </cell>
          <cell r="I494" t="e">
            <v>#N/A</v>
          </cell>
          <cell r="J494">
            <v>18</v>
          </cell>
          <cell r="K494" t="str">
            <v>XFILL_PMG100%</v>
          </cell>
          <cell r="L494">
            <v>10</v>
          </cell>
          <cell r="M494" t="str">
            <v>TA+CCL100%</v>
          </cell>
          <cell r="N494" t="e">
            <v>#N/A</v>
          </cell>
          <cell r="O494" t="e">
            <v>#N/A</v>
          </cell>
          <cell r="P494">
            <v>159</v>
          </cell>
          <cell r="Q494">
            <v>0</v>
          </cell>
          <cell r="S494">
            <v>0</v>
          </cell>
          <cell r="T494">
            <v>314.041</v>
          </cell>
          <cell r="V494">
            <v>0</v>
          </cell>
          <cell r="W494" t="e">
            <v>#N/A</v>
          </cell>
          <cell r="X494" t="e">
            <v>#N/A</v>
          </cell>
          <cell r="Y494" t="e">
            <v>#N/A</v>
          </cell>
          <cell r="Z494" t="e">
            <v>#N/A</v>
          </cell>
          <cell r="AA494" t="e">
            <v>#N/A</v>
          </cell>
          <cell r="AD494">
            <v>0</v>
          </cell>
        </row>
        <row r="495">
          <cell r="A495">
            <v>46686</v>
          </cell>
          <cell r="B495" t="e">
            <v>#N/A</v>
          </cell>
          <cell r="C495"/>
          <cell r="D495" t="e">
            <v>#N/A</v>
          </cell>
          <cell r="F495">
            <v>0</v>
          </cell>
          <cell r="G495" t="e">
            <v>#N/A</v>
          </cell>
          <cell r="H495">
            <v>0</v>
          </cell>
          <cell r="I495" t="e">
            <v>#N/A</v>
          </cell>
          <cell r="J495">
            <v>18</v>
          </cell>
          <cell r="K495" t="str">
            <v>XFILL_PMG100%</v>
          </cell>
          <cell r="L495">
            <v>10</v>
          </cell>
          <cell r="M495" t="str">
            <v>TA+CCL100%</v>
          </cell>
          <cell r="N495" t="e">
            <v>#N/A</v>
          </cell>
          <cell r="O495" t="e">
            <v>#N/A</v>
          </cell>
          <cell r="P495">
            <v>159</v>
          </cell>
          <cell r="Q495">
            <v>0</v>
          </cell>
          <cell r="S495">
            <v>0</v>
          </cell>
          <cell r="T495">
            <v>314.041</v>
          </cell>
          <cell r="V495">
            <v>0</v>
          </cell>
          <cell r="W495" t="e">
            <v>#N/A</v>
          </cell>
          <cell r="X495" t="e">
            <v>#N/A</v>
          </cell>
          <cell r="Y495" t="e">
            <v>#N/A</v>
          </cell>
          <cell r="Z495" t="e">
            <v>#N/A</v>
          </cell>
          <cell r="AA495" t="e">
            <v>#N/A</v>
          </cell>
          <cell r="AD495">
            <v>0</v>
          </cell>
        </row>
        <row r="496">
          <cell r="A496">
            <v>46687</v>
          </cell>
          <cell r="B496" t="e">
            <v>#N/A</v>
          </cell>
          <cell r="C496"/>
          <cell r="D496" t="e">
            <v>#N/A</v>
          </cell>
          <cell r="F496">
            <v>0</v>
          </cell>
          <cell r="G496" t="e">
            <v>#N/A</v>
          </cell>
          <cell r="H496">
            <v>0</v>
          </cell>
          <cell r="I496" t="e">
            <v>#N/A</v>
          </cell>
          <cell r="J496">
            <v>18</v>
          </cell>
          <cell r="K496" t="str">
            <v>XFILL_PMG100%</v>
          </cell>
          <cell r="L496">
            <v>10</v>
          </cell>
          <cell r="M496" t="str">
            <v>TA+CCL100%</v>
          </cell>
          <cell r="N496" t="e">
            <v>#N/A</v>
          </cell>
          <cell r="O496" t="e">
            <v>#N/A</v>
          </cell>
          <cell r="P496">
            <v>159</v>
          </cell>
          <cell r="Q496">
            <v>0</v>
          </cell>
          <cell r="S496">
            <v>0</v>
          </cell>
          <cell r="T496">
            <v>314.041</v>
          </cell>
          <cell r="V496">
            <v>0</v>
          </cell>
          <cell r="W496" t="e">
            <v>#N/A</v>
          </cell>
          <cell r="X496" t="e">
            <v>#N/A</v>
          </cell>
          <cell r="Y496" t="e">
            <v>#N/A</v>
          </cell>
          <cell r="Z496" t="e">
            <v>#N/A</v>
          </cell>
          <cell r="AA496" t="e">
            <v>#N/A</v>
          </cell>
          <cell r="AD496">
            <v>0</v>
          </cell>
        </row>
        <row r="497">
          <cell r="A497">
            <v>46688</v>
          </cell>
          <cell r="B497" t="e">
            <v>#N/A</v>
          </cell>
          <cell r="C497"/>
          <cell r="D497" t="e">
            <v>#N/A</v>
          </cell>
          <cell r="F497">
            <v>0</v>
          </cell>
          <cell r="G497" t="e">
            <v>#N/A</v>
          </cell>
          <cell r="H497">
            <v>0</v>
          </cell>
          <cell r="I497" t="e">
            <v>#N/A</v>
          </cell>
          <cell r="J497">
            <v>18</v>
          </cell>
          <cell r="K497" t="str">
            <v>XFILL_PMG100%</v>
          </cell>
          <cell r="L497">
            <v>10</v>
          </cell>
          <cell r="M497" t="str">
            <v>TA+CCL100%</v>
          </cell>
          <cell r="N497" t="e">
            <v>#N/A</v>
          </cell>
          <cell r="O497" t="e">
            <v>#N/A</v>
          </cell>
          <cell r="P497">
            <v>159</v>
          </cell>
          <cell r="Q497">
            <v>0</v>
          </cell>
          <cell r="S497">
            <v>0</v>
          </cell>
          <cell r="T497">
            <v>314.041</v>
          </cell>
          <cell r="V497">
            <v>0</v>
          </cell>
          <cell r="W497" t="e">
            <v>#N/A</v>
          </cell>
          <cell r="X497" t="e">
            <v>#N/A</v>
          </cell>
          <cell r="Y497" t="e">
            <v>#N/A</v>
          </cell>
          <cell r="Z497" t="e">
            <v>#N/A</v>
          </cell>
          <cell r="AA497" t="e">
            <v>#N/A</v>
          </cell>
          <cell r="AD497">
            <v>0</v>
          </cell>
        </row>
        <row r="498">
          <cell r="A498">
            <v>46689</v>
          </cell>
          <cell r="B498" t="e">
            <v>#N/A</v>
          </cell>
          <cell r="C498"/>
          <cell r="D498" t="e">
            <v>#N/A</v>
          </cell>
          <cell r="F498">
            <v>0</v>
          </cell>
          <cell r="G498" t="e">
            <v>#N/A</v>
          </cell>
          <cell r="H498">
            <v>0</v>
          </cell>
          <cell r="I498" t="e">
            <v>#N/A</v>
          </cell>
          <cell r="J498">
            <v>18</v>
          </cell>
          <cell r="K498" t="str">
            <v>XFILL_PMG100%</v>
          </cell>
          <cell r="L498">
            <v>10</v>
          </cell>
          <cell r="M498" t="str">
            <v>TA+CCL100%</v>
          </cell>
          <cell r="N498" t="e">
            <v>#N/A</v>
          </cell>
          <cell r="O498" t="e">
            <v>#N/A</v>
          </cell>
          <cell r="P498">
            <v>159</v>
          </cell>
          <cell r="Q498">
            <v>0</v>
          </cell>
          <cell r="S498">
            <v>0</v>
          </cell>
          <cell r="T498">
            <v>314.041</v>
          </cell>
          <cell r="V498">
            <v>0</v>
          </cell>
          <cell r="W498" t="e">
            <v>#N/A</v>
          </cell>
          <cell r="X498" t="e">
            <v>#N/A</v>
          </cell>
          <cell r="Y498" t="e">
            <v>#N/A</v>
          </cell>
          <cell r="Z498" t="e">
            <v>#N/A</v>
          </cell>
          <cell r="AA498" t="e">
            <v>#N/A</v>
          </cell>
          <cell r="AD498">
            <v>0</v>
          </cell>
        </row>
        <row r="499">
          <cell r="A499">
            <v>46690</v>
          </cell>
          <cell r="B499" t="e">
            <v>#N/A</v>
          </cell>
          <cell r="C499"/>
          <cell r="D499" t="e">
            <v>#N/A</v>
          </cell>
          <cell r="F499">
            <v>0</v>
          </cell>
          <cell r="G499" t="e">
            <v>#N/A</v>
          </cell>
          <cell r="H499">
            <v>0</v>
          </cell>
          <cell r="I499" t="e">
            <v>#N/A</v>
          </cell>
          <cell r="J499">
            <v>18</v>
          </cell>
          <cell r="K499" t="str">
            <v>XFILL_PMG100%</v>
          </cell>
          <cell r="L499">
            <v>10</v>
          </cell>
          <cell r="M499" t="str">
            <v>TA+CCL100%</v>
          </cell>
          <cell r="N499" t="e">
            <v>#N/A</v>
          </cell>
          <cell r="O499" t="e">
            <v>#N/A</v>
          </cell>
          <cell r="P499">
            <v>159</v>
          </cell>
          <cell r="Q499">
            <v>0</v>
          </cell>
          <cell r="S499">
            <v>0</v>
          </cell>
          <cell r="T499">
            <v>314.041</v>
          </cell>
          <cell r="V499">
            <v>0</v>
          </cell>
          <cell r="W499" t="e">
            <v>#N/A</v>
          </cell>
          <cell r="X499" t="e">
            <v>#N/A</v>
          </cell>
          <cell r="Y499" t="e">
            <v>#N/A</v>
          </cell>
          <cell r="Z499" t="e">
            <v>#N/A</v>
          </cell>
          <cell r="AA499" t="e">
            <v>#N/A</v>
          </cell>
          <cell r="AD499">
            <v>0</v>
          </cell>
        </row>
        <row r="500">
          <cell r="A500">
            <v>46691</v>
          </cell>
          <cell r="B500" t="e">
            <v>#N/A</v>
          </cell>
          <cell r="C500"/>
          <cell r="D500" t="e">
            <v>#N/A</v>
          </cell>
          <cell r="F500">
            <v>0</v>
          </cell>
          <cell r="G500" t="e">
            <v>#N/A</v>
          </cell>
          <cell r="H500">
            <v>0</v>
          </cell>
          <cell r="I500" t="e">
            <v>#N/A</v>
          </cell>
          <cell r="J500">
            <v>18</v>
          </cell>
          <cell r="K500" t="str">
            <v>XFILL_PMG100%</v>
          </cell>
          <cell r="L500">
            <v>10</v>
          </cell>
          <cell r="M500" t="str">
            <v>TA+CCL100%</v>
          </cell>
          <cell r="N500" t="e">
            <v>#N/A</v>
          </cell>
          <cell r="O500" t="e">
            <v>#N/A</v>
          </cell>
          <cell r="P500">
            <v>159</v>
          </cell>
          <cell r="Q500">
            <v>0</v>
          </cell>
          <cell r="S500">
            <v>0</v>
          </cell>
          <cell r="T500">
            <v>314.041</v>
          </cell>
          <cell r="V500">
            <v>0</v>
          </cell>
          <cell r="W500" t="e">
            <v>#N/A</v>
          </cell>
          <cell r="X500" t="e">
            <v>#N/A</v>
          </cell>
          <cell r="Y500" t="e">
            <v>#N/A</v>
          </cell>
          <cell r="Z500" t="e">
            <v>#N/A</v>
          </cell>
          <cell r="AA500" t="e">
            <v>#N/A</v>
          </cell>
          <cell r="AD500">
            <v>0</v>
          </cell>
        </row>
        <row r="501">
          <cell r="A501">
            <v>46692</v>
          </cell>
          <cell r="B501" t="e">
            <v>#N/A</v>
          </cell>
          <cell r="C501"/>
          <cell r="D501" t="e">
            <v>#N/A</v>
          </cell>
          <cell r="F501">
            <v>0</v>
          </cell>
          <cell r="G501" t="e">
            <v>#N/A</v>
          </cell>
          <cell r="H501">
            <v>0</v>
          </cell>
          <cell r="I501" t="e">
            <v>#N/A</v>
          </cell>
          <cell r="J501">
            <v>18</v>
          </cell>
          <cell r="K501" t="str">
            <v>XFILL_PMG100%</v>
          </cell>
          <cell r="L501">
            <v>10</v>
          </cell>
          <cell r="M501" t="str">
            <v>TA+CCL100%</v>
          </cell>
          <cell r="N501" t="e">
            <v>#N/A</v>
          </cell>
          <cell r="O501" t="e">
            <v>#N/A</v>
          </cell>
          <cell r="P501">
            <v>159</v>
          </cell>
          <cell r="Q501">
            <v>0</v>
          </cell>
          <cell r="S501">
            <v>0</v>
          </cell>
          <cell r="T501">
            <v>314.041</v>
          </cell>
          <cell r="V501">
            <v>0</v>
          </cell>
          <cell r="W501" t="e">
            <v>#N/A</v>
          </cell>
          <cell r="X501" t="e">
            <v>#N/A</v>
          </cell>
          <cell r="Y501" t="e">
            <v>#N/A</v>
          </cell>
          <cell r="Z501" t="e">
            <v>#N/A</v>
          </cell>
          <cell r="AA501" t="e">
            <v>#N/A</v>
          </cell>
          <cell r="AD501">
            <v>0</v>
          </cell>
        </row>
        <row r="502">
          <cell r="A502">
            <v>46693</v>
          </cell>
          <cell r="B502" t="e">
            <v>#N/A</v>
          </cell>
          <cell r="C502"/>
          <cell r="D502" t="e">
            <v>#N/A</v>
          </cell>
          <cell r="F502">
            <v>0</v>
          </cell>
          <cell r="G502" t="e">
            <v>#N/A</v>
          </cell>
          <cell r="H502">
            <v>0</v>
          </cell>
          <cell r="I502" t="e">
            <v>#N/A</v>
          </cell>
          <cell r="J502">
            <v>18</v>
          </cell>
          <cell r="K502" t="str">
            <v>XFILL_PMG100%</v>
          </cell>
          <cell r="L502">
            <v>10</v>
          </cell>
          <cell r="M502" t="str">
            <v>TA+CCL100%</v>
          </cell>
          <cell r="N502" t="e">
            <v>#N/A</v>
          </cell>
          <cell r="O502" t="e">
            <v>#N/A</v>
          </cell>
          <cell r="P502">
            <v>159</v>
          </cell>
          <cell r="Q502">
            <v>0</v>
          </cell>
          <cell r="S502">
            <v>0</v>
          </cell>
          <cell r="T502">
            <v>314.041</v>
          </cell>
          <cell r="V502">
            <v>0</v>
          </cell>
          <cell r="W502" t="e">
            <v>#N/A</v>
          </cell>
          <cell r="X502" t="e">
            <v>#N/A</v>
          </cell>
          <cell r="Y502" t="e">
            <v>#N/A</v>
          </cell>
          <cell r="Z502" t="e">
            <v>#N/A</v>
          </cell>
          <cell r="AA502" t="e">
            <v>#N/A</v>
          </cell>
          <cell r="AD502">
            <v>0</v>
          </cell>
        </row>
        <row r="503">
          <cell r="A503">
            <v>46694</v>
          </cell>
          <cell r="B503" t="e">
            <v>#N/A</v>
          </cell>
          <cell r="C503"/>
          <cell r="D503" t="e">
            <v>#N/A</v>
          </cell>
          <cell r="F503">
            <v>0</v>
          </cell>
          <cell r="G503" t="e">
            <v>#N/A</v>
          </cell>
          <cell r="H503">
            <v>0</v>
          </cell>
          <cell r="I503" t="e">
            <v>#N/A</v>
          </cell>
          <cell r="J503">
            <v>18</v>
          </cell>
          <cell r="K503" t="str">
            <v>XFILL_PMG100%</v>
          </cell>
          <cell r="L503">
            <v>10</v>
          </cell>
          <cell r="M503" t="str">
            <v>TA+CCL100%</v>
          </cell>
          <cell r="N503" t="e">
            <v>#N/A</v>
          </cell>
          <cell r="O503" t="e">
            <v>#N/A</v>
          </cell>
          <cell r="P503">
            <v>159</v>
          </cell>
          <cell r="Q503">
            <v>0</v>
          </cell>
          <cell r="S503">
            <v>0</v>
          </cell>
          <cell r="T503">
            <v>314.041</v>
          </cell>
          <cell r="V503">
            <v>0</v>
          </cell>
          <cell r="W503" t="e">
            <v>#N/A</v>
          </cell>
          <cell r="X503" t="e">
            <v>#N/A</v>
          </cell>
          <cell r="Y503" t="e">
            <v>#N/A</v>
          </cell>
          <cell r="Z503" t="e">
            <v>#N/A</v>
          </cell>
          <cell r="AA503" t="e">
            <v>#N/A</v>
          </cell>
          <cell r="AD503">
            <v>0</v>
          </cell>
        </row>
        <row r="504">
          <cell r="A504">
            <v>46695</v>
          </cell>
          <cell r="B504" t="e">
            <v>#N/A</v>
          </cell>
          <cell r="C504"/>
          <cell r="D504" t="e">
            <v>#N/A</v>
          </cell>
          <cell r="F504">
            <v>0</v>
          </cell>
          <cell r="G504" t="e">
            <v>#N/A</v>
          </cell>
          <cell r="H504">
            <v>0</v>
          </cell>
          <cell r="I504" t="e">
            <v>#N/A</v>
          </cell>
          <cell r="J504">
            <v>18</v>
          </cell>
          <cell r="K504" t="str">
            <v>XFILL_PMG100%</v>
          </cell>
          <cell r="L504">
            <v>10</v>
          </cell>
          <cell r="M504" t="str">
            <v>TA+CCL100%</v>
          </cell>
          <cell r="N504" t="e">
            <v>#N/A</v>
          </cell>
          <cell r="O504" t="e">
            <v>#N/A</v>
          </cell>
          <cell r="P504">
            <v>159</v>
          </cell>
          <cell r="Q504">
            <v>0</v>
          </cell>
          <cell r="S504">
            <v>0</v>
          </cell>
          <cell r="T504">
            <v>314.041</v>
          </cell>
          <cell r="V504">
            <v>0</v>
          </cell>
          <cell r="W504" t="e">
            <v>#N/A</v>
          </cell>
          <cell r="X504" t="e">
            <v>#N/A</v>
          </cell>
          <cell r="Y504" t="e">
            <v>#N/A</v>
          </cell>
          <cell r="Z504" t="e">
            <v>#N/A</v>
          </cell>
          <cell r="AA504" t="e">
            <v>#N/A</v>
          </cell>
          <cell r="AD504">
            <v>0</v>
          </cell>
        </row>
        <row r="505">
          <cell r="A505">
            <v>46696</v>
          </cell>
          <cell r="B505" t="e">
            <v>#N/A</v>
          </cell>
          <cell r="C505"/>
          <cell r="D505" t="e">
            <v>#N/A</v>
          </cell>
          <cell r="F505">
            <v>0</v>
          </cell>
          <cell r="G505" t="e">
            <v>#N/A</v>
          </cell>
          <cell r="H505">
            <v>0</v>
          </cell>
          <cell r="I505" t="e">
            <v>#N/A</v>
          </cell>
          <cell r="J505">
            <v>18</v>
          </cell>
          <cell r="K505" t="str">
            <v>XFILL_PMG100%</v>
          </cell>
          <cell r="L505">
            <v>10</v>
          </cell>
          <cell r="M505" t="str">
            <v>TA+CCL100%</v>
          </cell>
          <cell r="N505" t="e">
            <v>#N/A</v>
          </cell>
          <cell r="O505" t="e">
            <v>#N/A</v>
          </cell>
          <cell r="P505">
            <v>159</v>
          </cell>
          <cell r="Q505">
            <v>0</v>
          </cell>
          <cell r="S505">
            <v>0</v>
          </cell>
          <cell r="T505">
            <v>314.041</v>
          </cell>
          <cell r="V505">
            <v>0</v>
          </cell>
          <cell r="W505" t="e">
            <v>#N/A</v>
          </cell>
          <cell r="X505" t="e">
            <v>#N/A</v>
          </cell>
          <cell r="Y505" t="e">
            <v>#N/A</v>
          </cell>
          <cell r="Z505" t="e">
            <v>#N/A</v>
          </cell>
          <cell r="AA505" t="e">
            <v>#N/A</v>
          </cell>
          <cell r="AD505">
            <v>0</v>
          </cell>
        </row>
        <row r="506">
          <cell r="A506">
            <v>46697</v>
          </cell>
          <cell r="B506" t="e">
            <v>#N/A</v>
          </cell>
          <cell r="C506"/>
          <cell r="D506" t="e">
            <v>#N/A</v>
          </cell>
          <cell r="F506">
            <v>0</v>
          </cell>
          <cell r="G506" t="e">
            <v>#N/A</v>
          </cell>
          <cell r="H506">
            <v>0</v>
          </cell>
          <cell r="I506" t="e">
            <v>#N/A</v>
          </cell>
          <cell r="J506">
            <v>18</v>
          </cell>
          <cell r="K506" t="str">
            <v>XFILL_PMG100%</v>
          </cell>
          <cell r="L506">
            <v>10</v>
          </cell>
          <cell r="M506" t="str">
            <v>TA+CCL100%</v>
          </cell>
          <cell r="N506" t="e">
            <v>#N/A</v>
          </cell>
          <cell r="O506" t="e">
            <v>#N/A</v>
          </cell>
          <cell r="P506">
            <v>159</v>
          </cell>
          <cell r="Q506">
            <v>0</v>
          </cell>
          <cell r="S506">
            <v>0</v>
          </cell>
          <cell r="T506">
            <v>314.041</v>
          </cell>
          <cell r="V506">
            <v>0</v>
          </cell>
          <cell r="W506" t="e">
            <v>#N/A</v>
          </cell>
          <cell r="X506" t="e">
            <v>#N/A</v>
          </cell>
          <cell r="Y506" t="e">
            <v>#N/A</v>
          </cell>
          <cell r="Z506" t="e">
            <v>#N/A</v>
          </cell>
          <cell r="AA506" t="e">
            <v>#N/A</v>
          </cell>
          <cell r="AD506">
            <v>0</v>
          </cell>
        </row>
        <row r="507">
          <cell r="A507">
            <v>46698</v>
          </cell>
          <cell r="B507" t="e">
            <v>#N/A</v>
          </cell>
          <cell r="C507"/>
          <cell r="D507" t="e">
            <v>#N/A</v>
          </cell>
          <cell r="F507">
            <v>0</v>
          </cell>
          <cell r="G507" t="e">
            <v>#N/A</v>
          </cell>
          <cell r="H507">
            <v>0</v>
          </cell>
          <cell r="I507" t="e">
            <v>#N/A</v>
          </cell>
          <cell r="J507">
            <v>18</v>
          </cell>
          <cell r="K507" t="str">
            <v>XFILL_PMG100%</v>
          </cell>
          <cell r="L507">
            <v>10</v>
          </cell>
          <cell r="M507" t="str">
            <v>TA+CCL100%</v>
          </cell>
          <cell r="N507" t="e">
            <v>#N/A</v>
          </cell>
          <cell r="O507" t="e">
            <v>#N/A</v>
          </cell>
          <cell r="P507">
            <v>159</v>
          </cell>
          <cell r="Q507">
            <v>0</v>
          </cell>
          <cell r="S507">
            <v>0</v>
          </cell>
          <cell r="T507">
            <v>314.041</v>
          </cell>
          <cell r="V507">
            <v>0</v>
          </cell>
          <cell r="W507" t="e">
            <v>#N/A</v>
          </cell>
          <cell r="X507" t="e">
            <v>#N/A</v>
          </cell>
          <cell r="Y507" t="e">
            <v>#N/A</v>
          </cell>
          <cell r="Z507" t="e">
            <v>#N/A</v>
          </cell>
          <cell r="AA507" t="e">
            <v>#N/A</v>
          </cell>
          <cell r="AD507">
            <v>0</v>
          </cell>
        </row>
        <row r="508">
          <cell r="A508">
            <v>46699</v>
          </cell>
          <cell r="B508" t="e">
            <v>#N/A</v>
          </cell>
          <cell r="C508"/>
          <cell r="D508" t="e">
            <v>#N/A</v>
          </cell>
          <cell r="F508">
            <v>0</v>
          </cell>
          <cell r="G508" t="e">
            <v>#N/A</v>
          </cell>
          <cell r="H508">
            <v>0</v>
          </cell>
          <cell r="I508" t="e">
            <v>#N/A</v>
          </cell>
          <cell r="J508">
            <v>18</v>
          </cell>
          <cell r="K508" t="str">
            <v>XFILL_PMG100%</v>
          </cell>
          <cell r="L508">
            <v>10</v>
          </cell>
          <cell r="M508" t="str">
            <v>TA+CCL100%</v>
          </cell>
          <cell r="N508" t="e">
            <v>#N/A</v>
          </cell>
          <cell r="O508" t="e">
            <v>#N/A</v>
          </cell>
          <cell r="P508">
            <v>159</v>
          </cell>
          <cell r="Q508">
            <v>0</v>
          </cell>
          <cell r="S508">
            <v>0</v>
          </cell>
          <cell r="T508">
            <v>314.041</v>
          </cell>
          <cell r="V508">
            <v>0</v>
          </cell>
          <cell r="W508" t="e">
            <v>#N/A</v>
          </cell>
          <cell r="X508" t="e">
            <v>#N/A</v>
          </cell>
          <cell r="Y508" t="e">
            <v>#N/A</v>
          </cell>
          <cell r="Z508" t="e">
            <v>#N/A</v>
          </cell>
          <cell r="AA508" t="e">
            <v>#N/A</v>
          </cell>
          <cell r="AD508">
            <v>0</v>
          </cell>
        </row>
        <row r="509">
          <cell r="A509">
            <v>46700</v>
          </cell>
          <cell r="B509" t="e">
            <v>#N/A</v>
          </cell>
          <cell r="C509"/>
          <cell r="D509" t="e">
            <v>#N/A</v>
          </cell>
          <cell r="F509">
            <v>0</v>
          </cell>
          <cell r="G509" t="e">
            <v>#N/A</v>
          </cell>
          <cell r="H509">
            <v>0</v>
          </cell>
          <cell r="I509" t="e">
            <v>#N/A</v>
          </cell>
          <cell r="J509">
            <v>18</v>
          </cell>
          <cell r="K509" t="str">
            <v>XFILL_PMG100%</v>
          </cell>
          <cell r="L509">
            <v>10</v>
          </cell>
          <cell r="M509" t="str">
            <v>TA+CCL100%</v>
          </cell>
          <cell r="N509" t="e">
            <v>#N/A</v>
          </cell>
          <cell r="O509" t="e">
            <v>#N/A</v>
          </cell>
          <cell r="P509">
            <v>159</v>
          </cell>
          <cell r="Q509">
            <v>0</v>
          </cell>
          <cell r="S509">
            <v>0</v>
          </cell>
          <cell r="T509">
            <v>314.041</v>
          </cell>
          <cell r="V509">
            <v>0</v>
          </cell>
          <cell r="W509" t="e">
            <v>#N/A</v>
          </cell>
          <cell r="X509" t="e">
            <v>#N/A</v>
          </cell>
          <cell r="Y509" t="e">
            <v>#N/A</v>
          </cell>
          <cell r="Z509" t="e">
            <v>#N/A</v>
          </cell>
          <cell r="AA509" t="e">
            <v>#N/A</v>
          </cell>
          <cell r="AD509">
            <v>0</v>
          </cell>
        </row>
        <row r="510">
          <cell r="A510">
            <v>46701</v>
          </cell>
          <cell r="B510" t="e">
            <v>#N/A</v>
          </cell>
          <cell r="C510"/>
          <cell r="D510" t="e">
            <v>#N/A</v>
          </cell>
          <cell r="F510">
            <v>0</v>
          </cell>
          <cell r="G510" t="e">
            <v>#N/A</v>
          </cell>
          <cell r="H510">
            <v>0</v>
          </cell>
          <cell r="I510" t="e">
            <v>#N/A</v>
          </cell>
          <cell r="J510">
            <v>18</v>
          </cell>
          <cell r="K510" t="str">
            <v>XFILL_PMG100%</v>
          </cell>
          <cell r="L510">
            <v>10</v>
          </cell>
          <cell r="M510" t="str">
            <v>TA+CCL100%</v>
          </cell>
          <cell r="N510" t="e">
            <v>#N/A</v>
          </cell>
          <cell r="O510" t="e">
            <v>#N/A</v>
          </cell>
          <cell r="P510">
            <v>159</v>
          </cell>
          <cell r="Q510">
            <v>0</v>
          </cell>
          <cell r="S510">
            <v>0</v>
          </cell>
          <cell r="T510">
            <v>314.041</v>
          </cell>
          <cell r="V510">
            <v>0</v>
          </cell>
          <cell r="W510" t="e">
            <v>#N/A</v>
          </cell>
          <cell r="X510" t="e">
            <v>#N/A</v>
          </cell>
          <cell r="Y510" t="e">
            <v>#N/A</v>
          </cell>
          <cell r="Z510" t="e">
            <v>#N/A</v>
          </cell>
          <cell r="AA510" t="e">
            <v>#N/A</v>
          </cell>
          <cell r="AD510">
            <v>0</v>
          </cell>
        </row>
        <row r="511">
          <cell r="A511">
            <v>46702</v>
          </cell>
          <cell r="B511" t="e">
            <v>#N/A</v>
          </cell>
          <cell r="C511"/>
          <cell r="D511" t="e">
            <v>#N/A</v>
          </cell>
          <cell r="F511">
            <v>0</v>
          </cell>
          <cell r="G511" t="e">
            <v>#N/A</v>
          </cell>
          <cell r="H511">
            <v>0</v>
          </cell>
          <cell r="I511" t="e">
            <v>#N/A</v>
          </cell>
          <cell r="J511">
            <v>18</v>
          </cell>
          <cell r="K511" t="str">
            <v>XFILL_PMG100%</v>
          </cell>
          <cell r="L511">
            <v>10</v>
          </cell>
          <cell r="M511" t="str">
            <v>TA+CCL100%</v>
          </cell>
          <cell r="N511" t="e">
            <v>#N/A</v>
          </cell>
          <cell r="O511" t="e">
            <v>#N/A</v>
          </cell>
          <cell r="P511">
            <v>159</v>
          </cell>
          <cell r="Q511">
            <v>0</v>
          </cell>
          <cell r="S511">
            <v>0</v>
          </cell>
          <cell r="T511">
            <v>314.041</v>
          </cell>
          <cell r="V511">
            <v>0</v>
          </cell>
          <cell r="W511" t="e">
            <v>#N/A</v>
          </cell>
          <cell r="X511" t="e">
            <v>#N/A</v>
          </cell>
          <cell r="Y511" t="e">
            <v>#N/A</v>
          </cell>
          <cell r="Z511" t="e">
            <v>#N/A</v>
          </cell>
          <cell r="AA511" t="e">
            <v>#N/A</v>
          </cell>
          <cell r="AD511">
            <v>0</v>
          </cell>
        </row>
        <row r="512">
          <cell r="A512">
            <v>46703</v>
          </cell>
          <cell r="B512" t="e">
            <v>#N/A</v>
          </cell>
          <cell r="C512"/>
          <cell r="D512" t="e">
            <v>#N/A</v>
          </cell>
          <cell r="F512">
            <v>0</v>
          </cell>
          <cell r="G512" t="e">
            <v>#N/A</v>
          </cell>
          <cell r="H512">
            <v>0</v>
          </cell>
          <cell r="I512" t="e">
            <v>#N/A</v>
          </cell>
          <cell r="J512">
            <v>18</v>
          </cell>
          <cell r="K512" t="str">
            <v>XFILL_PMG100%</v>
          </cell>
          <cell r="L512">
            <v>10</v>
          </cell>
          <cell r="M512" t="str">
            <v>TA+CCL100%</v>
          </cell>
          <cell r="N512" t="e">
            <v>#N/A</v>
          </cell>
          <cell r="O512" t="e">
            <v>#N/A</v>
          </cell>
          <cell r="P512">
            <v>159</v>
          </cell>
          <cell r="Q512">
            <v>0</v>
          </cell>
          <cell r="S512">
            <v>0</v>
          </cell>
          <cell r="T512">
            <v>314.041</v>
          </cell>
          <cell r="V512">
            <v>0</v>
          </cell>
          <cell r="W512" t="e">
            <v>#N/A</v>
          </cell>
          <cell r="X512" t="e">
            <v>#N/A</v>
          </cell>
          <cell r="Y512" t="e">
            <v>#N/A</v>
          </cell>
          <cell r="Z512" t="e">
            <v>#N/A</v>
          </cell>
          <cell r="AA512" t="e">
            <v>#N/A</v>
          </cell>
          <cell r="AD512">
            <v>0</v>
          </cell>
        </row>
        <row r="513">
          <cell r="A513">
            <v>46704</v>
          </cell>
          <cell r="B513" t="e">
            <v>#N/A</v>
          </cell>
          <cell r="C513"/>
          <cell r="D513" t="e">
            <v>#N/A</v>
          </cell>
          <cell r="F513">
            <v>0</v>
          </cell>
          <cell r="G513" t="e">
            <v>#N/A</v>
          </cell>
          <cell r="H513">
            <v>0</v>
          </cell>
          <cell r="I513" t="e">
            <v>#N/A</v>
          </cell>
          <cell r="J513">
            <v>18</v>
          </cell>
          <cell r="K513" t="str">
            <v>XFILL_PMG100%</v>
          </cell>
          <cell r="L513">
            <v>10</v>
          </cell>
          <cell r="M513" t="str">
            <v>TA+CCL100%</v>
          </cell>
          <cell r="N513" t="e">
            <v>#N/A</v>
          </cell>
          <cell r="O513" t="e">
            <v>#N/A</v>
          </cell>
          <cell r="P513">
            <v>159</v>
          </cell>
          <cell r="Q513">
            <v>0</v>
          </cell>
          <cell r="S513">
            <v>0</v>
          </cell>
          <cell r="T513">
            <v>314.041</v>
          </cell>
          <cell r="V513">
            <v>0</v>
          </cell>
          <cell r="W513" t="e">
            <v>#N/A</v>
          </cell>
          <cell r="X513" t="e">
            <v>#N/A</v>
          </cell>
          <cell r="Y513" t="e">
            <v>#N/A</v>
          </cell>
          <cell r="Z513" t="e">
            <v>#N/A</v>
          </cell>
          <cell r="AA513" t="e">
            <v>#N/A</v>
          </cell>
          <cell r="AD513">
            <v>0</v>
          </cell>
        </row>
        <row r="514">
          <cell r="A514">
            <v>46705</v>
          </cell>
          <cell r="B514" t="e">
            <v>#N/A</v>
          </cell>
          <cell r="C514"/>
          <cell r="D514" t="e">
            <v>#N/A</v>
          </cell>
          <cell r="F514">
            <v>0</v>
          </cell>
          <cell r="G514" t="e">
            <v>#N/A</v>
          </cell>
          <cell r="H514">
            <v>0</v>
          </cell>
          <cell r="I514" t="e">
            <v>#N/A</v>
          </cell>
          <cell r="J514">
            <v>18</v>
          </cell>
          <cell r="K514" t="str">
            <v>XFILL_PMG100%</v>
          </cell>
          <cell r="L514">
            <v>10</v>
          </cell>
          <cell r="M514" t="str">
            <v>TA+CCL100%</v>
          </cell>
          <cell r="N514" t="e">
            <v>#N/A</v>
          </cell>
          <cell r="O514" t="e">
            <v>#N/A</v>
          </cell>
          <cell r="P514">
            <v>159</v>
          </cell>
          <cell r="Q514">
            <v>0</v>
          </cell>
          <cell r="S514">
            <v>0</v>
          </cell>
          <cell r="T514">
            <v>314.041</v>
          </cell>
          <cell r="V514">
            <v>0</v>
          </cell>
          <cell r="W514" t="e">
            <v>#N/A</v>
          </cell>
          <cell r="X514" t="e">
            <v>#N/A</v>
          </cell>
          <cell r="Y514" t="e">
            <v>#N/A</v>
          </cell>
          <cell r="Z514" t="e">
            <v>#N/A</v>
          </cell>
          <cell r="AA514" t="e">
            <v>#N/A</v>
          </cell>
          <cell r="AD514">
            <v>0</v>
          </cell>
        </row>
        <row r="515">
          <cell r="A515">
            <v>46706</v>
          </cell>
          <cell r="B515" t="e">
            <v>#N/A</v>
          </cell>
          <cell r="C515"/>
          <cell r="D515" t="e">
            <v>#N/A</v>
          </cell>
          <cell r="F515">
            <v>0</v>
          </cell>
          <cell r="G515" t="e">
            <v>#N/A</v>
          </cell>
          <cell r="H515">
            <v>0</v>
          </cell>
          <cell r="I515" t="e">
            <v>#N/A</v>
          </cell>
          <cell r="J515">
            <v>18</v>
          </cell>
          <cell r="K515" t="str">
            <v>XFILL_PMG100%</v>
          </cell>
          <cell r="L515">
            <v>10</v>
          </cell>
          <cell r="M515" t="str">
            <v>TA+CCL100%</v>
          </cell>
          <cell r="N515" t="e">
            <v>#N/A</v>
          </cell>
          <cell r="O515" t="e">
            <v>#N/A</v>
          </cell>
          <cell r="P515">
            <v>159</v>
          </cell>
          <cell r="Q515">
            <v>0</v>
          </cell>
          <cell r="S515">
            <v>0</v>
          </cell>
          <cell r="T515">
            <v>314.041</v>
          </cell>
          <cell r="V515">
            <v>0</v>
          </cell>
          <cell r="W515" t="e">
            <v>#N/A</v>
          </cell>
          <cell r="X515" t="e">
            <v>#N/A</v>
          </cell>
          <cell r="Y515" t="e">
            <v>#N/A</v>
          </cell>
          <cell r="Z515" t="e">
            <v>#N/A</v>
          </cell>
          <cell r="AA515" t="e">
            <v>#N/A</v>
          </cell>
          <cell r="AD515">
            <v>0</v>
          </cell>
        </row>
        <row r="516">
          <cell r="A516">
            <v>46707</v>
          </cell>
          <cell r="B516" t="e">
            <v>#N/A</v>
          </cell>
          <cell r="C516"/>
          <cell r="D516" t="e">
            <v>#N/A</v>
          </cell>
          <cell r="F516">
            <v>0</v>
          </cell>
          <cell r="G516" t="e">
            <v>#N/A</v>
          </cell>
          <cell r="H516">
            <v>0</v>
          </cell>
          <cell r="I516" t="e">
            <v>#N/A</v>
          </cell>
          <cell r="J516">
            <v>18</v>
          </cell>
          <cell r="K516" t="str">
            <v>XFILL_PMG100%</v>
          </cell>
          <cell r="L516">
            <v>10</v>
          </cell>
          <cell r="M516" t="str">
            <v>TA+CCL100%</v>
          </cell>
          <cell r="N516" t="e">
            <v>#N/A</v>
          </cell>
          <cell r="O516" t="e">
            <v>#N/A</v>
          </cell>
          <cell r="P516">
            <v>159</v>
          </cell>
          <cell r="Q516">
            <v>0</v>
          </cell>
          <cell r="S516">
            <v>0</v>
          </cell>
          <cell r="T516">
            <v>314.041</v>
          </cell>
          <cell r="V516">
            <v>0</v>
          </cell>
          <cell r="W516" t="e">
            <v>#N/A</v>
          </cell>
          <cell r="X516" t="e">
            <v>#N/A</v>
          </cell>
          <cell r="Y516" t="e">
            <v>#N/A</v>
          </cell>
          <cell r="Z516" t="e">
            <v>#N/A</v>
          </cell>
          <cell r="AA516" t="e">
            <v>#N/A</v>
          </cell>
          <cell r="AD516">
            <v>0</v>
          </cell>
        </row>
        <row r="517">
          <cell r="A517">
            <v>46708</v>
          </cell>
          <cell r="B517" t="e">
            <v>#N/A</v>
          </cell>
          <cell r="C517"/>
          <cell r="D517" t="e">
            <v>#N/A</v>
          </cell>
          <cell r="F517">
            <v>0</v>
          </cell>
          <cell r="G517" t="e">
            <v>#N/A</v>
          </cell>
          <cell r="H517">
            <v>0</v>
          </cell>
          <cell r="I517" t="e">
            <v>#N/A</v>
          </cell>
          <cell r="J517">
            <v>18</v>
          </cell>
          <cell r="K517" t="str">
            <v>XFILL_PMG100%</v>
          </cell>
          <cell r="L517">
            <v>10</v>
          </cell>
          <cell r="M517" t="str">
            <v>TA+CCL100%</v>
          </cell>
          <cell r="N517" t="e">
            <v>#N/A</v>
          </cell>
          <cell r="O517" t="e">
            <v>#N/A</v>
          </cell>
          <cell r="P517">
            <v>159</v>
          </cell>
          <cell r="Q517">
            <v>0</v>
          </cell>
          <cell r="S517">
            <v>0</v>
          </cell>
          <cell r="T517">
            <v>314.041</v>
          </cell>
          <cell r="V517">
            <v>0</v>
          </cell>
          <cell r="W517" t="e">
            <v>#N/A</v>
          </cell>
          <cell r="X517" t="e">
            <v>#N/A</v>
          </cell>
          <cell r="Y517" t="e">
            <v>#N/A</v>
          </cell>
          <cell r="Z517" t="e">
            <v>#N/A</v>
          </cell>
          <cell r="AA517" t="e">
            <v>#N/A</v>
          </cell>
          <cell r="AD517">
            <v>0</v>
          </cell>
        </row>
        <row r="518">
          <cell r="A518">
            <v>46709</v>
          </cell>
          <cell r="B518" t="e">
            <v>#N/A</v>
          </cell>
          <cell r="C518"/>
          <cell r="D518" t="e">
            <v>#N/A</v>
          </cell>
          <cell r="F518">
            <v>0</v>
          </cell>
          <cell r="G518" t="e">
            <v>#N/A</v>
          </cell>
          <cell r="H518">
            <v>0</v>
          </cell>
          <cell r="I518" t="e">
            <v>#N/A</v>
          </cell>
          <cell r="J518">
            <v>18</v>
          </cell>
          <cell r="K518" t="str">
            <v>XFILL_PMG100%</v>
          </cell>
          <cell r="L518">
            <v>10</v>
          </cell>
          <cell r="M518" t="str">
            <v>TA+CCL100%</v>
          </cell>
          <cell r="N518" t="e">
            <v>#N/A</v>
          </cell>
          <cell r="O518" t="e">
            <v>#N/A</v>
          </cell>
          <cell r="P518">
            <v>159</v>
          </cell>
          <cell r="Q518">
            <v>0</v>
          </cell>
          <cell r="S518">
            <v>0</v>
          </cell>
          <cell r="T518">
            <v>314.041</v>
          </cell>
          <cell r="V518">
            <v>0</v>
          </cell>
          <cell r="W518" t="e">
            <v>#N/A</v>
          </cell>
          <cell r="X518" t="e">
            <v>#N/A</v>
          </cell>
          <cell r="Y518" t="e">
            <v>#N/A</v>
          </cell>
          <cell r="Z518" t="e">
            <v>#N/A</v>
          </cell>
          <cell r="AA518" t="e">
            <v>#N/A</v>
          </cell>
          <cell r="AD518">
            <v>0</v>
          </cell>
        </row>
        <row r="519">
          <cell r="A519">
            <v>46710</v>
          </cell>
          <cell r="B519" t="e">
            <v>#N/A</v>
          </cell>
          <cell r="C519"/>
          <cell r="D519" t="e">
            <v>#N/A</v>
          </cell>
          <cell r="F519">
            <v>0</v>
          </cell>
          <cell r="G519" t="e">
            <v>#N/A</v>
          </cell>
          <cell r="H519">
            <v>0</v>
          </cell>
          <cell r="I519" t="e">
            <v>#N/A</v>
          </cell>
          <cell r="J519">
            <v>18</v>
          </cell>
          <cell r="K519" t="str">
            <v>XFILL_PMG100%</v>
          </cell>
          <cell r="L519">
            <v>10</v>
          </cell>
          <cell r="M519" t="str">
            <v>TA+CCL100%</v>
          </cell>
          <cell r="N519" t="e">
            <v>#N/A</v>
          </cell>
          <cell r="O519" t="e">
            <v>#N/A</v>
          </cell>
          <cell r="P519">
            <v>159</v>
          </cell>
          <cell r="Q519">
            <v>0</v>
          </cell>
          <cell r="S519">
            <v>0</v>
          </cell>
          <cell r="T519">
            <v>314.041</v>
          </cell>
          <cell r="V519">
            <v>0</v>
          </cell>
          <cell r="W519" t="e">
            <v>#N/A</v>
          </cell>
          <cell r="X519" t="e">
            <v>#N/A</v>
          </cell>
          <cell r="Y519" t="e">
            <v>#N/A</v>
          </cell>
          <cell r="Z519" t="e">
            <v>#N/A</v>
          </cell>
          <cell r="AA519" t="e">
            <v>#N/A</v>
          </cell>
          <cell r="AD519">
            <v>0</v>
          </cell>
        </row>
        <row r="520">
          <cell r="A520">
            <v>46711</v>
          </cell>
          <cell r="B520" t="e">
            <v>#N/A</v>
          </cell>
          <cell r="C520"/>
          <cell r="D520" t="e">
            <v>#N/A</v>
          </cell>
          <cell r="F520">
            <v>0</v>
          </cell>
          <cell r="G520" t="e">
            <v>#N/A</v>
          </cell>
          <cell r="H520">
            <v>0</v>
          </cell>
          <cell r="I520" t="e">
            <v>#N/A</v>
          </cell>
          <cell r="J520">
            <v>18</v>
          </cell>
          <cell r="K520" t="str">
            <v>XFILL_PMG100%</v>
          </cell>
          <cell r="L520">
            <v>10</v>
          </cell>
          <cell r="M520" t="str">
            <v>TA+CCL100%</v>
          </cell>
          <cell r="N520" t="e">
            <v>#N/A</v>
          </cell>
          <cell r="O520" t="e">
            <v>#N/A</v>
          </cell>
          <cell r="P520">
            <v>159</v>
          </cell>
          <cell r="Q520">
            <v>0</v>
          </cell>
          <cell r="S520">
            <v>0</v>
          </cell>
          <cell r="T520">
            <v>314.041</v>
          </cell>
          <cell r="V520">
            <v>0</v>
          </cell>
          <cell r="W520" t="e">
            <v>#N/A</v>
          </cell>
          <cell r="X520" t="e">
            <v>#N/A</v>
          </cell>
          <cell r="Y520" t="e">
            <v>#N/A</v>
          </cell>
          <cell r="Z520" t="e">
            <v>#N/A</v>
          </cell>
          <cell r="AA520" t="e">
            <v>#N/A</v>
          </cell>
          <cell r="AD520">
            <v>0</v>
          </cell>
        </row>
        <row r="521">
          <cell r="A521">
            <v>46712</v>
          </cell>
          <cell r="B521" t="e">
            <v>#N/A</v>
          </cell>
          <cell r="C521"/>
          <cell r="D521" t="e">
            <v>#N/A</v>
          </cell>
          <cell r="F521">
            <v>0</v>
          </cell>
          <cell r="G521" t="e">
            <v>#N/A</v>
          </cell>
          <cell r="H521">
            <v>0</v>
          </cell>
          <cell r="I521" t="e">
            <v>#N/A</v>
          </cell>
          <cell r="J521">
            <v>18</v>
          </cell>
          <cell r="K521" t="str">
            <v>XFILL_PMG100%</v>
          </cell>
          <cell r="L521">
            <v>10</v>
          </cell>
          <cell r="M521" t="str">
            <v>TA+CCL100%</v>
          </cell>
          <cell r="N521" t="e">
            <v>#N/A</v>
          </cell>
          <cell r="O521" t="e">
            <v>#N/A</v>
          </cell>
          <cell r="P521">
            <v>159</v>
          </cell>
          <cell r="Q521">
            <v>0</v>
          </cell>
          <cell r="S521">
            <v>0</v>
          </cell>
          <cell r="T521">
            <v>314.041</v>
          </cell>
          <cell r="V521">
            <v>0</v>
          </cell>
          <cell r="W521" t="e">
            <v>#N/A</v>
          </cell>
          <cell r="X521" t="e">
            <v>#N/A</v>
          </cell>
          <cell r="Y521" t="e">
            <v>#N/A</v>
          </cell>
          <cell r="Z521" t="e">
            <v>#N/A</v>
          </cell>
          <cell r="AA521" t="e">
            <v>#N/A</v>
          </cell>
          <cell r="AD521">
            <v>0</v>
          </cell>
        </row>
        <row r="522">
          <cell r="A522">
            <v>46713</v>
          </cell>
          <cell r="B522" t="e">
            <v>#N/A</v>
          </cell>
          <cell r="C522"/>
          <cell r="D522" t="e">
            <v>#N/A</v>
          </cell>
          <cell r="F522">
            <v>0</v>
          </cell>
          <cell r="G522" t="e">
            <v>#N/A</v>
          </cell>
          <cell r="H522">
            <v>0</v>
          </cell>
          <cell r="I522" t="e">
            <v>#N/A</v>
          </cell>
          <cell r="J522">
            <v>18</v>
          </cell>
          <cell r="K522" t="str">
            <v>XFILL_PMG100%</v>
          </cell>
          <cell r="L522">
            <v>10</v>
          </cell>
          <cell r="M522" t="str">
            <v>TA+CCL100%</v>
          </cell>
          <cell r="N522" t="e">
            <v>#N/A</v>
          </cell>
          <cell r="O522" t="e">
            <v>#N/A</v>
          </cell>
          <cell r="P522">
            <v>159</v>
          </cell>
          <cell r="Q522">
            <v>0</v>
          </cell>
          <cell r="S522">
            <v>0</v>
          </cell>
          <cell r="T522">
            <v>314.041</v>
          </cell>
          <cell r="V522">
            <v>0</v>
          </cell>
          <cell r="W522" t="e">
            <v>#N/A</v>
          </cell>
          <cell r="X522" t="e">
            <v>#N/A</v>
          </cell>
          <cell r="Y522" t="e">
            <v>#N/A</v>
          </cell>
          <cell r="Z522" t="e">
            <v>#N/A</v>
          </cell>
          <cell r="AA522" t="e">
            <v>#N/A</v>
          </cell>
          <cell r="AD522">
            <v>0</v>
          </cell>
        </row>
        <row r="523">
          <cell r="A523">
            <v>46714</v>
          </cell>
          <cell r="B523" t="e">
            <v>#N/A</v>
          </cell>
          <cell r="C523"/>
          <cell r="D523" t="e">
            <v>#N/A</v>
          </cell>
          <cell r="F523">
            <v>0</v>
          </cell>
          <cell r="G523" t="e">
            <v>#N/A</v>
          </cell>
          <cell r="H523">
            <v>0</v>
          </cell>
          <cell r="I523" t="e">
            <v>#N/A</v>
          </cell>
          <cell r="J523">
            <v>18</v>
          </cell>
          <cell r="K523" t="str">
            <v>XFILL_PMG100%</v>
          </cell>
          <cell r="L523">
            <v>10</v>
          </cell>
          <cell r="M523" t="str">
            <v>TA+CCL100%</v>
          </cell>
          <cell r="N523" t="e">
            <v>#N/A</v>
          </cell>
          <cell r="O523" t="e">
            <v>#N/A</v>
          </cell>
          <cell r="P523">
            <v>159</v>
          </cell>
          <cell r="Q523">
            <v>0</v>
          </cell>
          <cell r="S523">
            <v>0</v>
          </cell>
          <cell r="T523">
            <v>314.041</v>
          </cell>
          <cell r="V523">
            <v>0</v>
          </cell>
          <cell r="W523" t="e">
            <v>#N/A</v>
          </cell>
          <cell r="X523" t="e">
            <v>#N/A</v>
          </cell>
          <cell r="Y523" t="e">
            <v>#N/A</v>
          </cell>
          <cell r="Z523" t="e">
            <v>#N/A</v>
          </cell>
          <cell r="AA523" t="e">
            <v>#N/A</v>
          </cell>
          <cell r="AD523">
            <v>0</v>
          </cell>
        </row>
        <row r="524">
          <cell r="A524">
            <v>46715</v>
          </cell>
          <cell r="B524" t="e">
            <v>#N/A</v>
          </cell>
          <cell r="C524"/>
          <cell r="D524" t="e">
            <v>#N/A</v>
          </cell>
          <cell r="F524">
            <v>0</v>
          </cell>
          <cell r="G524" t="e">
            <v>#N/A</v>
          </cell>
          <cell r="H524">
            <v>0</v>
          </cell>
          <cell r="I524" t="e">
            <v>#N/A</v>
          </cell>
          <cell r="J524">
            <v>18</v>
          </cell>
          <cell r="K524" t="str">
            <v>XFILL_PMG100%</v>
          </cell>
          <cell r="L524">
            <v>10</v>
          </cell>
          <cell r="M524" t="str">
            <v>TA+CCL100%</v>
          </cell>
          <cell r="N524" t="e">
            <v>#N/A</v>
          </cell>
          <cell r="O524" t="e">
            <v>#N/A</v>
          </cell>
          <cell r="P524">
            <v>159</v>
          </cell>
          <cell r="Q524">
            <v>0</v>
          </cell>
          <cell r="S524">
            <v>0</v>
          </cell>
          <cell r="T524">
            <v>314.041</v>
          </cell>
          <cell r="V524">
            <v>0</v>
          </cell>
          <cell r="W524" t="e">
            <v>#N/A</v>
          </cell>
          <cell r="X524" t="e">
            <v>#N/A</v>
          </cell>
          <cell r="Y524" t="e">
            <v>#N/A</v>
          </cell>
          <cell r="Z524" t="e">
            <v>#N/A</v>
          </cell>
          <cell r="AA524" t="e">
            <v>#N/A</v>
          </cell>
          <cell r="AD524">
            <v>0</v>
          </cell>
        </row>
        <row r="525">
          <cell r="A525">
            <v>46716</v>
          </cell>
          <cell r="B525" t="e">
            <v>#N/A</v>
          </cell>
          <cell r="C525"/>
          <cell r="D525" t="e">
            <v>#N/A</v>
          </cell>
          <cell r="F525">
            <v>0</v>
          </cell>
          <cell r="G525" t="e">
            <v>#N/A</v>
          </cell>
          <cell r="H525">
            <v>0</v>
          </cell>
          <cell r="I525" t="e">
            <v>#N/A</v>
          </cell>
          <cell r="J525">
            <v>18</v>
          </cell>
          <cell r="K525" t="str">
            <v>XFILL_PMG100%</v>
          </cell>
          <cell r="L525">
            <v>10</v>
          </cell>
          <cell r="M525" t="str">
            <v>TA+CCL100%</v>
          </cell>
          <cell r="N525" t="e">
            <v>#N/A</v>
          </cell>
          <cell r="O525" t="e">
            <v>#N/A</v>
          </cell>
          <cell r="P525">
            <v>159</v>
          </cell>
          <cell r="Q525">
            <v>0</v>
          </cell>
          <cell r="S525">
            <v>0</v>
          </cell>
          <cell r="T525">
            <v>314.041</v>
          </cell>
          <cell r="V525">
            <v>0</v>
          </cell>
          <cell r="W525" t="e">
            <v>#N/A</v>
          </cell>
          <cell r="X525" t="e">
            <v>#N/A</v>
          </cell>
          <cell r="Y525" t="e">
            <v>#N/A</v>
          </cell>
          <cell r="Z525" t="e">
            <v>#N/A</v>
          </cell>
          <cell r="AA525" t="e">
            <v>#N/A</v>
          </cell>
          <cell r="AD525">
            <v>0</v>
          </cell>
        </row>
        <row r="526">
          <cell r="A526">
            <v>46717</v>
          </cell>
          <cell r="B526" t="e">
            <v>#N/A</v>
          </cell>
          <cell r="C526"/>
          <cell r="D526" t="e">
            <v>#N/A</v>
          </cell>
          <cell r="F526">
            <v>0</v>
          </cell>
          <cell r="G526" t="e">
            <v>#N/A</v>
          </cell>
          <cell r="H526">
            <v>0</v>
          </cell>
          <cell r="I526" t="e">
            <v>#N/A</v>
          </cell>
          <cell r="J526">
            <v>18</v>
          </cell>
          <cell r="K526" t="str">
            <v>XFILL_PMG100%</v>
          </cell>
          <cell r="L526">
            <v>10</v>
          </cell>
          <cell r="M526" t="str">
            <v>TA+CCL100%</v>
          </cell>
          <cell r="N526" t="e">
            <v>#N/A</v>
          </cell>
          <cell r="O526" t="e">
            <v>#N/A</v>
          </cell>
          <cell r="P526">
            <v>159</v>
          </cell>
          <cell r="Q526">
            <v>0</v>
          </cell>
          <cell r="S526">
            <v>0</v>
          </cell>
          <cell r="T526">
            <v>314.041</v>
          </cell>
          <cell r="V526">
            <v>0</v>
          </cell>
          <cell r="W526" t="e">
            <v>#N/A</v>
          </cell>
          <cell r="X526" t="e">
            <v>#N/A</v>
          </cell>
          <cell r="Y526" t="e">
            <v>#N/A</v>
          </cell>
          <cell r="Z526" t="e">
            <v>#N/A</v>
          </cell>
          <cell r="AA526" t="e">
            <v>#N/A</v>
          </cell>
          <cell r="AD526">
            <v>0</v>
          </cell>
        </row>
        <row r="527">
          <cell r="A527">
            <v>46718</v>
          </cell>
          <cell r="B527" t="e">
            <v>#N/A</v>
          </cell>
          <cell r="C527"/>
          <cell r="D527" t="e">
            <v>#N/A</v>
          </cell>
          <cell r="F527">
            <v>0</v>
          </cell>
          <cell r="G527" t="e">
            <v>#N/A</v>
          </cell>
          <cell r="H527">
            <v>0</v>
          </cell>
          <cell r="I527" t="e">
            <v>#N/A</v>
          </cell>
          <cell r="J527">
            <v>18</v>
          </cell>
          <cell r="K527" t="str">
            <v>XFILL_PMG100%</v>
          </cell>
          <cell r="L527">
            <v>10</v>
          </cell>
          <cell r="M527" t="str">
            <v>TA+CCL100%</v>
          </cell>
          <cell r="N527" t="e">
            <v>#N/A</v>
          </cell>
          <cell r="O527" t="e">
            <v>#N/A</v>
          </cell>
          <cell r="P527">
            <v>159</v>
          </cell>
          <cell r="Q527">
            <v>0</v>
          </cell>
          <cell r="S527">
            <v>0</v>
          </cell>
          <cell r="T527">
            <v>314.041</v>
          </cell>
          <cell r="V527">
            <v>0</v>
          </cell>
          <cell r="W527" t="e">
            <v>#N/A</v>
          </cell>
          <cell r="X527" t="e">
            <v>#N/A</v>
          </cell>
          <cell r="Y527" t="e">
            <v>#N/A</v>
          </cell>
          <cell r="Z527" t="e">
            <v>#N/A</v>
          </cell>
          <cell r="AA527" t="e">
            <v>#N/A</v>
          </cell>
          <cell r="AD527">
            <v>0</v>
          </cell>
        </row>
        <row r="528">
          <cell r="A528">
            <v>46719</v>
          </cell>
          <cell r="B528" t="e">
            <v>#N/A</v>
          </cell>
          <cell r="C528"/>
          <cell r="D528" t="e">
            <v>#N/A</v>
          </cell>
          <cell r="F528">
            <v>0</v>
          </cell>
          <cell r="G528" t="e">
            <v>#N/A</v>
          </cell>
          <cell r="H528">
            <v>0</v>
          </cell>
          <cell r="I528" t="e">
            <v>#N/A</v>
          </cell>
          <cell r="J528">
            <v>18</v>
          </cell>
          <cell r="K528" t="str">
            <v>XFILL_PMG100%</v>
          </cell>
          <cell r="L528">
            <v>10</v>
          </cell>
          <cell r="M528" t="str">
            <v>TA+CCL100%</v>
          </cell>
          <cell r="N528" t="e">
            <v>#N/A</v>
          </cell>
          <cell r="O528" t="e">
            <v>#N/A</v>
          </cell>
          <cell r="P528">
            <v>159</v>
          </cell>
          <cell r="Q528">
            <v>0</v>
          </cell>
          <cell r="S528">
            <v>0</v>
          </cell>
          <cell r="T528">
            <v>314.041</v>
          </cell>
          <cell r="V528">
            <v>0</v>
          </cell>
          <cell r="W528" t="e">
            <v>#N/A</v>
          </cell>
          <cell r="X528" t="e">
            <v>#N/A</v>
          </cell>
          <cell r="Y528" t="e">
            <v>#N/A</v>
          </cell>
          <cell r="Z528" t="e">
            <v>#N/A</v>
          </cell>
          <cell r="AA528" t="e">
            <v>#N/A</v>
          </cell>
          <cell r="AD528">
            <v>0</v>
          </cell>
        </row>
        <row r="529">
          <cell r="A529">
            <v>46720</v>
          </cell>
          <cell r="B529" t="e">
            <v>#N/A</v>
          </cell>
          <cell r="C529"/>
          <cell r="D529" t="e">
            <v>#N/A</v>
          </cell>
          <cell r="F529">
            <v>0</v>
          </cell>
          <cell r="G529" t="e">
            <v>#N/A</v>
          </cell>
          <cell r="H529">
            <v>0</v>
          </cell>
          <cell r="I529" t="e">
            <v>#N/A</v>
          </cell>
          <cell r="J529">
            <v>18</v>
          </cell>
          <cell r="K529" t="str">
            <v>XFILL_PMG100%</v>
          </cell>
          <cell r="L529">
            <v>10</v>
          </cell>
          <cell r="M529" t="str">
            <v>TA+CCL100%</v>
          </cell>
          <cell r="N529" t="e">
            <v>#N/A</v>
          </cell>
          <cell r="O529" t="e">
            <v>#N/A</v>
          </cell>
          <cell r="P529">
            <v>159</v>
          </cell>
          <cell r="Q529">
            <v>0</v>
          </cell>
          <cell r="S529">
            <v>0</v>
          </cell>
          <cell r="T529">
            <v>314.041</v>
          </cell>
          <cell r="V529">
            <v>0</v>
          </cell>
          <cell r="W529" t="e">
            <v>#N/A</v>
          </cell>
          <cell r="X529" t="e">
            <v>#N/A</v>
          </cell>
          <cell r="Y529" t="e">
            <v>#N/A</v>
          </cell>
          <cell r="Z529" t="e">
            <v>#N/A</v>
          </cell>
          <cell r="AA529" t="e">
            <v>#N/A</v>
          </cell>
          <cell r="AD529">
            <v>0</v>
          </cell>
        </row>
        <row r="530">
          <cell r="A530">
            <v>46721</v>
          </cell>
          <cell r="B530" t="e">
            <v>#N/A</v>
          </cell>
          <cell r="C530"/>
          <cell r="D530" t="e">
            <v>#N/A</v>
          </cell>
          <cell r="F530">
            <v>0</v>
          </cell>
          <cell r="G530" t="e">
            <v>#N/A</v>
          </cell>
          <cell r="H530">
            <v>0</v>
          </cell>
          <cell r="I530" t="e">
            <v>#N/A</v>
          </cell>
          <cell r="J530">
            <v>18</v>
          </cell>
          <cell r="K530" t="str">
            <v>XFILL_PMG100%</v>
          </cell>
          <cell r="L530">
            <v>10</v>
          </cell>
          <cell r="M530" t="str">
            <v>TA+CCL100%</v>
          </cell>
          <cell r="N530" t="e">
            <v>#N/A</v>
          </cell>
          <cell r="O530" t="e">
            <v>#N/A</v>
          </cell>
          <cell r="P530">
            <v>159</v>
          </cell>
          <cell r="Q530">
            <v>0</v>
          </cell>
          <cell r="S530">
            <v>0</v>
          </cell>
          <cell r="T530">
            <v>314.041</v>
          </cell>
          <cell r="V530">
            <v>0</v>
          </cell>
          <cell r="W530" t="e">
            <v>#N/A</v>
          </cell>
          <cell r="X530" t="e">
            <v>#N/A</v>
          </cell>
          <cell r="Y530" t="e">
            <v>#N/A</v>
          </cell>
          <cell r="Z530" t="e">
            <v>#N/A</v>
          </cell>
          <cell r="AA530" t="e">
            <v>#N/A</v>
          </cell>
          <cell r="AD530">
            <v>0</v>
          </cell>
        </row>
        <row r="531">
          <cell r="A531">
            <v>46722</v>
          </cell>
          <cell r="B531" t="e">
            <v>#N/A</v>
          </cell>
          <cell r="C531"/>
          <cell r="D531" t="e">
            <v>#N/A</v>
          </cell>
          <cell r="F531">
            <v>0</v>
          </cell>
          <cell r="G531" t="e">
            <v>#N/A</v>
          </cell>
          <cell r="H531">
            <v>0</v>
          </cell>
          <cell r="I531" t="e">
            <v>#N/A</v>
          </cell>
          <cell r="J531">
            <v>18</v>
          </cell>
          <cell r="K531" t="str">
            <v>XFILL_PMG100%</v>
          </cell>
          <cell r="L531">
            <v>10</v>
          </cell>
          <cell r="M531" t="str">
            <v>TA+CCL100%</v>
          </cell>
          <cell r="N531" t="e">
            <v>#N/A</v>
          </cell>
          <cell r="O531" t="e">
            <v>#N/A</v>
          </cell>
          <cell r="P531">
            <v>159</v>
          </cell>
          <cell r="Q531">
            <v>0</v>
          </cell>
          <cell r="S531">
            <v>0</v>
          </cell>
          <cell r="T531">
            <v>314.041</v>
          </cell>
          <cell r="V531">
            <v>0</v>
          </cell>
          <cell r="W531" t="e">
            <v>#N/A</v>
          </cell>
          <cell r="X531" t="e">
            <v>#N/A</v>
          </cell>
          <cell r="Y531" t="e">
            <v>#N/A</v>
          </cell>
          <cell r="Z531" t="e">
            <v>#N/A</v>
          </cell>
          <cell r="AA531" t="e">
            <v>#N/A</v>
          </cell>
          <cell r="AD531">
            <v>0</v>
          </cell>
        </row>
        <row r="532">
          <cell r="A532">
            <v>46723</v>
          </cell>
          <cell r="B532" t="e">
            <v>#N/A</v>
          </cell>
          <cell r="C532"/>
          <cell r="D532" t="e">
            <v>#N/A</v>
          </cell>
          <cell r="F532">
            <v>0</v>
          </cell>
          <cell r="G532" t="e">
            <v>#N/A</v>
          </cell>
          <cell r="H532">
            <v>0</v>
          </cell>
          <cell r="I532" t="e">
            <v>#N/A</v>
          </cell>
          <cell r="J532">
            <v>18</v>
          </cell>
          <cell r="K532" t="str">
            <v>XFILL_PMG100%</v>
          </cell>
          <cell r="L532">
            <v>10</v>
          </cell>
          <cell r="M532" t="str">
            <v>TA+CCL100%</v>
          </cell>
          <cell r="N532" t="e">
            <v>#N/A</v>
          </cell>
          <cell r="O532" t="e">
            <v>#N/A</v>
          </cell>
          <cell r="P532">
            <v>159</v>
          </cell>
          <cell r="Q532">
            <v>0</v>
          </cell>
          <cell r="S532">
            <v>0</v>
          </cell>
          <cell r="T532">
            <v>314.041</v>
          </cell>
          <cell r="V532">
            <v>0</v>
          </cell>
          <cell r="W532" t="e">
            <v>#N/A</v>
          </cell>
          <cell r="X532" t="e">
            <v>#N/A</v>
          </cell>
          <cell r="Y532" t="e">
            <v>#N/A</v>
          </cell>
          <cell r="Z532" t="e">
            <v>#N/A</v>
          </cell>
          <cell r="AA532" t="e">
            <v>#N/A</v>
          </cell>
          <cell r="AD532">
            <v>0</v>
          </cell>
        </row>
        <row r="533">
          <cell r="A533">
            <v>46724</v>
          </cell>
          <cell r="B533" t="e">
            <v>#N/A</v>
          </cell>
          <cell r="C533"/>
          <cell r="D533" t="e">
            <v>#N/A</v>
          </cell>
          <cell r="F533">
            <v>0</v>
          </cell>
          <cell r="G533" t="e">
            <v>#N/A</v>
          </cell>
          <cell r="H533">
            <v>0</v>
          </cell>
          <cell r="I533" t="e">
            <v>#N/A</v>
          </cell>
          <cell r="J533">
            <v>18</v>
          </cell>
          <cell r="K533" t="str">
            <v>XFILL_PMG100%</v>
          </cell>
          <cell r="L533">
            <v>10</v>
          </cell>
          <cell r="M533" t="str">
            <v>TA+CCL100%</v>
          </cell>
          <cell r="N533" t="e">
            <v>#N/A</v>
          </cell>
          <cell r="O533" t="e">
            <v>#N/A</v>
          </cell>
          <cell r="P533">
            <v>159</v>
          </cell>
          <cell r="Q533">
            <v>0</v>
          </cell>
          <cell r="S533">
            <v>0</v>
          </cell>
          <cell r="T533">
            <v>314.041</v>
          </cell>
          <cell r="V533">
            <v>0</v>
          </cell>
          <cell r="W533" t="e">
            <v>#N/A</v>
          </cell>
          <cell r="X533" t="e">
            <v>#N/A</v>
          </cell>
          <cell r="Y533" t="e">
            <v>#N/A</v>
          </cell>
          <cell r="Z533" t="e">
            <v>#N/A</v>
          </cell>
          <cell r="AA533" t="e">
            <v>#N/A</v>
          </cell>
          <cell r="AD533">
            <v>0</v>
          </cell>
        </row>
        <row r="534">
          <cell r="A534">
            <v>46725</v>
          </cell>
          <cell r="B534" t="e">
            <v>#N/A</v>
          </cell>
          <cell r="C534"/>
          <cell r="D534" t="e">
            <v>#N/A</v>
          </cell>
          <cell r="F534">
            <v>0</v>
          </cell>
          <cell r="G534" t="e">
            <v>#N/A</v>
          </cell>
          <cell r="H534">
            <v>0</v>
          </cell>
          <cell r="I534" t="e">
            <v>#N/A</v>
          </cell>
          <cell r="J534">
            <v>18</v>
          </cell>
          <cell r="K534" t="str">
            <v>XFILL_PMG100%</v>
          </cell>
          <cell r="L534">
            <v>10</v>
          </cell>
          <cell r="M534" t="str">
            <v>TA+CCL100%</v>
          </cell>
          <cell r="N534" t="e">
            <v>#N/A</v>
          </cell>
          <cell r="O534" t="e">
            <v>#N/A</v>
          </cell>
          <cell r="P534">
            <v>159</v>
          </cell>
          <cell r="Q534">
            <v>0</v>
          </cell>
          <cell r="S534">
            <v>0</v>
          </cell>
          <cell r="T534">
            <v>314.041</v>
          </cell>
          <cell r="V534">
            <v>0</v>
          </cell>
          <cell r="W534" t="e">
            <v>#N/A</v>
          </cell>
          <cell r="X534" t="e">
            <v>#N/A</v>
          </cell>
          <cell r="Y534" t="e">
            <v>#N/A</v>
          </cell>
          <cell r="Z534" t="e">
            <v>#N/A</v>
          </cell>
          <cell r="AA534" t="e">
            <v>#N/A</v>
          </cell>
          <cell r="AD534">
            <v>0</v>
          </cell>
        </row>
        <row r="535">
          <cell r="A535">
            <v>46726</v>
          </cell>
          <cell r="B535" t="e">
            <v>#N/A</v>
          </cell>
          <cell r="C535"/>
          <cell r="D535" t="e">
            <v>#N/A</v>
          </cell>
          <cell r="F535">
            <v>0</v>
          </cell>
          <cell r="G535" t="e">
            <v>#N/A</v>
          </cell>
          <cell r="H535">
            <v>0</v>
          </cell>
          <cell r="I535" t="e">
            <v>#N/A</v>
          </cell>
          <cell r="J535">
            <v>18</v>
          </cell>
          <cell r="K535" t="str">
            <v>XFILL_PMG100%</v>
          </cell>
          <cell r="L535">
            <v>10</v>
          </cell>
          <cell r="M535" t="str">
            <v>TA+CCL100%</v>
          </cell>
          <cell r="N535" t="e">
            <v>#N/A</v>
          </cell>
          <cell r="O535" t="e">
            <v>#N/A</v>
          </cell>
          <cell r="P535">
            <v>159</v>
          </cell>
          <cell r="Q535">
            <v>0</v>
          </cell>
          <cell r="S535">
            <v>0</v>
          </cell>
          <cell r="T535">
            <v>314.041</v>
          </cell>
          <cell r="V535">
            <v>0</v>
          </cell>
          <cell r="W535" t="e">
            <v>#N/A</v>
          </cell>
          <cell r="X535" t="e">
            <v>#N/A</v>
          </cell>
          <cell r="Y535" t="e">
            <v>#N/A</v>
          </cell>
          <cell r="Z535" t="e">
            <v>#N/A</v>
          </cell>
          <cell r="AA535" t="e">
            <v>#N/A</v>
          </cell>
          <cell r="AD535">
            <v>0</v>
          </cell>
        </row>
        <row r="536">
          <cell r="A536">
            <v>46727</v>
          </cell>
          <cell r="B536" t="e">
            <v>#N/A</v>
          </cell>
          <cell r="C536"/>
          <cell r="D536" t="e">
            <v>#N/A</v>
          </cell>
          <cell r="F536">
            <v>0</v>
          </cell>
          <cell r="G536" t="e">
            <v>#N/A</v>
          </cell>
          <cell r="H536">
            <v>0</v>
          </cell>
          <cell r="I536" t="e">
            <v>#N/A</v>
          </cell>
          <cell r="J536">
            <v>18</v>
          </cell>
          <cell r="K536" t="str">
            <v>XFILL_PMG100%</v>
          </cell>
          <cell r="L536">
            <v>10</v>
          </cell>
          <cell r="M536" t="str">
            <v>TA+CCL100%</v>
          </cell>
          <cell r="N536" t="e">
            <v>#N/A</v>
          </cell>
          <cell r="O536" t="e">
            <v>#N/A</v>
          </cell>
          <cell r="P536">
            <v>159</v>
          </cell>
          <cell r="Q536">
            <v>0</v>
          </cell>
          <cell r="S536">
            <v>0</v>
          </cell>
          <cell r="T536">
            <v>314.041</v>
          </cell>
          <cell r="V536">
            <v>0</v>
          </cell>
          <cell r="W536" t="e">
            <v>#N/A</v>
          </cell>
          <cell r="X536" t="e">
            <v>#N/A</v>
          </cell>
          <cell r="Y536" t="e">
            <v>#N/A</v>
          </cell>
          <cell r="Z536" t="e">
            <v>#N/A</v>
          </cell>
          <cell r="AA536" t="e">
            <v>#N/A</v>
          </cell>
          <cell r="AD536">
            <v>0</v>
          </cell>
        </row>
        <row r="537">
          <cell r="A537">
            <v>46728</v>
          </cell>
          <cell r="B537" t="e">
            <v>#N/A</v>
          </cell>
          <cell r="C537"/>
          <cell r="D537" t="e">
            <v>#N/A</v>
          </cell>
          <cell r="F537">
            <v>0</v>
          </cell>
          <cell r="G537" t="e">
            <v>#N/A</v>
          </cell>
          <cell r="H537">
            <v>0</v>
          </cell>
          <cell r="I537" t="e">
            <v>#N/A</v>
          </cell>
          <cell r="J537">
            <v>18</v>
          </cell>
          <cell r="K537" t="str">
            <v>XFILL_PMG100%</v>
          </cell>
          <cell r="L537">
            <v>10</v>
          </cell>
          <cell r="M537" t="str">
            <v>TA+CCL100%</v>
          </cell>
          <cell r="N537" t="e">
            <v>#N/A</v>
          </cell>
          <cell r="O537" t="e">
            <v>#N/A</v>
          </cell>
          <cell r="P537">
            <v>159</v>
          </cell>
          <cell r="Q537">
            <v>0</v>
          </cell>
          <cell r="S537">
            <v>0</v>
          </cell>
          <cell r="T537">
            <v>314.041</v>
          </cell>
          <cell r="V537">
            <v>0</v>
          </cell>
          <cell r="W537" t="e">
            <v>#N/A</v>
          </cell>
          <cell r="X537" t="e">
            <v>#N/A</v>
          </cell>
          <cell r="Y537" t="e">
            <v>#N/A</v>
          </cell>
          <cell r="Z537" t="e">
            <v>#N/A</v>
          </cell>
          <cell r="AA537" t="e">
            <v>#N/A</v>
          </cell>
          <cell r="AD537">
            <v>0</v>
          </cell>
        </row>
        <row r="538">
          <cell r="A538">
            <v>46729</v>
          </cell>
          <cell r="B538" t="e">
            <v>#N/A</v>
          </cell>
          <cell r="C538"/>
          <cell r="D538" t="e">
            <v>#N/A</v>
          </cell>
          <cell r="F538">
            <v>0</v>
          </cell>
          <cell r="G538" t="e">
            <v>#N/A</v>
          </cell>
          <cell r="H538">
            <v>0</v>
          </cell>
          <cell r="I538" t="e">
            <v>#N/A</v>
          </cell>
          <cell r="J538">
            <v>18</v>
          </cell>
          <cell r="K538" t="str">
            <v>XFILL_PMG100%</v>
          </cell>
          <cell r="L538">
            <v>10</v>
          </cell>
          <cell r="M538" t="str">
            <v>TA+CCL100%</v>
          </cell>
          <cell r="N538" t="e">
            <v>#N/A</v>
          </cell>
          <cell r="O538" t="e">
            <v>#N/A</v>
          </cell>
          <cell r="P538">
            <v>159</v>
          </cell>
          <cell r="Q538">
            <v>0</v>
          </cell>
          <cell r="S538">
            <v>0</v>
          </cell>
          <cell r="T538">
            <v>314.041</v>
          </cell>
          <cell r="V538">
            <v>0</v>
          </cell>
          <cell r="W538" t="e">
            <v>#N/A</v>
          </cell>
          <cell r="X538" t="e">
            <v>#N/A</v>
          </cell>
          <cell r="Y538" t="e">
            <v>#N/A</v>
          </cell>
          <cell r="Z538" t="e">
            <v>#N/A</v>
          </cell>
          <cell r="AA538" t="e">
            <v>#N/A</v>
          </cell>
          <cell r="AD538">
            <v>0</v>
          </cell>
        </row>
        <row r="539">
          <cell r="A539">
            <v>46730</v>
          </cell>
          <cell r="B539" t="e">
            <v>#N/A</v>
          </cell>
          <cell r="C539"/>
          <cell r="D539" t="e">
            <v>#N/A</v>
          </cell>
          <cell r="F539">
            <v>0</v>
          </cell>
          <cell r="G539" t="e">
            <v>#N/A</v>
          </cell>
          <cell r="H539">
            <v>0</v>
          </cell>
          <cell r="I539" t="e">
            <v>#N/A</v>
          </cell>
          <cell r="J539">
            <v>18</v>
          </cell>
          <cell r="K539" t="str">
            <v>XFILL_PMG100%</v>
          </cell>
          <cell r="L539">
            <v>10</v>
          </cell>
          <cell r="M539" t="str">
            <v>TA+CCL100%</v>
          </cell>
          <cell r="N539" t="e">
            <v>#N/A</v>
          </cell>
          <cell r="O539" t="e">
            <v>#N/A</v>
          </cell>
          <cell r="P539">
            <v>159</v>
          </cell>
          <cell r="Q539">
            <v>0</v>
          </cell>
          <cell r="S539">
            <v>0</v>
          </cell>
          <cell r="T539">
            <v>314.041</v>
          </cell>
          <cell r="V539">
            <v>0</v>
          </cell>
          <cell r="W539" t="e">
            <v>#N/A</v>
          </cell>
          <cell r="X539" t="e">
            <v>#N/A</v>
          </cell>
          <cell r="Y539" t="e">
            <v>#N/A</v>
          </cell>
          <cell r="Z539" t="e">
            <v>#N/A</v>
          </cell>
          <cell r="AA539" t="e">
            <v>#N/A</v>
          </cell>
          <cell r="AD539">
            <v>0</v>
          </cell>
        </row>
        <row r="540">
          <cell r="A540">
            <v>46731</v>
          </cell>
          <cell r="B540" t="e">
            <v>#N/A</v>
          </cell>
          <cell r="C540"/>
          <cell r="D540" t="e">
            <v>#N/A</v>
          </cell>
          <cell r="F540">
            <v>0</v>
          </cell>
          <cell r="G540" t="e">
            <v>#N/A</v>
          </cell>
          <cell r="H540">
            <v>0</v>
          </cell>
          <cell r="I540" t="e">
            <v>#N/A</v>
          </cell>
          <cell r="J540">
            <v>18</v>
          </cell>
          <cell r="K540" t="str">
            <v>XFILL_PMG100%</v>
          </cell>
          <cell r="L540">
            <v>10</v>
          </cell>
          <cell r="M540" t="str">
            <v>TA+CCL100%</v>
          </cell>
          <cell r="N540" t="e">
            <v>#N/A</v>
          </cell>
          <cell r="O540" t="e">
            <v>#N/A</v>
          </cell>
          <cell r="P540">
            <v>159</v>
          </cell>
          <cell r="Q540">
            <v>0</v>
          </cell>
          <cell r="S540">
            <v>0</v>
          </cell>
          <cell r="T540">
            <v>314.041</v>
          </cell>
          <cell r="V540">
            <v>0</v>
          </cell>
          <cell r="W540" t="e">
            <v>#N/A</v>
          </cell>
          <cell r="X540" t="e">
            <v>#N/A</v>
          </cell>
          <cell r="Y540" t="e">
            <v>#N/A</v>
          </cell>
          <cell r="Z540" t="e">
            <v>#N/A</v>
          </cell>
          <cell r="AA540" t="e">
            <v>#N/A</v>
          </cell>
          <cell r="AD540">
            <v>0</v>
          </cell>
        </row>
        <row r="541">
          <cell r="A541">
            <v>46732</v>
          </cell>
          <cell r="B541" t="e">
            <v>#N/A</v>
          </cell>
          <cell r="C541"/>
          <cell r="D541" t="e">
            <v>#N/A</v>
          </cell>
          <cell r="F541">
            <v>0</v>
          </cell>
          <cell r="G541" t="e">
            <v>#N/A</v>
          </cell>
          <cell r="H541">
            <v>0</v>
          </cell>
          <cell r="I541" t="e">
            <v>#N/A</v>
          </cell>
          <cell r="J541">
            <v>18</v>
          </cell>
          <cell r="K541" t="str">
            <v>XFILL_PMG100%</v>
          </cell>
          <cell r="L541">
            <v>10</v>
          </cell>
          <cell r="M541" t="str">
            <v>TA+CCL100%</v>
          </cell>
          <cell r="N541" t="e">
            <v>#N/A</v>
          </cell>
          <cell r="O541" t="e">
            <v>#N/A</v>
          </cell>
          <cell r="P541">
            <v>159</v>
          </cell>
          <cell r="Q541">
            <v>0</v>
          </cell>
          <cell r="S541">
            <v>0</v>
          </cell>
          <cell r="T541">
            <v>314.041</v>
          </cell>
          <cell r="V541">
            <v>0</v>
          </cell>
          <cell r="W541" t="e">
            <v>#N/A</v>
          </cell>
          <cell r="X541" t="e">
            <v>#N/A</v>
          </cell>
          <cell r="Y541" t="e">
            <v>#N/A</v>
          </cell>
          <cell r="Z541" t="e">
            <v>#N/A</v>
          </cell>
          <cell r="AA541" t="e">
            <v>#N/A</v>
          </cell>
          <cell r="AD541">
            <v>0</v>
          </cell>
        </row>
        <row r="542">
          <cell r="A542">
            <v>46733</v>
          </cell>
          <cell r="B542" t="e">
            <v>#N/A</v>
          </cell>
          <cell r="C542"/>
          <cell r="D542" t="e">
            <v>#N/A</v>
          </cell>
          <cell r="F542">
            <v>0</v>
          </cell>
          <cell r="G542" t="e">
            <v>#N/A</v>
          </cell>
          <cell r="H542">
            <v>0</v>
          </cell>
          <cell r="I542" t="e">
            <v>#N/A</v>
          </cell>
          <cell r="J542">
            <v>18</v>
          </cell>
          <cell r="K542" t="str">
            <v>XFILL_PMG100%</v>
          </cell>
          <cell r="L542">
            <v>10</v>
          </cell>
          <cell r="M542" t="str">
            <v>TA+CCL100%</v>
          </cell>
          <cell r="N542" t="e">
            <v>#N/A</v>
          </cell>
          <cell r="O542" t="e">
            <v>#N/A</v>
          </cell>
          <cell r="P542">
            <v>159</v>
          </cell>
          <cell r="Q542">
            <v>0</v>
          </cell>
          <cell r="S542">
            <v>0</v>
          </cell>
          <cell r="T542">
            <v>314.041</v>
          </cell>
          <cell r="V542">
            <v>0</v>
          </cell>
          <cell r="W542" t="e">
            <v>#N/A</v>
          </cell>
          <cell r="X542" t="e">
            <v>#N/A</v>
          </cell>
          <cell r="Y542" t="e">
            <v>#N/A</v>
          </cell>
          <cell r="Z542" t="e">
            <v>#N/A</v>
          </cell>
          <cell r="AA542" t="e">
            <v>#N/A</v>
          </cell>
          <cell r="AD542">
            <v>0</v>
          </cell>
        </row>
        <row r="543">
          <cell r="A543">
            <v>46734</v>
          </cell>
          <cell r="B543" t="e">
            <v>#N/A</v>
          </cell>
          <cell r="C543"/>
          <cell r="D543" t="e">
            <v>#N/A</v>
          </cell>
          <cell r="F543">
            <v>0</v>
          </cell>
          <cell r="G543" t="e">
            <v>#N/A</v>
          </cell>
          <cell r="H543">
            <v>0</v>
          </cell>
          <cell r="I543" t="e">
            <v>#N/A</v>
          </cell>
          <cell r="J543">
            <v>18</v>
          </cell>
          <cell r="K543" t="str">
            <v>XFILL_PMG100%</v>
          </cell>
          <cell r="L543">
            <v>10</v>
          </cell>
          <cell r="M543" t="str">
            <v>TA+CCL100%</v>
          </cell>
          <cell r="N543" t="e">
            <v>#N/A</v>
          </cell>
          <cell r="O543" t="e">
            <v>#N/A</v>
          </cell>
          <cell r="P543">
            <v>159</v>
          </cell>
          <cell r="Q543">
            <v>0</v>
          </cell>
          <cell r="S543">
            <v>0</v>
          </cell>
          <cell r="T543">
            <v>314.041</v>
          </cell>
          <cell r="U543">
            <v>4800</v>
          </cell>
          <cell r="V543">
            <v>0</v>
          </cell>
          <cell r="W543" t="e">
            <v>#N/A</v>
          </cell>
          <cell r="X543" t="e">
            <v>#N/A</v>
          </cell>
          <cell r="Y543" t="e">
            <v>#N/A</v>
          </cell>
          <cell r="Z543" t="e">
            <v>#N/A</v>
          </cell>
          <cell r="AA543" t="e">
            <v>#N/A</v>
          </cell>
          <cell r="AD543">
            <v>0</v>
          </cell>
        </row>
        <row r="544">
          <cell r="A544">
            <v>46735</v>
          </cell>
          <cell r="B544" t="e">
            <v>#N/A</v>
          </cell>
          <cell r="C544"/>
          <cell r="D544" t="e">
            <v>#N/A</v>
          </cell>
          <cell r="F544">
            <v>0</v>
          </cell>
          <cell r="G544" t="e">
            <v>#N/A</v>
          </cell>
          <cell r="H544">
            <v>0</v>
          </cell>
          <cell r="I544" t="e">
            <v>#N/A</v>
          </cell>
          <cell r="J544">
            <v>18</v>
          </cell>
          <cell r="K544" t="str">
            <v>XFILL_PMG100%</v>
          </cell>
          <cell r="L544">
            <v>10</v>
          </cell>
          <cell r="M544" t="str">
            <v>TA+CCL100%</v>
          </cell>
          <cell r="N544" t="e">
            <v>#N/A</v>
          </cell>
          <cell r="O544" t="e">
            <v>#N/A</v>
          </cell>
          <cell r="P544">
            <v>159</v>
          </cell>
          <cell r="Q544">
            <v>0</v>
          </cell>
          <cell r="S544">
            <v>0</v>
          </cell>
          <cell r="T544">
            <v>314.041</v>
          </cell>
          <cell r="U544">
            <v>4800</v>
          </cell>
          <cell r="V544">
            <v>0</v>
          </cell>
          <cell r="W544" t="e">
            <v>#N/A</v>
          </cell>
          <cell r="X544" t="e">
            <v>#N/A</v>
          </cell>
          <cell r="Y544" t="e">
            <v>#N/A</v>
          </cell>
          <cell r="Z544" t="e">
            <v>#N/A</v>
          </cell>
          <cell r="AA544" t="e">
            <v>#N/A</v>
          </cell>
          <cell r="AD544">
            <v>0</v>
          </cell>
        </row>
        <row r="545">
          <cell r="A545">
            <v>46736</v>
          </cell>
          <cell r="B545" t="e">
            <v>#N/A</v>
          </cell>
          <cell r="C545"/>
          <cell r="D545" t="e">
            <v>#N/A</v>
          </cell>
          <cell r="F545">
            <v>0</v>
          </cell>
          <cell r="G545" t="e">
            <v>#N/A</v>
          </cell>
          <cell r="H545">
            <v>0</v>
          </cell>
          <cell r="I545" t="e">
            <v>#N/A</v>
          </cell>
          <cell r="J545">
            <v>18</v>
          </cell>
          <cell r="K545" t="str">
            <v>XFILL_PMG100%</v>
          </cell>
          <cell r="L545">
            <v>10</v>
          </cell>
          <cell r="M545" t="str">
            <v>TA+CCL100%</v>
          </cell>
          <cell r="N545" t="e">
            <v>#N/A</v>
          </cell>
          <cell r="O545" t="e">
            <v>#N/A</v>
          </cell>
          <cell r="P545">
            <v>159</v>
          </cell>
          <cell r="Q545">
            <v>0</v>
          </cell>
          <cell r="S545">
            <v>0</v>
          </cell>
          <cell r="T545">
            <v>314.041</v>
          </cell>
          <cell r="U545">
            <v>4800</v>
          </cell>
          <cell r="V545">
            <v>0</v>
          </cell>
          <cell r="W545" t="e">
            <v>#N/A</v>
          </cell>
          <cell r="X545" t="e">
            <v>#N/A</v>
          </cell>
          <cell r="Y545" t="e">
            <v>#N/A</v>
          </cell>
          <cell r="Z545" t="e">
            <v>#N/A</v>
          </cell>
          <cell r="AA545" t="e">
            <v>#N/A</v>
          </cell>
          <cell r="AD545">
            <v>0</v>
          </cell>
        </row>
        <row r="546">
          <cell r="A546">
            <v>46737</v>
          </cell>
          <cell r="B546" t="e">
            <v>#N/A</v>
          </cell>
          <cell r="C546"/>
          <cell r="D546" t="e">
            <v>#N/A</v>
          </cell>
          <cell r="F546">
            <v>0</v>
          </cell>
          <cell r="G546" t="e">
            <v>#N/A</v>
          </cell>
          <cell r="H546">
            <v>0</v>
          </cell>
          <cell r="I546" t="e">
            <v>#N/A</v>
          </cell>
          <cell r="J546">
            <v>18</v>
          </cell>
          <cell r="K546" t="str">
            <v>XFILL_PMG100%</v>
          </cell>
          <cell r="L546">
            <v>10</v>
          </cell>
          <cell r="M546" t="str">
            <v>TA+CCL100%</v>
          </cell>
          <cell r="N546" t="e">
            <v>#N/A</v>
          </cell>
          <cell r="O546" t="e">
            <v>#N/A</v>
          </cell>
          <cell r="P546">
            <v>159</v>
          </cell>
          <cell r="Q546">
            <v>0</v>
          </cell>
          <cell r="S546">
            <v>0</v>
          </cell>
          <cell r="T546">
            <v>314.041</v>
          </cell>
          <cell r="U546">
            <v>4800</v>
          </cell>
          <cell r="V546">
            <v>0</v>
          </cell>
          <cell r="W546" t="e">
            <v>#N/A</v>
          </cell>
          <cell r="X546" t="e">
            <v>#N/A</v>
          </cell>
          <cell r="Y546" t="e">
            <v>#N/A</v>
          </cell>
          <cell r="Z546" t="e">
            <v>#N/A</v>
          </cell>
          <cell r="AA546" t="e">
            <v>#N/A</v>
          </cell>
          <cell r="AD546">
            <v>0</v>
          </cell>
        </row>
        <row r="547">
          <cell r="A547">
            <v>46738</v>
          </cell>
          <cell r="B547" t="e">
            <v>#N/A</v>
          </cell>
          <cell r="C547"/>
          <cell r="D547" t="e">
            <v>#N/A</v>
          </cell>
          <cell r="F547">
            <v>0</v>
          </cell>
          <cell r="G547" t="e">
            <v>#N/A</v>
          </cell>
          <cell r="H547">
            <v>0</v>
          </cell>
          <cell r="I547" t="e">
            <v>#N/A</v>
          </cell>
          <cell r="J547">
            <v>18</v>
          </cell>
          <cell r="K547" t="str">
            <v>XFILL_PMG100%</v>
          </cell>
          <cell r="L547">
            <v>10</v>
          </cell>
          <cell r="M547" t="str">
            <v>TA+CCL100%</v>
          </cell>
          <cell r="N547" t="e">
            <v>#N/A</v>
          </cell>
          <cell r="O547" t="e">
            <v>#N/A</v>
          </cell>
          <cell r="P547">
            <v>159</v>
          </cell>
          <cell r="Q547">
            <v>0</v>
          </cell>
          <cell r="S547">
            <v>0</v>
          </cell>
          <cell r="T547">
            <v>314.041</v>
          </cell>
          <cell r="U547">
            <v>4800</v>
          </cell>
          <cell r="V547">
            <v>0</v>
          </cell>
          <cell r="W547" t="e">
            <v>#N/A</v>
          </cell>
          <cell r="X547" t="e">
            <v>#N/A</v>
          </cell>
          <cell r="Y547" t="e">
            <v>#N/A</v>
          </cell>
          <cell r="Z547" t="e">
            <v>#N/A</v>
          </cell>
          <cell r="AA547" t="e">
            <v>#N/A</v>
          </cell>
          <cell r="AD547">
            <v>0</v>
          </cell>
        </row>
        <row r="548">
          <cell r="A548">
            <v>46739</v>
          </cell>
          <cell r="B548" t="e">
            <v>#N/A</v>
          </cell>
          <cell r="C548"/>
          <cell r="D548" t="e">
            <v>#N/A</v>
          </cell>
          <cell r="F548">
            <v>0</v>
          </cell>
          <cell r="G548" t="e">
            <v>#N/A</v>
          </cell>
          <cell r="H548">
            <v>0</v>
          </cell>
          <cell r="I548" t="e">
            <v>#N/A</v>
          </cell>
          <cell r="J548">
            <v>18</v>
          </cell>
          <cell r="K548" t="str">
            <v>XFILL_PMG100%</v>
          </cell>
          <cell r="L548">
            <v>10</v>
          </cell>
          <cell r="M548" t="str">
            <v>TA+CCL100%</v>
          </cell>
          <cell r="N548" t="e">
            <v>#N/A</v>
          </cell>
          <cell r="O548" t="e">
            <v>#N/A</v>
          </cell>
          <cell r="P548">
            <v>159</v>
          </cell>
          <cell r="Q548">
            <v>0</v>
          </cell>
          <cell r="S548">
            <v>0</v>
          </cell>
          <cell r="T548">
            <v>314.041</v>
          </cell>
          <cell r="U548">
            <v>4800</v>
          </cell>
          <cell r="V548">
            <v>0</v>
          </cell>
          <cell r="W548" t="e">
            <v>#N/A</v>
          </cell>
          <cell r="X548" t="e">
            <v>#N/A</v>
          </cell>
          <cell r="Y548" t="e">
            <v>#N/A</v>
          </cell>
          <cell r="Z548" t="e">
            <v>#N/A</v>
          </cell>
          <cell r="AA548" t="e">
            <v>#N/A</v>
          </cell>
          <cell r="AD548">
            <v>0</v>
          </cell>
        </row>
        <row r="549">
          <cell r="A549">
            <v>46740</v>
          </cell>
          <cell r="B549" t="e">
            <v>#N/A</v>
          </cell>
          <cell r="C549"/>
          <cell r="D549" t="e">
            <v>#N/A</v>
          </cell>
          <cell r="F549">
            <v>0</v>
          </cell>
          <cell r="G549" t="e">
            <v>#N/A</v>
          </cell>
          <cell r="H549">
            <v>0</v>
          </cell>
          <cell r="I549" t="e">
            <v>#N/A</v>
          </cell>
          <cell r="J549">
            <v>18</v>
          </cell>
          <cell r="K549" t="str">
            <v>XFILL_PMG100%</v>
          </cell>
          <cell r="L549">
            <v>10</v>
          </cell>
          <cell r="M549" t="str">
            <v>TA+CCL100%</v>
          </cell>
          <cell r="N549" t="e">
            <v>#N/A</v>
          </cell>
          <cell r="O549" t="e">
            <v>#N/A</v>
          </cell>
          <cell r="P549">
            <v>159</v>
          </cell>
          <cell r="Q549">
            <v>0</v>
          </cell>
          <cell r="S549">
            <v>0</v>
          </cell>
          <cell r="T549">
            <v>314.041</v>
          </cell>
          <cell r="U549">
            <v>4800</v>
          </cell>
          <cell r="V549">
            <v>0</v>
          </cell>
          <cell r="W549" t="e">
            <v>#N/A</v>
          </cell>
          <cell r="X549" t="e">
            <v>#N/A</v>
          </cell>
          <cell r="Y549" t="e">
            <v>#N/A</v>
          </cell>
          <cell r="Z549" t="e">
            <v>#N/A</v>
          </cell>
          <cell r="AA549" t="e">
            <v>#N/A</v>
          </cell>
          <cell r="AD549">
            <v>0</v>
          </cell>
        </row>
        <row r="550">
          <cell r="A550">
            <v>46741</v>
          </cell>
          <cell r="B550" t="e">
            <v>#N/A</v>
          </cell>
          <cell r="C550"/>
          <cell r="D550" t="e">
            <v>#N/A</v>
          </cell>
          <cell r="F550">
            <v>0</v>
          </cell>
          <cell r="G550" t="e">
            <v>#N/A</v>
          </cell>
          <cell r="H550">
            <v>0</v>
          </cell>
          <cell r="I550" t="e">
            <v>#N/A</v>
          </cell>
          <cell r="J550">
            <v>18</v>
          </cell>
          <cell r="K550" t="str">
            <v>XFILL_PMG100%</v>
          </cell>
          <cell r="L550">
            <v>10</v>
          </cell>
          <cell r="M550" t="str">
            <v>TA+CCL100%</v>
          </cell>
          <cell r="N550" t="e">
            <v>#N/A</v>
          </cell>
          <cell r="O550" t="e">
            <v>#N/A</v>
          </cell>
          <cell r="P550">
            <v>159</v>
          </cell>
          <cell r="Q550">
            <v>0</v>
          </cell>
          <cell r="S550">
            <v>0</v>
          </cell>
          <cell r="T550">
            <v>314.041</v>
          </cell>
          <cell r="U550">
            <v>4800</v>
          </cell>
          <cell r="V550">
            <v>0</v>
          </cell>
          <cell r="W550" t="e">
            <v>#N/A</v>
          </cell>
          <cell r="X550" t="e">
            <v>#N/A</v>
          </cell>
          <cell r="Y550" t="e">
            <v>#N/A</v>
          </cell>
          <cell r="Z550" t="e">
            <v>#N/A</v>
          </cell>
          <cell r="AA550" t="e">
            <v>#N/A</v>
          </cell>
          <cell r="AD550">
            <v>0</v>
          </cell>
        </row>
        <row r="551">
          <cell r="A551">
            <v>46742</v>
          </cell>
          <cell r="B551" t="e">
            <v>#N/A</v>
          </cell>
          <cell r="C551"/>
          <cell r="D551" t="e">
            <v>#N/A</v>
          </cell>
          <cell r="F551">
            <v>0</v>
          </cell>
          <cell r="G551" t="e">
            <v>#N/A</v>
          </cell>
          <cell r="H551">
            <v>0</v>
          </cell>
          <cell r="I551" t="e">
            <v>#N/A</v>
          </cell>
          <cell r="J551">
            <v>18</v>
          </cell>
          <cell r="K551" t="str">
            <v>XFILL_PMG100%</v>
          </cell>
          <cell r="L551">
            <v>10</v>
          </cell>
          <cell r="M551" t="str">
            <v>TA+CCL100%</v>
          </cell>
          <cell r="N551" t="e">
            <v>#N/A</v>
          </cell>
          <cell r="O551" t="e">
            <v>#N/A</v>
          </cell>
          <cell r="P551">
            <v>159</v>
          </cell>
          <cell r="Q551">
            <v>0</v>
          </cell>
          <cell r="S551">
            <v>0</v>
          </cell>
          <cell r="T551">
            <v>314.041</v>
          </cell>
          <cell r="U551">
            <v>4800</v>
          </cell>
          <cell r="V551">
            <v>0</v>
          </cell>
          <cell r="W551" t="e">
            <v>#N/A</v>
          </cell>
          <cell r="X551" t="e">
            <v>#N/A</v>
          </cell>
          <cell r="Y551" t="e">
            <v>#N/A</v>
          </cell>
          <cell r="Z551" t="e">
            <v>#N/A</v>
          </cell>
          <cell r="AA551" t="e">
            <v>#N/A</v>
          </cell>
          <cell r="AD551">
            <v>0</v>
          </cell>
        </row>
        <row r="552">
          <cell r="A552">
            <v>46743</v>
          </cell>
          <cell r="B552" t="e">
            <v>#N/A</v>
          </cell>
          <cell r="C552"/>
          <cell r="D552" t="e">
            <v>#N/A</v>
          </cell>
          <cell r="F552">
            <v>0</v>
          </cell>
          <cell r="G552" t="e">
            <v>#N/A</v>
          </cell>
          <cell r="H552">
            <v>0</v>
          </cell>
          <cell r="I552" t="e">
            <v>#N/A</v>
          </cell>
          <cell r="J552">
            <v>18</v>
          </cell>
          <cell r="K552" t="str">
            <v>XFILL_PMG100%</v>
          </cell>
          <cell r="L552">
            <v>10</v>
          </cell>
          <cell r="M552" t="str">
            <v>TA+CCL100%</v>
          </cell>
          <cell r="N552" t="e">
            <v>#N/A</v>
          </cell>
          <cell r="O552" t="e">
            <v>#N/A</v>
          </cell>
          <cell r="P552">
            <v>159</v>
          </cell>
          <cell r="Q552">
            <v>0</v>
          </cell>
          <cell r="S552">
            <v>0</v>
          </cell>
          <cell r="T552">
            <v>314.041</v>
          </cell>
          <cell r="U552">
            <v>4800</v>
          </cell>
          <cell r="V552">
            <v>0</v>
          </cell>
          <cell r="W552" t="e">
            <v>#N/A</v>
          </cell>
          <cell r="X552" t="e">
            <v>#N/A</v>
          </cell>
          <cell r="Y552" t="e">
            <v>#N/A</v>
          </cell>
          <cell r="Z552" t="e">
            <v>#N/A</v>
          </cell>
          <cell r="AA552" t="e">
            <v>#N/A</v>
          </cell>
          <cell r="AD552">
            <v>0</v>
          </cell>
        </row>
        <row r="553">
          <cell r="A553">
            <v>46744</v>
          </cell>
          <cell r="B553" t="e">
            <v>#N/A</v>
          </cell>
          <cell r="C553"/>
          <cell r="D553" t="e">
            <v>#N/A</v>
          </cell>
          <cell r="F553">
            <v>0</v>
          </cell>
          <cell r="G553" t="e">
            <v>#N/A</v>
          </cell>
          <cell r="H553">
            <v>0</v>
          </cell>
          <cell r="I553" t="e">
            <v>#N/A</v>
          </cell>
          <cell r="J553">
            <v>18</v>
          </cell>
          <cell r="K553" t="str">
            <v>XFILL_PMG100%</v>
          </cell>
          <cell r="L553">
            <v>10</v>
          </cell>
          <cell r="M553" t="str">
            <v>TA+CCL100%</v>
          </cell>
          <cell r="N553" t="e">
            <v>#N/A</v>
          </cell>
          <cell r="O553" t="e">
            <v>#N/A</v>
          </cell>
          <cell r="P553">
            <v>159</v>
          </cell>
          <cell r="Q553">
            <v>0</v>
          </cell>
          <cell r="S553">
            <v>0</v>
          </cell>
          <cell r="T553">
            <v>314.041</v>
          </cell>
          <cell r="U553">
            <v>4800</v>
          </cell>
          <cell r="V553">
            <v>0</v>
          </cell>
          <cell r="W553" t="e">
            <v>#N/A</v>
          </cell>
          <cell r="X553" t="e">
            <v>#N/A</v>
          </cell>
          <cell r="Y553" t="e">
            <v>#N/A</v>
          </cell>
          <cell r="Z553" t="e">
            <v>#N/A</v>
          </cell>
          <cell r="AA553" t="e">
            <v>#N/A</v>
          </cell>
          <cell r="AD553">
            <v>0</v>
          </cell>
        </row>
        <row r="554">
          <cell r="A554">
            <v>46745</v>
          </cell>
          <cell r="B554" t="e">
            <v>#N/A</v>
          </cell>
          <cell r="C554"/>
          <cell r="D554" t="e">
            <v>#N/A</v>
          </cell>
          <cell r="F554">
            <v>0</v>
          </cell>
          <cell r="G554" t="e">
            <v>#N/A</v>
          </cell>
          <cell r="H554">
            <v>0</v>
          </cell>
          <cell r="I554" t="e">
            <v>#N/A</v>
          </cell>
          <cell r="J554">
            <v>18</v>
          </cell>
          <cell r="K554" t="str">
            <v>XFILL_PMG100%</v>
          </cell>
          <cell r="L554">
            <v>10</v>
          </cell>
          <cell r="M554" t="str">
            <v>TA+CCL100%</v>
          </cell>
          <cell r="N554" t="e">
            <v>#N/A</v>
          </cell>
          <cell r="O554" t="e">
            <v>#N/A</v>
          </cell>
          <cell r="P554">
            <v>159</v>
          </cell>
          <cell r="Q554">
            <v>0</v>
          </cell>
          <cell r="S554">
            <v>0</v>
          </cell>
          <cell r="T554">
            <v>314.041</v>
          </cell>
          <cell r="U554">
            <v>4800</v>
          </cell>
          <cell r="V554">
            <v>0</v>
          </cell>
          <cell r="W554" t="e">
            <v>#N/A</v>
          </cell>
          <cell r="X554" t="e">
            <v>#N/A</v>
          </cell>
          <cell r="Y554" t="e">
            <v>#N/A</v>
          </cell>
          <cell r="Z554" t="e">
            <v>#N/A</v>
          </cell>
          <cell r="AA554" t="e">
            <v>#N/A</v>
          </cell>
          <cell r="AD554">
            <v>0</v>
          </cell>
        </row>
        <row r="555">
          <cell r="A555">
            <v>46746</v>
          </cell>
          <cell r="B555" t="e">
            <v>#N/A</v>
          </cell>
          <cell r="C555"/>
          <cell r="D555" t="e">
            <v>#N/A</v>
          </cell>
          <cell r="F555">
            <v>0</v>
          </cell>
          <cell r="G555" t="e">
            <v>#N/A</v>
          </cell>
          <cell r="H555">
            <v>0</v>
          </cell>
          <cell r="I555" t="e">
            <v>#N/A</v>
          </cell>
          <cell r="J555">
            <v>18</v>
          </cell>
          <cell r="K555" t="str">
            <v>XFILL_PMG100%</v>
          </cell>
          <cell r="L555">
            <v>10</v>
          </cell>
          <cell r="M555" t="str">
            <v>TA+CCL100%</v>
          </cell>
          <cell r="N555" t="e">
            <v>#N/A</v>
          </cell>
          <cell r="O555" t="e">
            <v>#N/A</v>
          </cell>
          <cell r="P555">
            <v>159</v>
          </cell>
          <cell r="Q555">
            <v>0</v>
          </cell>
          <cell r="S555">
            <v>0</v>
          </cell>
          <cell r="T555">
            <v>314.041</v>
          </cell>
          <cell r="U555">
            <v>4800</v>
          </cell>
          <cell r="V555">
            <v>0</v>
          </cell>
          <cell r="W555" t="e">
            <v>#N/A</v>
          </cell>
          <cell r="X555" t="e">
            <v>#N/A</v>
          </cell>
          <cell r="Y555" t="e">
            <v>#N/A</v>
          </cell>
          <cell r="Z555" t="e">
            <v>#N/A</v>
          </cell>
          <cell r="AA555" t="e">
            <v>#N/A</v>
          </cell>
          <cell r="AD555">
            <v>0</v>
          </cell>
        </row>
        <row r="556">
          <cell r="A556">
            <v>46747</v>
          </cell>
          <cell r="B556" t="e">
            <v>#N/A</v>
          </cell>
          <cell r="C556"/>
          <cell r="D556" t="e">
            <v>#N/A</v>
          </cell>
          <cell r="F556">
            <v>0</v>
          </cell>
          <cell r="G556" t="e">
            <v>#N/A</v>
          </cell>
          <cell r="H556">
            <v>0</v>
          </cell>
          <cell r="I556" t="e">
            <v>#N/A</v>
          </cell>
          <cell r="J556">
            <v>18</v>
          </cell>
          <cell r="K556" t="str">
            <v>XFILL_PMG100%</v>
          </cell>
          <cell r="L556">
            <v>10</v>
          </cell>
          <cell r="M556" t="str">
            <v>TA+CCL100%</v>
          </cell>
          <cell r="N556" t="e">
            <v>#N/A</v>
          </cell>
          <cell r="O556" t="e">
            <v>#N/A</v>
          </cell>
          <cell r="P556">
            <v>159</v>
          </cell>
          <cell r="Q556">
            <v>0</v>
          </cell>
          <cell r="S556">
            <v>0</v>
          </cell>
          <cell r="T556">
            <v>314.041</v>
          </cell>
          <cell r="U556">
            <v>4800</v>
          </cell>
          <cell r="V556">
            <v>0</v>
          </cell>
          <cell r="W556" t="e">
            <v>#N/A</v>
          </cell>
          <cell r="X556" t="e">
            <v>#N/A</v>
          </cell>
          <cell r="Y556" t="e">
            <v>#N/A</v>
          </cell>
          <cell r="Z556" t="e">
            <v>#N/A</v>
          </cell>
          <cell r="AA556" t="e">
            <v>#N/A</v>
          </cell>
          <cell r="AD556">
            <v>0</v>
          </cell>
        </row>
        <row r="557">
          <cell r="A557">
            <v>46748</v>
          </cell>
          <cell r="B557" t="e">
            <v>#N/A</v>
          </cell>
          <cell r="C557"/>
          <cell r="D557" t="e">
            <v>#N/A</v>
          </cell>
          <cell r="F557">
            <v>0</v>
          </cell>
          <cell r="G557" t="e">
            <v>#N/A</v>
          </cell>
          <cell r="H557">
            <v>0</v>
          </cell>
          <cell r="I557" t="e">
            <v>#N/A</v>
          </cell>
          <cell r="J557">
            <v>18</v>
          </cell>
          <cell r="K557" t="str">
            <v>XFILL_PMG100%</v>
          </cell>
          <cell r="L557">
            <v>10</v>
          </cell>
          <cell r="M557" t="str">
            <v>TA+CCL100%</v>
          </cell>
          <cell r="N557" t="e">
            <v>#N/A</v>
          </cell>
          <cell r="O557" t="e">
            <v>#N/A</v>
          </cell>
          <cell r="P557">
            <v>159</v>
          </cell>
          <cell r="Q557">
            <v>0</v>
          </cell>
          <cell r="S557">
            <v>0</v>
          </cell>
          <cell r="T557">
            <v>314.041</v>
          </cell>
          <cell r="U557">
            <v>4800</v>
          </cell>
          <cell r="V557">
            <v>0</v>
          </cell>
          <cell r="W557" t="e">
            <v>#N/A</v>
          </cell>
          <cell r="X557" t="e">
            <v>#N/A</v>
          </cell>
          <cell r="Y557" t="e">
            <v>#N/A</v>
          </cell>
          <cell r="Z557" t="e">
            <v>#N/A</v>
          </cell>
          <cell r="AA557" t="e">
            <v>#N/A</v>
          </cell>
          <cell r="AD557">
            <v>0</v>
          </cell>
        </row>
        <row r="558">
          <cell r="A558">
            <v>46749</v>
          </cell>
          <cell r="B558" t="e">
            <v>#N/A</v>
          </cell>
          <cell r="C558"/>
          <cell r="D558" t="e">
            <v>#N/A</v>
          </cell>
          <cell r="F558">
            <v>0</v>
          </cell>
          <cell r="G558" t="e">
            <v>#N/A</v>
          </cell>
          <cell r="H558">
            <v>0</v>
          </cell>
          <cell r="I558" t="e">
            <v>#N/A</v>
          </cell>
          <cell r="J558">
            <v>18</v>
          </cell>
          <cell r="K558" t="str">
            <v>XFILL_PMG100%</v>
          </cell>
          <cell r="L558">
            <v>10</v>
          </cell>
          <cell r="M558" t="str">
            <v>TA+CCL100%</v>
          </cell>
          <cell r="N558" t="e">
            <v>#N/A</v>
          </cell>
          <cell r="O558" t="e">
            <v>#N/A</v>
          </cell>
          <cell r="P558">
            <v>159</v>
          </cell>
          <cell r="Q558">
            <v>0</v>
          </cell>
          <cell r="S558">
            <v>0</v>
          </cell>
          <cell r="T558">
            <v>314.041</v>
          </cell>
          <cell r="U558">
            <v>4800</v>
          </cell>
          <cell r="V558">
            <v>0</v>
          </cell>
          <cell r="W558" t="e">
            <v>#N/A</v>
          </cell>
          <cell r="X558" t="e">
            <v>#N/A</v>
          </cell>
          <cell r="Y558" t="e">
            <v>#N/A</v>
          </cell>
          <cell r="Z558" t="e">
            <v>#N/A</v>
          </cell>
          <cell r="AA558" t="e">
            <v>#N/A</v>
          </cell>
          <cell r="AD558">
            <v>0</v>
          </cell>
        </row>
        <row r="559">
          <cell r="A559">
            <v>46750</v>
          </cell>
          <cell r="B559" t="e">
            <v>#N/A</v>
          </cell>
          <cell r="C559"/>
          <cell r="D559" t="e">
            <v>#N/A</v>
          </cell>
          <cell r="F559">
            <v>0</v>
          </cell>
          <cell r="G559" t="e">
            <v>#N/A</v>
          </cell>
          <cell r="H559">
            <v>0</v>
          </cell>
          <cell r="I559" t="e">
            <v>#N/A</v>
          </cell>
          <cell r="J559">
            <v>18</v>
          </cell>
          <cell r="K559" t="str">
            <v>XFILL_PMG100%</v>
          </cell>
          <cell r="L559">
            <v>10</v>
          </cell>
          <cell r="M559" t="str">
            <v>TA+CCL100%</v>
          </cell>
          <cell r="N559" t="e">
            <v>#N/A</v>
          </cell>
          <cell r="O559" t="e">
            <v>#N/A</v>
          </cell>
          <cell r="P559">
            <v>159</v>
          </cell>
          <cell r="Q559">
            <v>0</v>
          </cell>
          <cell r="S559">
            <v>0</v>
          </cell>
          <cell r="T559">
            <v>314.041</v>
          </cell>
          <cell r="U559">
            <v>4800</v>
          </cell>
          <cell r="V559">
            <v>0</v>
          </cell>
          <cell r="W559" t="e">
            <v>#N/A</v>
          </cell>
          <cell r="X559" t="e">
            <v>#N/A</v>
          </cell>
          <cell r="Y559" t="e">
            <v>#N/A</v>
          </cell>
          <cell r="Z559" t="e">
            <v>#N/A</v>
          </cell>
          <cell r="AA559" t="e">
            <v>#N/A</v>
          </cell>
          <cell r="AD559">
            <v>0</v>
          </cell>
        </row>
        <row r="560">
          <cell r="A560">
            <v>46751</v>
          </cell>
          <cell r="B560" t="e">
            <v>#N/A</v>
          </cell>
          <cell r="C560"/>
          <cell r="D560" t="e">
            <v>#N/A</v>
          </cell>
          <cell r="F560">
            <v>0</v>
          </cell>
          <cell r="G560" t="e">
            <v>#N/A</v>
          </cell>
          <cell r="H560">
            <v>0</v>
          </cell>
          <cell r="I560" t="e">
            <v>#N/A</v>
          </cell>
          <cell r="J560">
            <v>18</v>
          </cell>
          <cell r="K560" t="str">
            <v>XFILL_PMG100%</v>
          </cell>
          <cell r="L560">
            <v>10</v>
          </cell>
          <cell r="M560" t="str">
            <v>TA+CCL100%</v>
          </cell>
          <cell r="N560" t="e">
            <v>#N/A</v>
          </cell>
          <cell r="O560" t="e">
            <v>#N/A</v>
          </cell>
          <cell r="P560">
            <v>159</v>
          </cell>
          <cell r="Q560">
            <v>0</v>
          </cell>
          <cell r="S560">
            <v>0</v>
          </cell>
          <cell r="T560">
            <v>314.041</v>
          </cell>
          <cell r="U560">
            <v>4800</v>
          </cell>
          <cell r="V560">
            <v>0</v>
          </cell>
          <cell r="W560" t="e">
            <v>#N/A</v>
          </cell>
          <cell r="X560" t="e">
            <v>#N/A</v>
          </cell>
          <cell r="Y560" t="e">
            <v>#N/A</v>
          </cell>
          <cell r="Z560" t="e">
            <v>#N/A</v>
          </cell>
          <cell r="AA560" t="e">
            <v>#N/A</v>
          </cell>
          <cell r="AD560">
            <v>0</v>
          </cell>
        </row>
        <row r="561">
          <cell r="A561">
            <v>46752</v>
          </cell>
          <cell r="B561" t="e">
            <v>#N/A</v>
          </cell>
          <cell r="C561"/>
          <cell r="D561" t="e">
            <v>#N/A</v>
          </cell>
          <cell r="F561">
            <v>0</v>
          </cell>
          <cell r="G561" t="e">
            <v>#N/A</v>
          </cell>
          <cell r="H561">
            <v>0</v>
          </cell>
          <cell r="I561" t="e">
            <v>#N/A</v>
          </cell>
          <cell r="J561">
            <v>18</v>
          </cell>
          <cell r="K561" t="str">
            <v>XFILL_PMG100%</v>
          </cell>
          <cell r="L561">
            <v>10</v>
          </cell>
          <cell r="M561" t="str">
            <v>TA+CCL100%</v>
          </cell>
          <cell r="N561" t="e">
            <v>#N/A</v>
          </cell>
          <cell r="O561" t="e">
            <v>#N/A</v>
          </cell>
          <cell r="P561">
            <v>159</v>
          </cell>
          <cell r="Q561">
            <v>0</v>
          </cell>
          <cell r="S561">
            <v>0</v>
          </cell>
          <cell r="T561">
            <v>314.041</v>
          </cell>
          <cell r="U561">
            <v>4800</v>
          </cell>
          <cell r="V561">
            <v>0</v>
          </cell>
          <cell r="W561" t="e">
            <v>#N/A</v>
          </cell>
          <cell r="X561" t="e">
            <v>#N/A</v>
          </cell>
          <cell r="Y561" t="e">
            <v>#N/A</v>
          </cell>
          <cell r="Z561" t="e">
            <v>#N/A</v>
          </cell>
          <cell r="AA561" t="e">
            <v>#N/A</v>
          </cell>
          <cell r="AD561">
            <v>0</v>
          </cell>
        </row>
        <row r="562">
          <cell r="A562">
            <v>46753</v>
          </cell>
          <cell r="B562" t="e">
            <v>#N/A</v>
          </cell>
          <cell r="C562"/>
          <cell r="D562" t="e">
            <v>#N/A</v>
          </cell>
          <cell r="F562">
            <v>0</v>
          </cell>
          <cell r="G562" t="e">
            <v>#N/A</v>
          </cell>
          <cell r="H562">
            <v>0</v>
          </cell>
          <cell r="I562" t="e">
            <v>#N/A</v>
          </cell>
          <cell r="J562">
            <v>18</v>
          </cell>
          <cell r="K562" t="str">
            <v>XFILL_PMG100%</v>
          </cell>
          <cell r="L562">
            <v>10</v>
          </cell>
          <cell r="M562" t="str">
            <v>TA+CCL100%</v>
          </cell>
          <cell r="N562" t="e">
            <v>#N/A</v>
          </cell>
          <cell r="O562" t="e">
            <v>#N/A</v>
          </cell>
          <cell r="P562">
            <v>159</v>
          </cell>
          <cell r="Q562">
            <v>0</v>
          </cell>
          <cell r="S562">
            <v>0</v>
          </cell>
          <cell r="T562">
            <v>314.041</v>
          </cell>
          <cell r="U562">
            <v>4800</v>
          </cell>
          <cell r="V562">
            <v>0</v>
          </cell>
          <cell r="W562" t="e">
            <v>#N/A</v>
          </cell>
          <cell r="X562" t="e">
            <v>#N/A</v>
          </cell>
          <cell r="Y562" t="e">
            <v>#N/A</v>
          </cell>
          <cell r="Z562" t="e">
            <v>#N/A</v>
          </cell>
          <cell r="AA562" t="e">
            <v>#N/A</v>
          </cell>
          <cell r="AD562">
            <v>0</v>
          </cell>
        </row>
        <row r="563">
          <cell r="A563">
            <v>46754</v>
          </cell>
          <cell r="B563" t="e">
            <v>#N/A</v>
          </cell>
          <cell r="C563"/>
          <cell r="D563" t="e">
            <v>#N/A</v>
          </cell>
          <cell r="F563">
            <v>0</v>
          </cell>
          <cell r="G563" t="e">
            <v>#N/A</v>
          </cell>
          <cell r="H563">
            <v>0</v>
          </cell>
          <cell r="I563" t="e">
            <v>#N/A</v>
          </cell>
          <cell r="J563">
            <v>18</v>
          </cell>
          <cell r="K563" t="str">
            <v>XFILL_PMG100%</v>
          </cell>
          <cell r="L563">
            <v>10</v>
          </cell>
          <cell r="M563" t="str">
            <v>TA+CCL100%</v>
          </cell>
          <cell r="N563" t="e">
            <v>#N/A</v>
          </cell>
          <cell r="O563" t="e">
            <v>#N/A</v>
          </cell>
          <cell r="P563">
            <v>159</v>
          </cell>
          <cell r="Q563">
            <v>0</v>
          </cell>
          <cell r="S563">
            <v>0</v>
          </cell>
          <cell r="T563">
            <v>314.041</v>
          </cell>
          <cell r="U563">
            <v>4800</v>
          </cell>
          <cell r="V563">
            <v>0</v>
          </cell>
          <cell r="W563" t="e">
            <v>#N/A</v>
          </cell>
          <cell r="X563" t="e">
            <v>#N/A</v>
          </cell>
          <cell r="Y563" t="e">
            <v>#N/A</v>
          </cell>
          <cell r="Z563" t="e">
            <v>#N/A</v>
          </cell>
          <cell r="AA563" t="e">
            <v>#N/A</v>
          </cell>
          <cell r="AD563">
            <v>0</v>
          </cell>
        </row>
        <row r="564">
          <cell r="A564">
            <v>46755</v>
          </cell>
          <cell r="B564" t="e">
            <v>#N/A</v>
          </cell>
          <cell r="C564"/>
          <cell r="D564" t="e">
            <v>#N/A</v>
          </cell>
          <cell r="F564">
            <v>0</v>
          </cell>
          <cell r="G564" t="e">
            <v>#N/A</v>
          </cell>
          <cell r="H564">
            <v>0</v>
          </cell>
          <cell r="I564" t="e">
            <v>#N/A</v>
          </cell>
          <cell r="J564">
            <v>18</v>
          </cell>
          <cell r="K564" t="str">
            <v>XFILL_PMG100%</v>
          </cell>
          <cell r="L564">
            <v>10</v>
          </cell>
          <cell r="M564" t="str">
            <v>TA+CCL100%</v>
          </cell>
          <cell r="N564" t="e">
            <v>#N/A</v>
          </cell>
          <cell r="O564" t="e">
            <v>#N/A</v>
          </cell>
          <cell r="P564">
            <v>159</v>
          </cell>
          <cell r="Q564">
            <v>0</v>
          </cell>
          <cell r="S564">
            <v>0</v>
          </cell>
          <cell r="T564">
            <v>314.041</v>
          </cell>
          <cell r="U564">
            <v>4800</v>
          </cell>
          <cell r="V564">
            <v>0</v>
          </cell>
          <cell r="W564" t="e">
            <v>#N/A</v>
          </cell>
          <cell r="X564" t="e">
            <v>#N/A</v>
          </cell>
          <cell r="Y564" t="e">
            <v>#N/A</v>
          </cell>
          <cell r="Z564" t="e">
            <v>#N/A</v>
          </cell>
          <cell r="AA564" t="e">
            <v>#N/A</v>
          </cell>
          <cell r="AD564">
            <v>0</v>
          </cell>
        </row>
        <row r="565">
          <cell r="A565">
            <v>46756</v>
          </cell>
          <cell r="B565" t="e">
            <v>#N/A</v>
          </cell>
          <cell r="C565"/>
          <cell r="D565" t="e">
            <v>#N/A</v>
          </cell>
          <cell r="F565">
            <v>0</v>
          </cell>
          <cell r="G565" t="e">
            <v>#N/A</v>
          </cell>
          <cell r="H565">
            <v>0</v>
          </cell>
          <cell r="I565" t="e">
            <v>#N/A</v>
          </cell>
          <cell r="J565">
            <v>18</v>
          </cell>
          <cell r="K565" t="str">
            <v>XFILL_PMG100%</v>
          </cell>
          <cell r="L565">
            <v>10</v>
          </cell>
          <cell r="M565" t="str">
            <v>TA+CCL100%</v>
          </cell>
          <cell r="N565" t="e">
            <v>#N/A</v>
          </cell>
          <cell r="O565" t="e">
            <v>#N/A</v>
          </cell>
          <cell r="P565">
            <v>159</v>
          </cell>
          <cell r="Q565">
            <v>0</v>
          </cell>
          <cell r="S565">
            <v>0</v>
          </cell>
          <cell r="T565">
            <v>314.041</v>
          </cell>
          <cell r="U565">
            <v>4800</v>
          </cell>
          <cell r="V565">
            <v>0</v>
          </cell>
          <cell r="W565" t="e">
            <v>#N/A</v>
          </cell>
          <cell r="X565" t="e">
            <v>#N/A</v>
          </cell>
          <cell r="Y565" t="e">
            <v>#N/A</v>
          </cell>
          <cell r="Z565" t="e">
            <v>#N/A</v>
          </cell>
          <cell r="AA565" t="e">
            <v>#N/A</v>
          </cell>
          <cell r="AD565">
            <v>0</v>
          </cell>
        </row>
        <row r="566">
          <cell r="A566">
            <v>46757</v>
          </cell>
          <cell r="B566" t="e">
            <v>#N/A</v>
          </cell>
          <cell r="C566"/>
          <cell r="D566" t="e">
            <v>#N/A</v>
          </cell>
          <cell r="F566">
            <v>0</v>
          </cell>
          <cell r="G566" t="e">
            <v>#N/A</v>
          </cell>
          <cell r="H566">
            <v>0</v>
          </cell>
          <cell r="I566" t="e">
            <v>#N/A</v>
          </cell>
          <cell r="J566">
            <v>18</v>
          </cell>
          <cell r="K566" t="str">
            <v>XFILL_PMG100%</v>
          </cell>
          <cell r="L566">
            <v>10</v>
          </cell>
          <cell r="M566" t="str">
            <v>TA+CCL100%</v>
          </cell>
          <cell r="N566" t="e">
            <v>#N/A</v>
          </cell>
          <cell r="O566" t="e">
            <v>#N/A</v>
          </cell>
          <cell r="P566">
            <v>159</v>
          </cell>
          <cell r="Q566">
            <v>0</v>
          </cell>
          <cell r="S566">
            <v>0</v>
          </cell>
          <cell r="T566">
            <v>314.041</v>
          </cell>
          <cell r="U566">
            <v>4800</v>
          </cell>
          <cell r="V566">
            <v>0</v>
          </cell>
          <cell r="W566" t="e">
            <v>#N/A</v>
          </cell>
          <cell r="X566" t="e">
            <v>#N/A</v>
          </cell>
          <cell r="Y566" t="e">
            <v>#N/A</v>
          </cell>
          <cell r="Z566" t="e">
            <v>#N/A</v>
          </cell>
          <cell r="AA566" t="e">
            <v>#N/A</v>
          </cell>
          <cell r="AD566">
            <v>0</v>
          </cell>
        </row>
        <row r="567">
          <cell r="A567">
            <v>46758</v>
          </cell>
          <cell r="B567" t="e">
            <v>#N/A</v>
          </cell>
          <cell r="C567"/>
          <cell r="D567" t="e">
            <v>#N/A</v>
          </cell>
          <cell r="F567">
            <v>0</v>
          </cell>
          <cell r="G567" t="e">
            <v>#N/A</v>
          </cell>
          <cell r="H567">
            <v>0</v>
          </cell>
          <cell r="I567" t="e">
            <v>#N/A</v>
          </cell>
          <cell r="J567">
            <v>18</v>
          </cell>
          <cell r="K567" t="str">
            <v>XFILL_PMG100%</v>
          </cell>
          <cell r="L567">
            <v>10</v>
          </cell>
          <cell r="M567" t="str">
            <v>TA+CCL100%</v>
          </cell>
          <cell r="N567" t="e">
            <v>#N/A</v>
          </cell>
          <cell r="O567" t="e">
            <v>#N/A</v>
          </cell>
          <cell r="P567">
            <v>159</v>
          </cell>
          <cell r="Q567">
            <v>0</v>
          </cell>
          <cell r="S567">
            <v>0</v>
          </cell>
          <cell r="T567">
            <v>314.041</v>
          </cell>
          <cell r="U567">
            <v>4800</v>
          </cell>
          <cell r="V567">
            <v>0</v>
          </cell>
          <cell r="W567" t="e">
            <v>#N/A</v>
          </cell>
          <cell r="X567" t="e">
            <v>#N/A</v>
          </cell>
          <cell r="Y567" t="e">
            <v>#N/A</v>
          </cell>
          <cell r="Z567" t="e">
            <v>#N/A</v>
          </cell>
          <cell r="AA567" t="e">
            <v>#N/A</v>
          </cell>
          <cell r="AD567">
            <v>0</v>
          </cell>
        </row>
        <row r="568">
          <cell r="A568">
            <v>46759</v>
          </cell>
          <cell r="B568" t="e">
            <v>#N/A</v>
          </cell>
          <cell r="C568"/>
          <cell r="D568" t="e">
            <v>#N/A</v>
          </cell>
          <cell r="F568">
            <v>0</v>
          </cell>
          <cell r="G568" t="e">
            <v>#N/A</v>
          </cell>
          <cell r="H568">
            <v>0</v>
          </cell>
          <cell r="I568" t="e">
            <v>#N/A</v>
          </cell>
          <cell r="J568">
            <v>18</v>
          </cell>
          <cell r="K568" t="str">
            <v>XFILL_PMG100%</v>
          </cell>
          <cell r="L568">
            <v>10</v>
          </cell>
          <cell r="M568" t="str">
            <v>TA+CCL100%</v>
          </cell>
          <cell r="N568" t="e">
            <v>#N/A</v>
          </cell>
          <cell r="O568" t="e">
            <v>#N/A</v>
          </cell>
          <cell r="P568">
            <v>159</v>
          </cell>
          <cell r="Q568">
            <v>0</v>
          </cell>
          <cell r="S568">
            <v>0</v>
          </cell>
          <cell r="T568">
            <v>314.041</v>
          </cell>
          <cell r="U568">
            <v>4800</v>
          </cell>
          <cell r="V568">
            <v>0</v>
          </cell>
          <cell r="W568" t="e">
            <v>#N/A</v>
          </cell>
          <cell r="X568" t="e">
            <v>#N/A</v>
          </cell>
          <cell r="Y568" t="e">
            <v>#N/A</v>
          </cell>
          <cell r="Z568" t="e">
            <v>#N/A</v>
          </cell>
          <cell r="AA568" t="e">
            <v>#N/A</v>
          </cell>
          <cell r="AD568">
            <v>0</v>
          </cell>
        </row>
        <row r="569">
          <cell r="A569">
            <v>46760</v>
          </cell>
          <cell r="B569" t="e">
            <v>#N/A</v>
          </cell>
          <cell r="C569"/>
          <cell r="D569" t="e">
            <v>#N/A</v>
          </cell>
          <cell r="F569">
            <v>0</v>
          </cell>
          <cell r="G569" t="e">
            <v>#N/A</v>
          </cell>
          <cell r="H569">
            <v>0</v>
          </cell>
          <cell r="I569" t="e">
            <v>#N/A</v>
          </cell>
          <cell r="J569">
            <v>18</v>
          </cell>
          <cell r="K569" t="str">
            <v>XFILL_PMG100%</v>
          </cell>
          <cell r="L569">
            <v>10</v>
          </cell>
          <cell r="M569" t="str">
            <v>TA+CCL100%</v>
          </cell>
          <cell r="N569" t="e">
            <v>#N/A</v>
          </cell>
          <cell r="O569" t="e">
            <v>#N/A</v>
          </cell>
          <cell r="P569">
            <v>159</v>
          </cell>
          <cell r="Q569">
            <v>0</v>
          </cell>
          <cell r="S569">
            <v>0</v>
          </cell>
          <cell r="T569">
            <v>314.041</v>
          </cell>
          <cell r="U569">
            <v>4800</v>
          </cell>
          <cell r="V569">
            <v>0</v>
          </cell>
          <cell r="W569" t="e">
            <v>#N/A</v>
          </cell>
          <cell r="X569" t="e">
            <v>#N/A</v>
          </cell>
          <cell r="Y569" t="e">
            <v>#N/A</v>
          </cell>
          <cell r="Z569" t="e">
            <v>#N/A</v>
          </cell>
          <cell r="AA569" t="e">
            <v>#N/A</v>
          </cell>
          <cell r="AD569">
            <v>0</v>
          </cell>
        </row>
        <row r="570">
          <cell r="A570">
            <v>46761</v>
          </cell>
          <cell r="B570" t="e">
            <v>#N/A</v>
          </cell>
          <cell r="C570"/>
          <cell r="D570" t="e">
            <v>#N/A</v>
          </cell>
          <cell r="F570">
            <v>0</v>
          </cell>
          <cell r="G570" t="e">
            <v>#N/A</v>
          </cell>
          <cell r="H570">
            <v>0</v>
          </cell>
          <cell r="I570" t="e">
            <v>#N/A</v>
          </cell>
          <cell r="J570">
            <v>18</v>
          </cell>
          <cell r="K570" t="str">
            <v>XFILL_PMG100%</v>
          </cell>
          <cell r="L570">
            <v>10</v>
          </cell>
          <cell r="M570" t="str">
            <v>TA+CCL100%</v>
          </cell>
          <cell r="N570" t="e">
            <v>#N/A</v>
          </cell>
          <cell r="O570" t="e">
            <v>#N/A</v>
          </cell>
          <cell r="P570">
            <v>159</v>
          </cell>
          <cell r="Q570">
            <v>0</v>
          </cell>
          <cell r="S570">
            <v>0</v>
          </cell>
          <cell r="T570">
            <v>314.041</v>
          </cell>
          <cell r="U570">
            <v>4800</v>
          </cell>
          <cell r="V570">
            <v>0</v>
          </cell>
          <cell r="W570" t="e">
            <v>#N/A</v>
          </cell>
          <cell r="X570" t="e">
            <v>#N/A</v>
          </cell>
          <cell r="Y570" t="e">
            <v>#N/A</v>
          </cell>
          <cell r="Z570" t="e">
            <v>#N/A</v>
          </cell>
          <cell r="AA570" t="e">
            <v>#N/A</v>
          </cell>
          <cell r="AD570">
            <v>0</v>
          </cell>
        </row>
        <row r="571">
          <cell r="A571">
            <v>46762</v>
          </cell>
          <cell r="B571" t="e">
            <v>#N/A</v>
          </cell>
          <cell r="C571"/>
          <cell r="D571" t="e">
            <v>#N/A</v>
          </cell>
          <cell r="F571">
            <v>0</v>
          </cell>
          <cell r="G571" t="e">
            <v>#N/A</v>
          </cell>
          <cell r="H571">
            <v>0</v>
          </cell>
          <cell r="I571" t="e">
            <v>#N/A</v>
          </cell>
          <cell r="J571">
            <v>18</v>
          </cell>
          <cell r="K571" t="str">
            <v>XFILL_PMG100%</v>
          </cell>
          <cell r="L571">
            <v>10</v>
          </cell>
          <cell r="M571" t="str">
            <v>TA+CCL100%</v>
          </cell>
          <cell r="N571" t="e">
            <v>#N/A</v>
          </cell>
          <cell r="O571" t="e">
            <v>#N/A</v>
          </cell>
          <cell r="P571">
            <v>159</v>
          </cell>
          <cell r="Q571">
            <v>0</v>
          </cell>
          <cell r="S571">
            <v>0</v>
          </cell>
          <cell r="T571">
            <v>314.041</v>
          </cell>
          <cell r="U571">
            <v>4800</v>
          </cell>
          <cell r="V571">
            <v>1</v>
          </cell>
          <cell r="W571" t="e">
            <v>#N/A</v>
          </cell>
          <cell r="X571" t="e">
            <v>#N/A</v>
          </cell>
          <cell r="Y571" t="e">
            <v>#N/A</v>
          </cell>
          <cell r="Z571" t="e">
            <v>#N/A</v>
          </cell>
          <cell r="AA571" t="e">
            <v>#N/A</v>
          </cell>
          <cell r="AD571">
            <v>0</v>
          </cell>
        </row>
        <row r="572">
          <cell r="A572">
            <v>46763</v>
          </cell>
          <cell r="B572" t="e">
            <v>#N/A</v>
          </cell>
          <cell r="C572"/>
          <cell r="D572" t="e">
            <v>#N/A</v>
          </cell>
          <cell r="F572">
            <v>0</v>
          </cell>
          <cell r="G572" t="e">
            <v>#N/A</v>
          </cell>
          <cell r="H572">
            <v>0</v>
          </cell>
          <cell r="I572" t="e">
            <v>#N/A</v>
          </cell>
          <cell r="J572">
            <v>18</v>
          </cell>
          <cell r="K572" t="str">
            <v>XFILL_PMG100%</v>
          </cell>
          <cell r="L572">
            <v>10</v>
          </cell>
          <cell r="M572" t="str">
            <v>TA+CCL100%</v>
          </cell>
          <cell r="N572" t="e">
            <v>#N/A</v>
          </cell>
          <cell r="O572" t="e">
            <v>#N/A</v>
          </cell>
          <cell r="P572">
            <v>159</v>
          </cell>
          <cell r="Q572">
            <v>0</v>
          </cell>
          <cell r="S572">
            <v>0</v>
          </cell>
          <cell r="T572">
            <v>314.041</v>
          </cell>
          <cell r="U572">
            <v>4800</v>
          </cell>
          <cell r="V572">
            <v>2</v>
          </cell>
          <cell r="W572" t="e">
            <v>#N/A</v>
          </cell>
          <cell r="X572" t="e">
            <v>#N/A</v>
          </cell>
          <cell r="Y572" t="e">
            <v>#N/A</v>
          </cell>
          <cell r="Z572" t="e">
            <v>#N/A</v>
          </cell>
          <cell r="AA572" t="e">
            <v>#N/A</v>
          </cell>
          <cell r="AD572">
            <v>0</v>
          </cell>
        </row>
        <row r="573">
          <cell r="A573">
            <v>46764</v>
          </cell>
          <cell r="B573" t="e">
            <v>#N/A</v>
          </cell>
          <cell r="C573"/>
          <cell r="D573" t="e">
            <v>#N/A</v>
          </cell>
          <cell r="F573">
            <v>0</v>
          </cell>
          <cell r="G573" t="e">
            <v>#N/A</v>
          </cell>
          <cell r="H573">
            <v>0</v>
          </cell>
          <cell r="I573" t="e">
            <v>#N/A</v>
          </cell>
          <cell r="J573">
            <v>18</v>
          </cell>
          <cell r="K573" t="str">
            <v>XFILL_PMG100%</v>
          </cell>
          <cell r="L573">
            <v>10</v>
          </cell>
          <cell r="M573" t="str">
            <v>TA+CCL100%</v>
          </cell>
          <cell r="N573" t="e">
            <v>#N/A</v>
          </cell>
          <cell r="O573" t="e">
            <v>#N/A</v>
          </cell>
          <cell r="P573">
            <v>159</v>
          </cell>
          <cell r="Q573">
            <v>0</v>
          </cell>
          <cell r="S573">
            <v>0</v>
          </cell>
          <cell r="T573">
            <v>314.041</v>
          </cell>
          <cell r="U573">
            <v>4800</v>
          </cell>
          <cell r="V573">
            <v>8</v>
          </cell>
          <cell r="W573" t="e">
            <v>#N/A</v>
          </cell>
          <cell r="X573" t="e">
            <v>#N/A</v>
          </cell>
          <cell r="Y573" t="e">
            <v>#N/A</v>
          </cell>
          <cell r="Z573" t="e">
            <v>#N/A</v>
          </cell>
          <cell r="AA573" t="e">
            <v>#N/A</v>
          </cell>
          <cell r="AD573">
            <v>0</v>
          </cell>
        </row>
        <row r="574">
          <cell r="A574">
            <v>46765</v>
          </cell>
          <cell r="B574" t="e">
            <v>#N/A</v>
          </cell>
          <cell r="C574"/>
          <cell r="D574" t="e">
            <v>#N/A</v>
          </cell>
          <cell r="F574">
            <v>0</v>
          </cell>
          <cell r="G574" t="e">
            <v>#N/A</v>
          </cell>
          <cell r="H574">
            <v>0</v>
          </cell>
          <cell r="I574" t="e">
            <v>#N/A</v>
          </cell>
          <cell r="J574">
            <v>18</v>
          </cell>
          <cell r="K574" t="str">
            <v>XFILL_PMG100%</v>
          </cell>
          <cell r="L574">
            <v>10</v>
          </cell>
          <cell r="M574" t="str">
            <v>TA+CCL100%</v>
          </cell>
          <cell r="N574" t="e">
            <v>#N/A</v>
          </cell>
          <cell r="O574" t="e">
            <v>#N/A</v>
          </cell>
          <cell r="P574">
            <v>159</v>
          </cell>
          <cell r="Q574">
            <v>0</v>
          </cell>
          <cell r="S574">
            <v>0</v>
          </cell>
          <cell r="T574">
            <v>314.041</v>
          </cell>
          <cell r="U574">
            <v>4800</v>
          </cell>
          <cell r="V574">
            <v>4</v>
          </cell>
          <cell r="W574" t="e">
            <v>#N/A</v>
          </cell>
          <cell r="X574" t="e">
            <v>#N/A</v>
          </cell>
          <cell r="Y574" t="e">
            <v>#N/A</v>
          </cell>
          <cell r="Z574" t="e">
            <v>#N/A</v>
          </cell>
          <cell r="AA574" t="e">
            <v>#N/A</v>
          </cell>
          <cell r="AD574">
            <v>0</v>
          </cell>
        </row>
        <row r="575">
          <cell r="A575">
            <v>46766</v>
          </cell>
          <cell r="B575" t="e">
            <v>#N/A</v>
          </cell>
          <cell r="C575"/>
          <cell r="D575" t="e">
            <v>#N/A</v>
          </cell>
          <cell r="F575">
            <v>0</v>
          </cell>
          <cell r="G575" t="e">
            <v>#N/A</v>
          </cell>
          <cell r="H575">
            <v>0</v>
          </cell>
          <cell r="I575" t="e">
            <v>#N/A</v>
          </cell>
          <cell r="J575">
            <v>18</v>
          </cell>
          <cell r="K575" t="str">
            <v>XFILL_PMG100%</v>
          </cell>
          <cell r="L575">
            <v>10</v>
          </cell>
          <cell r="M575" t="str">
            <v>TA+CCL100%</v>
          </cell>
          <cell r="N575" t="e">
            <v>#N/A</v>
          </cell>
          <cell r="O575" t="e">
            <v>#N/A</v>
          </cell>
          <cell r="P575">
            <v>159</v>
          </cell>
          <cell r="Q575">
            <v>0</v>
          </cell>
          <cell r="S575">
            <v>0</v>
          </cell>
          <cell r="T575">
            <v>314.041</v>
          </cell>
          <cell r="U575">
            <v>4800</v>
          </cell>
          <cell r="V575">
            <v>0</v>
          </cell>
          <cell r="W575" t="e">
            <v>#N/A</v>
          </cell>
          <cell r="X575" t="e">
            <v>#N/A</v>
          </cell>
          <cell r="Y575" t="e">
            <v>#N/A</v>
          </cell>
          <cell r="Z575" t="e">
            <v>#N/A</v>
          </cell>
          <cell r="AA575" t="e">
            <v>#N/A</v>
          </cell>
          <cell r="AD575">
            <v>0</v>
          </cell>
        </row>
        <row r="576">
          <cell r="A576">
            <v>46767</v>
          </cell>
          <cell r="B576" t="e">
            <v>#N/A</v>
          </cell>
          <cell r="C576"/>
          <cell r="D576" t="e">
            <v>#N/A</v>
          </cell>
          <cell r="F576">
            <v>0</v>
          </cell>
          <cell r="G576" t="e">
            <v>#N/A</v>
          </cell>
          <cell r="H576">
            <v>0</v>
          </cell>
          <cell r="I576" t="e">
            <v>#N/A</v>
          </cell>
          <cell r="J576">
            <v>18</v>
          </cell>
          <cell r="K576" t="str">
            <v>XFILL_PMG100%</v>
          </cell>
          <cell r="L576">
            <v>10</v>
          </cell>
          <cell r="M576" t="str">
            <v>TA+CCL100%</v>
          </cell>
          <cell r="N576" t="e">
            <v>#N/A</v>
          </cell>
          <cell r="O576" t="e">
            <v>#N/A</v>
          </cell>
          <cell r="P576">
            <v>159</v>
          </cell>
          <cell r="Q576">
            <v>0</v>
          </cell>
          <cell r="S576">
            <v>0</v>
          </cell>
          <cell r="T576">
            <v>314.041</v>
          </cell>
          <cell r="U576">
            <v>4800</v>
          </cell>
          <cell r="V576">
            <v>0</v>
          </cell>
          <cell r="W576" t="e">
            <v>#N/A</v>
          </cell>
          <cell r="X576" t="e">
            <v>#N/A</v>
          </cell>
          <cell r="Y576" t="e">
            <v>#N/A</v>
          </cell>
          <cell r="Z576" t="e">
            <v>#N/A</v>
          </cell>
          <cell r="AA576" t="e">
            <v>#N/A</v>
          </cell>
          <cell r="AD576">
            <v>0</v>
          </cell>
        </row>
        <row r="577">
          <cell r="A577">
            <v>46768</v>
          </cell>
          <cell r="B577" t="e">
            <v>#N/A</v>
          </cell>
          <cell r="C577"/>
          <cell r="D577" t="e">
            <v>#N/A</v>
          </cell>
          <cell r="F577">
            <v>0</v>
          </cell>
          <cell r="G577" t="e">
            <v>#N/A</v>
          </cell>
          <cell r="H577">
            <v>0</v>
          </cell>
          <cell r="I577" t="e">
            <v>#N/A</v>
          </cell>
          <cell r="J577">
            <v>18</v>
          </cell>
          <cell r="K577" t="str">
            <v>XFILL_PMG100%</v>
          </cell>
          <cell r="L577">
            <v>10</v>
          </cell>
          <cell r="M577" t="str">
            <v>TA+CCL100%</v>
          </cell>
          <cell r="N577" t="e">
            <v>#N/A</v>
          </cell>
          <cell r="O577" t="e">
            <v>#N/A</v>
          </cell>
          <cell r="P577">
            <v>159</v>
          </cell>
          <cell r="Q577">
            <v>0</v>
          </cell>
          <cell r="S577">
            <v>0</v>
          </cell>
          <cell r="T577">
            <v>314.041</v>
          </cell>
          <cell r="U577">
            <v>4800</v>
          </cell>
          <cell r="V577">
            <v>0</v>
          </cell>
          <cell r="W577" t="e">
            <v>#N/A</v>
          </cell>
          <cell r="X577" t="e">
            <v>#N/A</v>
          </cell>
          <cell r="Y577" t="e">
            <v>#N/A</v>
          </cell>
          <cell r="Z577" t="e">
            <v>#N/A</v>
          </cell>
          <cell r="AA577" t="e">
            <v>#N/A</v>
          </cell>
          <cell r="AD577">
            <v>0</v>
          </cell>
        </row>
        <row r="578">
          <cell r="A578">
            <v>46769</v>
          </cell>
          <cell r="B578" t="e">
            <v>#N/A</v>
          </cell>
          <cell r="C578"/>
          <cell r="D578" t="e">
            <v>#N/A</v>
          </cell>
          <cell r="F578">
            <v>0</v>
          </cell>
          <cell r="G578" t="e">
            <v>#N/A</v>
          </cell>
          <cell r="H578">
            <v>0</v>
          </cell>
          <cell r="I578" t="e">
            <v>#N/A</v>
          </cell>
          <cell r="J578">
            <v>18</v>
          </cell>
          <cell r="K578" t="str">
            <v>XFILL_PMG100%</v>
          </cell>
          <cell r="L578">
            <v>10</v>
          </cell>
          <cell r="M578" t="str">
            <v>TA+CCL100%</v>
          </cell>
          <cell r="N578" t="e">
            <v>#N/A</v>
          </cell>
          <cell r="O578" t="e">
            <v>#N/A</v>
          </cell>
          <cell r="P578">
            <v>159</v>
          </cell>
          <cell r="Q578">
            <v>0</v>
          </cell>
          <cell r="S578">
            <v>0</v>
          </cell>
          <cell r="T578">
            <v>314.041</v>
          </cell>
          <cell r="U578">
            <v>4800</v>
          </cell>
          <cell r="V578">
            <v>0</v>
          </cell>
          <cell r="W578" t="e">
            <v>#N/A</v>
          </cell>
          <cell r="X578" t="e">
            <v>#N/A</v>
          </cell>
          <cell r="Y578" t="e">
            <v>#N/A</v>
          </cell>
          <cell r="Z578" t="e">
            <v>#N/A</v>
          </cell>
          <cell r="AA578" t="e">
            <v>#N/A</v>
          </cell>
          <cell r="AD578">
            <v>0</v>
          </cell>
        </row>
        <row r="579">
          <cell r="A579">
            <v>46770</v>
          </cell>
          <cell r="B579" t="e">
            <v>#N/A</v>
          </cell>
          <cell r="C579"/>
          <cell r="D579" t="e">
            <v>#N/A</v>
          </cell>
          <cell r="F579">
            <v>0</v>
          </cell>
          <cell r="G579" t="e">
            <v>#N/A</v>
          </cell>
          <cell r="H579">
            <v>0</v>
          </cell>
          <cell r="I579" t="e">
            <v>#N/A</v>
          </cell>
          <cell r="J579">
            <v>18</v>
          </cell>
          <cell r="K579" t="str">
            <v>XFILL_PMG100%</v>
          </cell>
          <cell r="L579">
            <v>10</v>
          </cell>
          <cell r="M579" t="str">
            <v>TA+CCL100%</v>
          </cell>
          <cell r="N579" t="e">
            <v>#N/A</v>
          </cell>
          <cell r="O579" t="e">
            <v>#N/A</v>
          </cell>
          <cell r="P579">
            <v>159</v>
          </cell>
          <cell r="Q579">
            <v>0</v>
          </cell>
          <cell r="S579">
            <v>0</v>
          </cell>
          <cell r="T579">
            <v>314.041</v>
          </cell>
          <cell r="U579">
            <v>4800</v>
          </cell>
          <cell r="V579">
            <v>0</v>
          </cell>
          <cell r="W579" t="e">
            <v>#N/A</v>
          </cell>
          <cell r="X579" t="e">
            <v>#N/A</v>
          </cell>
          <cell r="Y579" t="e">
            <v>#N/A</v>
          </cell>
          <cell r="Z579" t="e">
            <v>#N/A</v>
          </cell>
          <cell r="AA579" t="e">
            <v>#N/A</v>
          </cell>
          <cell r="AD579">
            <v>0</v>
          </cell>
        </row>
        <row r="580">
          <cell r="A580">
            <v>46771</v>
          </cell>
          <cell r="B580" t="e">
            <v>#N/A</v>
          </cell>
          <cell r="C580"/>
          <cell r="D580" t="e">
            <v>#N/A</v>
          </cell>
          <cell r="F580">
            <v>0</v>
          </cell>
          <cell r="G580" t="e">
            <v>#N/A</v>
          </cell>
          <cell r="H580">
            <v>0</v>
          </cell>
          <cell r="I580" t="e">
            <v>#N/A</v>
          </cell>
          <cell r="J580">
            <v>18</v>
          </cell>
          <cell r="K580" t="str">
            <v>XFILL_PMG100%</v>
          </cell>
          <cell r="L580">
            <v>10</v>
          </cell>
          <cell r="M580" t="str">
            <v>TA+CCL100%</v>
          </cell>
          <cell r="N580" t="e">
            <v>#N/A</v>
          </cell>
          <cell r="O580" t="e">
            <v>#N/A</v>
          </cell>
          <cell r="P580">
            <v>159</v>
          </cell>
          <cell r="Q580">
            <v>0</v>
          </cell>
          <cell r="S580">
            <v>0</v>
          </cell>
          <cell r="T580">
            <v>314.041</v>
          </cell>
          <cell r="U580">
            <v>4800</v>
          </cell>
          <cell r="V580">
            <v>0</v>
          </cell>
          <cell r="W580" t="e">
            <v>#N/A</v>
          </cell>
          <cell r="X580" t="e">
            <v>#N/A</v>
          </cell>
          <cell r="Y580" t="e">
            <v>#N/A</v>
          </cell>
          <cell r="Z580" t="e">
            <v>#N/A</v>
          </cell>
          <cell r="AA580" t="e">
            <v>#N/A</v>
          </cell>
          <cell r="AD580">
            <v>0</v>
          </cell>
        </row>
        <row r="581">
          <cell r="A581">
            <v>46772</v>
          </cell>
          <cell r="B581" t="e">
            <v>#N/A</v>
          </cell>
          <cell r="C581"/>
          <cell r="D581" t="e">
            <v>#N/A</v>
          </cell>
          <cell r="F581">
            <v>0</v>
          </cell>
          <cell r="G581" t="e">
            <v>#N/A</v>
          </cell>
          <cell r="H581">
            <v>0</v>
          </cell>
          <cell r="I581" t="e">
            <v>#N/A</v>
          </cell>
          <cell r="J581">
            <v>18</v>
          </cell>
          <cell r="K581" t="str">
            <v>XFILL_PMG100%</v>
          </cell>
          <cell r="L581">
            <v>10</v>
          </cell>
          <cell r="M581" t="str">
            <v>TA+CCL100%</v>
          </cell>
          <cell r="N581" t="e">
            <v>#N/A</v>
          </cell>
          <cell r="O581" t="e">
            <v>#N/A</v>
          </cell>
          <cell r="P581">
            <v>159</v>
          </cell>
          <cell r="Q581">
            <v>0</v>
          </cell>
          <cell r="S581">
            <v>0</v>
          </cell>
          <cell r="T581">
            <v>314.041</v>
          </cell>
          <cell r="U581">
            <v>4800</v>
          </cell>
          <cell r="V581">
            <v>0</v>
          </cell>
          <cell r="W581" t="e">
            <v>#N/A</v>
          </cell>
          <cell r="X581" t="e">
            <v>#N/A</v>
          </cell>
          <cell r="Y581" t="e">
            <v>#N/A</v>
          </cell>
          <cell r="Z581" t="e">
            <v>#N/A</v>
          </cell>
          <cell r="AA581" t="e">
            <v>#N/A</v>
          </cell>
          <cell r="AD581">
            <v>0</v>
          </cell>
        </row>
        <row r="582">
          <cell r="A582">
            <v>46773</v>
          </cell>
          <cell r="B582" t="e">
            <v>#N/A</v>
          </cell>
          <cell r="C582"/>
          <cell r="D582" t="e">
            <v>#N/A</v>
          </cell>
          <cell r="F582">
            <v>0</v>
          </cell>
          <cell r="G582" t="e">
            <v>#N/A</v>
          </cell>
          <cell r="H582">
            <v>0</v>
          </cell>
          <cell r="I582" t="e">
            <v>#N/A</v>
          </cell>
          <cell r="J582">
            <v>18</v>
          </cell>
          <cell r="K582" t="str">
            <v>XFILL_PMG100%</v>
          </cell>
          <cell r="L582">
            <v>10</v>
          </cell>
          <cell r="M582" t="str">
            <v>TA+CCL100%</v>
          </cell>
          <cell r="N582" t="e">
            <v>#N/A</v>
          </cell>
          <cell r="O582" t="e">
            <v>#N/A</v>
          </cell>
          <cell r="P582">
            <v>159</v>
          </cell>
          <cell r="Q582">
            <v>0</v>
          </cell>
          <cell r="S582">
            <v>0</v>
          </cell>
          <cell r="T582">
            <v>314.041</v>
          </cell>
          <cell r="U582">
            <v>4800</v>
          </cell>
          <cell r="V582">
            <v>0</v>
          </cell>
          <cell r="W582" t="e">
            <v>#N/A</v>
          </cell>
          <cell r="X582" t="e">
            <v>#N/A</v>
          </cell>
          <cell r="Y582" t="e">
            <v>#N/A</v>
          </cell>
          <cell r="Z582" t="e">
            <v>#N/A</v>
          </cell>
          <cell r="AA582" t="e">
            <v>#N/A</v>
          </cell>
          <cell r="AD582">
            <v>0</v>
          </cell>
        </row>
        <row r="583">
          <cell r="A583">
            <v>46774</v>
          </cell>
          <cell r="B583" t="e">
            <v>#N/A</v>
          </cell>
          <cell r="C583"/>
          <cell r="D583" t="e">
            <v>#N/A</v>
          </cell>
          <cell r="F583">
            <v>0</v>
          </cell>
          <cell r="G583" t="e">
            <v>#N/A</v>
          </cell>
          <cell r="H583">
            <v>0</v>
          </cell>
          <cell r="I583" t="e">
            <v>#N/A</v>
          </cell>
          <cell r="J583">
            <v>18</v>
          </cell>
          <cell r="K583" t="str">
            <v>XFILL_PMG100%</v>
          </cell>
          <cell r="L583">
            <v>10</v>
          </cell>
          <cell r="M583" t="str">
            <v>TA+CCL100%</v>
          </cell>
          <cell r="N583" t="e">
            <v>#N/A</v>
          </cell>
          <cell r="O583" t="e">
            <v>#N/A</v>
          </cell>
          <cell r="P583">
            <v>159</v>
          </cell>
          <cell r="Q583">
            <v>0</v>
          </cell>
          <cell r="S583">
            <v>0</v>
          </cell>
          <cell r="T583">
            <v>314.041</v>
          </cell>
          <cell r="U583">
            <v>4800</v>
          </cell>
          <cell r="V583">
            <v>0</v>
          </cell>
          <cell r="W583" t="e">
            <v>#N/A</v>
          </cell>
          <cell r="X583" t="e">
            <v>#N/A</v>
          </cell>
          <cell r="Y583" t="e">
            <v>#N/A</v>
          </cell>
          <cell r="Z583" t="e">
            <v>#N/A</v>
          </cell>
          <cell r="AA583" t="e">
            <v>#N/A</v>
          </cell>
          <cell r="AD583">
            <v>0</v>
          </cell>
        </row>
        <row r="584">
          <cell r="A584">
            <v>46775</v>
          </cell>
          <cell r="B584" t="e">
            <v>#N/A</v>
          </cell>
          <cell r="C584"/>
          <cell r="D584" t="e">
            <v>#N/A</v>
          </cell>
          <cell r="F584">
            <v>0</v>
          </cell>
          <cell r="G584" t="e">
            <v>#N/A</v>
          </cell>
          <cell r="H584">
            <v>0</v>
          </cell>
          <cell r="I584" t="e">
            <v>#N/A</v>
          </cell>
          <cell r="J584">
            <v>18</v>
          </cell>
          <cell r="K584" t="str">
            <v>XFILL_PMG100%</v>
          </cell>
          <cell r="L584">
            <v>10</v>
          </cell>
          <cell r="M584" t="str">
            <v>TA+CCL100%</v>
          </cell>
          <cell r="N584" t="e">
            <v>#N/A</v>
          </cell>
          <cell r="O584" t="e">
            <v>#N/A</v>
          </cell>
          <cell r="P584">
            <v>159</v>
          </cell>
          <cell r="Q584">
            <v>0</v>
          </cell>
          <cell r="S584">
            <v>0</v>
          </cell>
          <cell r="T584">
            <v>314.041</v>
          </cell>
          <cell r="U584">
            <v>4800</v>
          </cell>
          <cell r="V584">
            <v>0</v>
          </cell>
          <cell r="W584" t="e">
            <v>#N/A</v>
          </cell>
          <cell r="X584" t="e">
            <v>#N/A</v>
          </cell>
          <cell r="Y584" t="e">
            <v>#N/A</v>
          </cell>
          <cell r="Z584" t="e">
            <v>#N/A</v>
          </cell>
          <cell r="AA584" t="e">
            <v>#N/A</v>
          </cell>
          <cell r="AD584">
            <v>0</v>
          </cell>
        </row>
        <row r="585">
          <cell r="A585">
            <v>46776</v>
          </cell>
          <cell r="B585" t="e">
            <v>#N/A</v>
          </cell>
          <cell r="C585"/>
          <cell r="D585" t="e">
            <v>#N/A</v>
          </cell>
          <cell r="F585">
            <v>0</v>
          </cell>
          <cell r="G585" t="e">
            <v>#N/A</v>
          </cell>
          <cell r="H585">
            <v>0</v>
          </cell>
          <cell r="I585" t="e">
            <v>#N/A</v>
          </cell>
          <cell r="J585">
            <v>18</v>
          </cell>
          <cell r="K585" t="str">
            <v>XFILL_PMG100%</v>
          </cell>
          <cell r="L585">
            <v>10</v>
          </cell>
          <cell r="M585" t="str">
            <v>TA+CCL100%</v>
          </cell>
          <cell r="N585" t="e">
            <v>#N/A</v>
          </cell>
          <cell r="O585" t="e">
            <v>#N/A</v>
          </cell>
          <cell r="P585">
            <v>159</v>
          </cell>
          <cell r="Q585">
            <v>0</v>
          </cell>
          <cell r="S585">
            <v>0</v>
          </cell>
          <cell r="T585">
            <v>314.041</v>
          </cell>
          <cell r="U585">
            <v>4800</v>
          </cell>
          <cell r="V585">
            <v>0</v>
          </cell>
          <cell r="W585" t="e">
            <v>#N/A</v>
          </cell>
          <cell r="X585" t="e">
            <v>#N/A</v>
          </cell>
          <cell r="Y585" t="e">
            <v>#N/A</v>
          </cell>
          <cell r="Z585" t="e">
            <v>#N/A</v>
          </cell>
          <cell r="AA585" t="e">
            <v>#N/A</v>
          </cell>
          <cell r="AD585">
            <v>0</v>
          </cell>
        </row>
        <row r="586">
          <cell r="A586">
            <v>46777</v>
          </cell>
          <cell r="B586" t="e">
            <v>#N/A</v>
          </cell>
          <cell r="C586"/>
          <cell r="D586" t="e">
            <v>#N/A</v>
          </cell>
          <cell r="F586">
            <v>0</v>
          </cell>
          <cell r="G586" t="e">
            <v>#N/A</v>
          </cell>
          <cell r="H586">
            <v>0</v>
          </cell>
          <cell r="I586" t="e">
            <v>#N/A</v>
          </cell>
          <cell r="J586">
            <v>18</v>
          </cell>
          <cell r="K586" t="str">
            <v>XFILL_PMG100%</v>
          </cell>
          <cell r="L586">
            <v>10</v>
          </cell>
          <cell r="M586" t="str">
            <v>TA+CCL100%</v>
          </cell>
          <cell r="N586" t="e">
            <v>#N/A</v>
          </cell>
          <cell r="O586" t="e">
            <v>#N/A</v>
          </cell>
          <cell r="P586">
            <v>159</v>
          </cell>
          <cell r="Q586">
            <v>0</v>
          </cell>
          <cell r="S586">
            <v>0</v>
          </cell>
          <cell r="T586">
            <v>314.041</v>
          </cell>
          <cell r="U586">
            <v>4800</v>
          </cell>
          <cell r="V586">
            <v>0</v>
          </cell>
          <cell r="W586" t="e">
            <v>#N/A</v>
          </cell>
          <cell r="X586" t="e">
            <v>#N/A</v>
          </cell>
          <cell r="Y586" t="e">
            <v>#N/A</v>
          </cell>
          <cell r="Z586" t="e">
            <v>#N/A</v>
          </cell>
          <cell r="AA586" t="e">
            <v>#N/A</v>
          </cell>
          <cell r="AD586">
            <v>0</v>
          </cell>
        </row>
        <row r="587">
          <cell r="A587">
            <v>46778</v>
          </cell>
          <cell r="B587" t="e">
            <v>#N/A</v>
          </cell>
          <cell r="C587"/>
          <cell r="D587" t="e">
            <v>#N/A</v>
          </cell>
          <cell r="F587">
            <v>0</v>
          </cell>
          <cell r="G587" t="e">
            <v>#N/A</v>
          </cell>
          <cell r="H587">
            <v>0</v>
          </cell>
          <cell r="I587" t="e">
            <v>#N/A</v>
          </cell>
          <cell r="J587">
            <v>18</v>
          </cell>
          <cell r="K587" t="str">
            <v>XFILL_PMG100%</v>
          </cell>
          <cell r="L587">
            <v>10</v>
          </cell>
          <cell r="M587" t="str">
            <v>TA+CCL100%</v>
          </cell>
          <cell r="N587" t="e">
            <v>#N/A</v>
          </cell>
          <cell r="O587" t="e">
            <v>#N/A</v>
          </cell>
          <cell r="P587">
            <v>159</v>
          </cell>
          <cell r="Q587">
            <v>0</v>
          </cell>
          <cell r="S587">
            <v>0</v>
          </cell>
          <cell r="T587">
            <v>314.041</v>
          </cell>
          <cell r="U587">
            <v>4800</v>
          </cell>
          <cell r="V587">
            <v>0</v>
          </cell>
          <cell r="W587" t="e">
            <v>#N/A</v>
          </cell>
          <cell r="X587" t="e">
            <v>#N/A</v>
          </cell>
          <cell r="Y587" t="e">
            <v>#N/A</v>
          </cell>
          <cell r="Z587" t="e">
            <v>#N/A</v>
          </cell>
          <cell r="AA587" t="e">
            <v>#N/A</v>
          </cell>
          <cell r="AD587">
            <v>0</v>
          </cell>
        </row>
        <row r="588">
          <cell r="A588">
            <v>46779</v>
          </cell>
          <cell r="B588" t="e">
            <v>#N/A</v>
          </cell>
          <cell r="C588"/>
          <cell r="D588" t="e">
            <v>#N/A</v>
          </cell>
          <cell r="F588">
            <v>0</v>
          </cell>
          <cell r="G588" t="e">
            <v>#N/A</v>
          </cell>
          <cell r="H588">
            <v>0</v>
          </cell>
          <cell r="I588" t="e">
            <v>#N/A</v>
          </cell>
          <cell r="J588">
            <v>18</v>
          </cell>
          <cell r="K588" t="str">
            <v>XFILL_PMG100%</v>
          </cell>
          <cell r="L588">
            <v>10</v>
          </cell>
          <cell r="M588" t="str">
            <v>TA+CCL100%</v>
          </cell>
          <cell r="N588" t="e">
            <v>#N/A</v>
          </cell>
          <cell r="O588" t="e">
            <v>#N/A</v>
          </cell>
          <cell r="P588">
            <v>159</v>
          </cell>
          <cell r="Q588">
            <v>0</v>
          </cell>
          <cell r="S588">
            <v>0</v>
          </cell>
          <cell r="T588">
            <v>314.041</v>
          </cell>
          <cell r="U588">
            <v>4800</v>
          </cell>
          <cell r="V588">
            <v>0</v>
          </cell>
          <cell r="W588" t="e">
            <v>#N/A</v>
          </cell>
          <cell r="X588" t="e">
            <v>#N/A</v>
          </cell>
          <cell r="Y588" t="e">
            <v>#N/A</v>
          </cell>
          <cell r="Z588" t="e">
            <v>#N/A</v>
          </cell>
          <cell r="AA588" t="e">
            <v>#N/A</v>
          </cell>
          <cell r="AD588">
            <v>0</v>
          </cell>
        </row>
        <row r="589">
          <cell r="A589">
            <v>46780</v>
          </cell>
          <cell r="B589" t="e">
            <v>#N/A</v>
          </cell>
          <cell r="C589"/>
          <cell r="D589" t="e">
            <v>#N/A</v>
          </cell>
          <cell r="F589">
            <v>0</v>
          </cell>
          <cell r="G589" t="e">
            <v>#N/A</v>
          </cell>
          <cell r="H589">
            <v>0</v>
          </cell>
          <cell r="I589" t="e">
            <v>#N/A</v>
          </cell>
          <cell r="J589">
            <v>18</v>
          </cell>
          <cell r="K589" t="str">
            <v>XFILL_PMG100%</v>
          </cell>
          <cell r="L589">
            <v>10</v>
          </cell>
          <cell r="M589" t="str">
            <v>TA+CCL100%</v>
          </cell>
          <cell r="N589" t="e">
            <v>#N/A</v>
          </cell>
          <cell r="O589" t="e">
            <v>#N/A</v>
          </cell>
          <cell r="P589">
            <v>159</v>
          </cell>
          <cell r="Q589">
            <v>0</v>
          </cell>
          <cell r="S589">
            <v>0</v>
          </cell>
          <cell r="T589">
            <v>314.041</v>
          </cell>
          <cell r="U589">
            <v>4800</v>
          </cell>
          <cell r="V589">
            <v>0</v>
          </cell>
          <cell r="W589" t="e">
            <v>#N/A</v>
          </cell>
          <cell r="X589" t="e">
            <v>#N/A</v>
          </cell>
          <cell r="Y589" t="e">
            <v>#N/A</v>
          </cell>
          <cell r="Z589" t="e">
            <v>#N/A</v>
          </cell>
          <cell r="AA589" t="e">
            <v>#N/A</v>
          </cell>
          <cell r="AD589">
            <v>0</v>
          </cell>
        </row>
        <row r="590">
          <cell r="A590">
            <v>46781</v>
          </cell>
          <cell r="B590" t="e">
            <v>#N/A</v>
          </cell>
          <cell r="C590"/>
          <cell r="D590" t="e">
            <v>#N/A</v>
          </cell>
          <cell r="F590">
            <v>0</v>
          </cell>
          <cell r="G590" t="e">
            <v>#N/A</v>
          </cell>
          <cell r="H590">
            <v>0</v>
          </cell>
          <cell r="I590" t="e">
            <v>#N/A</v>
          </cell>
          <cell r="J590">
            <v>18</v>
          </cell>
          <cell r="K590" t="str">
            <v>XFILL_PMG100%</v>
          </cell>
          <cell r="L590">
            <v>10</v>
          </cell>
          <cell r="M590" t="str">
            <v>TA+CCL100%</v>
          </cell>
          <cell r="N590" t="e">
            <v>#N/A</v>
          </cell>
          <cell r="O590" t="e">
            <v>#N/A</v>
          </cell>
          <cell r="P590">
            <v>159</v>
          </cell>
          <cell r="Q590">
            <v>0</v>
          </cell>
          <cell r="S590">
            <v>0</v>
          </cell>
          <cell r="T590">
            <v>314.041</v>
          </cell>
          <cell r="U590">
            <v>4800</v>
          </cell>
          <cell r="V590">
            <v>0</v>
          </cell>
          <cell r="W590" t="e">
            <v>#N/A</v>
          </cell>
          <cell r="X590" t="e">
            <v>#N/A</v>
          </cell>
          <cell r="Y590" t="e">
            <v>#N/A</v>
          </cell>
          <cell r="Z590" t="e">
            <v>#N/A</v>
          </cell>
          <cell r="AA590" t="e">
            <v>#N/A</v>
          </cell>
          <cell r="AD590">
            <v>0</v>
          </cell>
        </row>
        <row r="591">
          <cell r="A591">
            <v>46782</v>
          </cell>
          <cell r="B591" t="e">
            <v>#N/A</v>
          </cell>
          <cell r="C591"/>
          <cell r="D591" t="e">
            <v>#N/A</v>
          </cell>
          <cell r="F591">
            <v>0</v>
          </cell>
          <cell r="G591" t="e">
            <v>#N/A</v>
          </cell>
          <cell r="H591">
            <v>0</v>
          </cell>
          <cell r="I591" t="e">
            <v>#N/A</v>
          </cell>
          <cell r="J591">
            <v>18</v>
          </cell>
          <cell r="K591" t="str">
            <v>XFILL_PMG100%</v>
          </cell>
          <cell r="L591">
            <v>10</v>
          </cell>
          <cell r="M591" t="str">
            <v>TA+CCL100%</v>
          </cell>
          <cell r="N591" t="e">
            <v>#N/A</v>
          </cell>
          <cell r="O591" t="e">
            <v>#N/A</v>
          </cell>
          <cell r="P591">
            <v>159</v>
          </cell>
          <cell r="Q591">
            <v>0</v>
          </cell>
          <cell r="S591">
            <v>0</v>
          </cell>
          <cell r="T591">
            <v>314.041</v>
          </cell>
          <cell r="U591">
            <v>0</v>
          </cell>
          <cell r="V591">
            <v>0</v>
          </cell>
          <cell r="W591" t="e">
            <v>#N/A</v>
          </cell>
          <cell r="X591" t="e">
            <v>#N/A</v>
          </cell>
          <cell r="Y591" t="e">
            <v>#N/A</v>
          </cell>
          <cell r="Z591" t="e">
            <v>#N/A</v>
          </cell>
          <cell r="AA591" t="e">
            <v>#N/A</v>
          </cell>
          <cell r="AD591">
            <v>0</v>
          </cell>
        </row>
        <row r="592">
          <cell r="A592">
            <v>46783</v>
          </cell>
          <cell r="B592" t="e">
            <v>#N/A</v>
          </cell>
          <cell r="C592"/>
          <cell r="D592" t="e">
            <v>#N/A</v>
          </cell>
          <cell r="F592">
            <v>0</v>
          </cell>
          <cell r="G592" t="e">
            <v>#N/A</v>
          </cell>
          <cell r="H592">
            <v>0</v>
          </cell>
          <cell r="I592" t="e">
            <v>#N/A</v>
          </cell>
          <cell r="J592">
            <v>18</v>
          </cell>
          <cell r="K592" t="str">
            <v>XFILL_PMG100%</v>
          </cell>
          <cell r="L592">
            <v>10</v>
          </cell>
          <cell r="M592" t="str">
            <v>TA+CCL100%</v>
          </cell>
          <cell r="N592" t="e">
            <v>#N/A</v>
          </cell>
          <cell r="O592" t="e">
            <v>#N/A</v>
          </cell>
          <cell r="P592">
            <v>159</v>
          </cell>
          <cell r="Q592">
            <v>0</v>
          </cell>
          <cell r="S592">
            <v>0</v>
          </cell>
          <cell r="T592">
            <v>314.041</v>
          </cell>
          <cell r="U592">
            <v>0</v>
          </cell>
          <cell r="V592">
            <v>0</v>
          </cell>
          <cell r="W592" t="e">
            <v>#N/A</v>
          </cell>
          <cell r="X592" t="e">
            <v>#N/A</v>
          </cell>
          <cell r="Y592" t="e">
            <v>#N/A</v>
          </cell>
          <cell r="Z592" t="e">
            <v>#N/A</v>
          </cell>
          <cell r="AA592" t="e">
            <v>#N/A</v>
          </cell>
          <cell r="AD592">
            <v>0</v>
          </cell>
        </row>
        <row r="593">
          <cell r="A593">
            <v>46784</v>
          </cell>
          <cell r="B593" t="e">
            <v>#N/A</v>
          </cell>
          <cell r="C593"/>
          <cell r="D593" t="e">
            <v>#N/A</v>
          </cell>
          <cell r="F593">
            <v>0</v>
          </cell>
          <cell r="G593" t="e">
            <v>#N/A</v>
          </cell>
          <cell r="H593">
            <v>0</v>
          </cell>
          <cell r="I593" t="e">
            <v>#N/A</v>
          </cell>
          <cell r="J593">
            <v>18</v>
          </cell>
          <cell r="K593" t="str">
            <v>XFILL_PMG100%</v>
          </cell>
          <cell r="L593">
            <v>10</v>
          </cell>
          <cell r="M593" t="str">
            <v>TA+CCL100%</v>
          </cell>
          <cell r="N593" t="e">
            <v>#N/A</v>
          </cell>
          <cell r="O593" t="e">
            <v>#N/A</v>
          </cell>
          <cell r="P593">
            <v>159</v>
          </cell>
          <cell r="Q593">
            <v>0</v>
          </cell>
          <cell r="S593">
            <v>0</v>
          </cell>
          <cell r="T593">
            <v>314.041</v>
          </cell>
          <cell r="U593">
            <v>0</v>
          </cell>
          <cell r="V593">
            <v>0</v>
          </cell>
          <cell r="W593" t="e">
            <v>#N/A</v>
          </cell>
          <cell r="X593" t="e">
            <v>#N/A</v>
          </cell>
          <cell r="Y593" t="e">
            <v>#N/A</v>
          </cell>
          <cell r="Z593" t="e">
            <v>#N/A</v>
          </cell>
          <cell r="AA593" t="e">
            <v>#N/A</v>
          </cell>
          <cell r="AD593">
            <v>0</v>
          </cell>
        </row>
        <row r="594">
          <cell r="A594">
            <v>46785</v>
          </cell>
          <cell r="B594" t="e">
            <v>#N/A</v>
          </cell>
          <cell r="C594"/>
          <cell r="D594" t="e">
            <v>#N/A</v>
          </cell>
          <cell r="F594">
            <v>0</v>
          </cell>
          <cell r="G594" t="e">
            <v>#N/A</v>
          </cell>
          <cell r="H594">
            <v>0</v>
          </cell>
          <cell r="I594" t="e">
            <v>#N/A</v>
          </cell>
          <cell r="J594">
            <v>18</v>
          </cell>
          <cell r="K594" t="str">
            <v>XFILL_PMG100%</v>
          </cell>
          <cell r="L594">
            <v>10</v>
          </cell>
          <cell r="M594" t="str">
            <v>TA+CCL100%</v>
          </cell>
          <cell r="N594" t="e">
            <v>#N/A</v>
          </cell>
          <cell r="O594" t="e">
            <v>#N/A</v>
          </cell>
          <cell r="P594">
            <v>159</v>
          </cell>
          <cell r="Q594">
            <v>0</v>
          </cell>
          <cell r="S594">
            <v>0</v>
          </cell>
          <cell r="T594">
            <v>314.041</v>
          </cell>
          <cell r="U594">
            <v>0</v>
          </cell>
          <cell r="V594">
            <v>0</v>
          </cell>
          <cell r="W594" t="e">
            <v>#N/A</v>
          </cell>
          <cell r="X594" t="e">
            <v>#N/A</v>
          </cell>
          <cell r="Y594" t="e">
            <v>#N/A</v>
          </cell>
          <cell r="Z594" t="e">
            <v>#N/A</v>
          </cell>
          <cell r="AA594" t="e">
            <v>#N/A</v>
          </cell>
          <cell r="AD594">
            <v>0</v>
          </cell>
        </row>
        <row r="595">
          <cell r="A595">
            <v>46786</v>
          </cell>
          <cell r="B595" t="e">
            <v>#N/A</v>
          </cell>
          <cell r="C595"/>
          <cell r="D595" t="e">
            <v>#N/A</v>
          </cell>
          <cell r="F595">
            <v>0</v>
          </cell>
          <cell r="G595" t="e">
            <v>#N/A</v>
          </cell>
          <cell r="H595">
            <v>0</v>
          </cell>
          <cell r="I595" t="e">
            <v>#N/A</v>
          </cell>
          <cell r="J595">
            <v>18</v>
          </cell>
          <cell r="K595" t="str">
            <v>XFILL_PMG100%</v>
          </cell>
          <cell r="L595">
            <v>10</v>
          </cell>
          <cell r="M595" t="str">
            <v>TA+CCL100%</v>
          </cell>
          <cell r="N595" t="e">
            <v>#N/A</v>
          </cell>
          <cell r="O595" t="e">
            <v>#N/A</v>
          </cell>
          <cell r="P595">
            <v>159</v>
          </cell>
          <cell r="Q595">
            <v>0</v>
          </cell>
          <cell r="S595">
            <v>0</v>
          </cell>
          <cell r="T595">
            <v>314.041</v>
          </cell>
          <cell r="U595">
            <v>0</v>
          </cell>
          <cell r="V595">
            <v>0</v>
          </cell>
          <cell r="W595" t="e">
            <v>#N/A</v>
          </cell>
          <cell r="X595" t="e">
            <v>#N/A</v>
          </cell>
          <cell r="Y595" t="e">
            <v>#N/A</v>
          </cell>
          <cell r="Z595" t="e">
            <v>#N/A</v>
          </cell>
          <cell r="AA595" t="e">
            <v>#N/A</v>
          </cell>
          <cell r="AD595">
            <v>0</v>
          </cell>
        </row>
        <row r="596">
          <cell r="A596">
            <v>46787</v>
          </cell>
          <cell r="B596" t="e">
            <v>#N/A</v>
          </cell>
          <cell r="C596"/>
          <cell r="D596" t="e">
            <v>#N/A</v>
          </cell>
          <cell r="F596">
            <v>0</v>
          </cell>
          <cell r="G596" t="e">
            <v>#N/A</v>
          </cell>
          <cell r="H596">
            <v>0</v>
          </cell>
          <cell r="I596" t="e">
            <v>#N/A</v>
          </cell>
          <cell r="J596">
            <v>18</v>
          </cell>
          <cell r="K596" t="str">
            <v>XFILL_PMG100%</v>
          </cell>
          <cell r="L596">
            <v>10</v>
          </cell>
          <cell r="M596" t="str">
            <v>TA+CCL100%</v>
          </cell>
          <cell r="N596" t="e">
            <v>#N/A</v>
          </cell>
          <cell r="O596" t="e">
            <v>#N/A</v>
          </cell>
          <cell r="P596">
            <v>159</v>
          </cell>
          <cell r="Q596">
            <v>0</v>
          </cell>
          <cell r="S596">
            <v>0</v>
          </cell>
          <cell r="T596">
            <v>314.041</v>
          </cell>
          <cell r="U596">
            <v>0</v>
          </cell>
          <cell r="V596">
            <v>0</v>
          </cell>
          <cell r="W596" t="e">
            <v>#N/A</v>
          </cell>
          <cell r="X596" t="e">
            <v>#N/A</v>
          </cell>
          <cell r="Y596" t="e">
            <v>#N/A</v>
          </cell>
          <cell r="Z596" t="e">
            <v>#N/A</v>
          </cell>
          <cell r="AA596" t="e">
            <v>#N/A</v>
          </cell>
          <cell r="AD596">
            <v>0</v>
          </cell>
        </row>
        <row r="597">
          <cell r="A597">
            <v>46788</v>
          </cell>
          <cell r="B597" t="e">
            <v>#N/A</v>
          </cell>
          <cell r="C597"/>
          <cell r="D597" t="e">
            <v>#N/A</v>
          </cell>
          <cell r="F597">
            <v>0</v>
          </cell>
          <cell r="G597" t="e">
            <v>#N/A</v>
          </cell>
          <cell r="H597">
            <v>0</v>
          </cell>
          <cell r="I597" t="e">
            <v>#N/A</v>
          </cell>
          <cell r="J597">
            <v>18</v>
          </cell>
          <cell r="K597" t="str">
            <v>XFILL_PMG100%</v>
          </cell>
          <cell r="L597">
            <v>10</v>
          </cell>
          <cell r="M597" t="str">
            <v>TA+CCL100%</v>
          </cell>
          <cell r="N597" t="e">
            <v>#N/A</v>
          </cell>
          <cell r="O597" t="e">
            <v>#N/A</v>
          </cell>
          <cell r="P597">
            <v>159</v>
          </cell>
          <cell r="Q597">
            <v>0</v>
          </cell>
          <cell r="S597">
            <v>0</v>
          </cell>
          <cell r="T597">
            <v>314.041</v>
          </cell>
          <cell r="U597">
            <v>0</v>
          </cell>
          <cell r="V597">
            <v>0</v>
          </cell>
          <cell r="W597" t="e">
            <v>#N/A</v>
          </cell>
          <cell r="X597" t="e">
            <v>#N/A</v>
          </cell>
          <cell r="Y597" t="e">
            <v>#N/A</v>
          </cell>
          <cell r="Z597" t="e">
            <v>#N/A</v>
          </cell>
          <cell r="AA597" t="e">
            <v>#N/A</v>
          </cell>
          <cell r="AD597">
            <v>0</v>
          </cell>
        </row>
        <row r="598">
          <cell r="A598">
            <v>46789</v>
          </cell>
          <cell r="B598" t="e">
            <v>#N/A</v>
          </cell>
          <cell r="C598"/>
          <cell r="D598" t="e">
            <v>#N/A</v>
          </cell>
          <cell r="F598">
            <v>0</v>
          </cell>
          <cell r="G598" t="e">
            <v>#N/A</v>
          </cell>
          <cell r="H598">
            <v>0</v>
          </cell>
          <cell r="I598" t="e">
            <v>#N/A</v>
          </cell>
          <cell r="J598">
            <v>18</v>
          </cell>
          <cell r="K598" t="str">
            <v>XFILL_PMG100%</v>
          </cell>
          <cell r="L598">
            <v>10</v>
          </cell>
          <cell r="M598" t="str">
            <v>TA+CCL100%</v>
          </cell>
          <cell r="N598" t="e">
            <v>#N/A</v>
          </cell>
          <cell r="O598" t="e">
            <v>#N/A</v>
          </cell>
          <cell r="P598">
            <v>159</v>
          </cell>
          <cell r="Q598">
            <v>0</v>
          </cell>
          <cell r="S598">
            <v>0</v>
          </cell>
          <cell r="T598">
            <v>314.041</v>
          </cell>
          <cell r="U598">
            <v>0</v>
          </cell>
          <cell r="V598">
            <v>0</v>
          </cell>
          <cell r="W598" t="e">
            <v>#N/A</v>
          </cell>
          <cell r="X598" t="e">
            <v>#N/A</v>
          </cell>
          <cell r="Y598" t="e">
            <v>#N/A</v>
          </cell>
          <cell r="Z598" t="e">
            <v>#N/A</v>
          </cell>
          <cell r="AA598" t="e">
            <v>#N/A</v>
          </cell>
          <cell r="AD598">
            <v>0</v>
          </cell>
        </row>
        <row r="599">
          <cell r="A599">
            <v>46790</v>
          </cell>
          <cell r="B599" t="e">
            <v>#N/A</v>
          </cell>
          <cell r="C599"/>
          <cell r="D599" t="e">
            <v>#N/A</v>
          </cell>
          <cell r="F599">
            <v>0</v>
          </cell>
          <cell r="G599" t="e">
            <v>#N/A</v>
          </cell>
          <cell r="H599">
            <v>0</v>
          </cell>
          <cell r="I599" t="e">
            <v>#N/A</v>
          </cell>
          <cell r="J599">
            <v>18</v>
          </cell>
          <cell r="K599" t="str">
            <v>XFILL_PMG100%</v>
          </cell>
          <cell r="L599">
            <v>10</v>
          </cell>
          <cell r="M599" t="str">
            <v>TA+CCL100%</v>
          </cell>
          <cell r="N599" t="e">
            <v>#N/A</v>
          </cell>
          <cell r="O599" t="e">
            <v>#N/A</v>
          </cell>
          <cell r="P599">
            <v>159</v>
          </cell>
          <cell r="Q599">
            <v>0</v>
          </cell>
          <cell r="S599">
            <v>0</v>
          </cell>
          <cell r="T599">
            <v>314.041</v>
          </cell>
          <cell r="U599">
            <v>0</v>
          </cell>
          <cell r="V599">
            <v>0</v>
          </cell>
          <cell r="W599" t="e">
            <v>#N/A</v>
          </cell>
          <cell r="X599" t="e">
            <v>#N/A</v>
          </cell>
          <cell r="Y599" t="e">
            <v>#N/A</v>
          </cell>
          <cell r="Z599" t="e">
            <v>#N/A</v>
          </cell>
          <cell r="AA599" t="e">
            <v>#N/A</v>
          </cell>
          <cell r="AD599">
            <v>0</v>
          </cell>
        </row>
        <row r="600">
          <cell r="A600">
            <v>46791</v>
          </cell>
          <cell r="B600" t="e">
            <v>#N/A</v>
          </cell>
          <cell r="C600"/>
          <cell r="D600" t="e">
            <v>#N/A</v>
          </cell>
          <cell r="F600">
            <v>0</v>
          </cell>
          <cell r="G600" t="e">
            <v>#N/A</v>
          </cell>
          <cell r="H600">
            <v>0</v>
          </cell>
          <cell r="I600" t="e">
            <v>#N/A</v>
          </cell>
          <cell r="J600">
            <v>18</v>
          </cell>
          <cell r="K600" t="str">
            <v>XFILL_PMG100%</v>
          </cell>
          <cell r="L600">
            <v>10</v>
          </cell>
          <cell r="M600" t="str">
            <v>TA+CCL100%</v>
          </cell>
          <cell r="N600" t="e">
            <v>#N/A</v>
          </cell>
          <cell r="O600" t="e">
            <v>#N/A</v>
          </cell>
          <cell r="P600">
            <v>159</v>
          </cell>
          <cell r="Q600">
            <v>0</v>
          </cell>
          <cell r="S600">
            <v>0</v>
          </cell>
          <cell r="T600">
            <v>314.041</v>
          </cell>
          <cell r="U600">
            <v>0</v>
          </cell>
          <cell r="V600">
            <v>0</v>
          </cell>
          <cell r="W600" t="e">
            <v>#N/A</v>
          </cell>
          <cell r="X600" t="e">
            <v>#N/A</v>
          </cell>
          <cell r="Y600" t="e">
            <v>#N/A</v>
          </cell>
          <cell r="Z600" t="e">
            <v>#N/A</v>
          </cell>
          <cell r="AA600" t="e">
            <v>#N/A</v>
          </cell>
          <cell r="AD600">
            <v>0</v>
          </cell>
        </row>
        <row r="601">
          <cell r="A601">
            <v>46792</v>
          </cell>
          <cell r="B601" t="e">
            <v>#N/A</v>
          </cell>
          <cell r="C601"/>
          <cell r="D601" t="e">
            <v>#N/A</v>
          </cell>
          <cell r="F601">
            <v>0</v>
          </cell>
          <cell r="G601" t="e">
            <v>#N/A</v>
          </cell>
          <cell r="H601">
            <v>0</v>
          </cell>
          <cell r="I601" t="e">
            <v>#N/A</v>
          </cell>
          <cell r="J601">
            <v>18</v>
          </cell>
          <cell r="K601" t="str">
            <v>XFILL_PMG100%</v>
          </cell>
          <cell r="L601">
            <v>10</v>
          </cell>
          <cell r="M601" t="str">
            <v>TA+CCL100%</v>
          </cell>
          <cell r="N601" t="e">
            <v>#N/A</v>
          </cell>
          <cell r="O601" t="e">
            <v>#N/A</v>
          </cell>
          <cell r="P601">
            <v>159</v>
          </cell>
          <cell r="Q601">
            <v>0</v>
          </cell>
          <cell r="S601">
            <v>0</v>
          </cell>
          <cell r="T601">
            <v>314.041</v>
          </cell>
          <cell r="U601">
            <v>0</v>
          </cell>
          <cell r="V601">
            <v>0</v>
          </cell>
          <cell r="W601" t="e">
            <v>#N/A</v>
          </cell>
          <cell r="X601" t="e">
            <v>#N/A</v>
          </cell>
          <cell r="Y601" t="e">
            <v>#N/A</v>
          </cell>
          <cell r="Z601" t="e">
            <v>#N/A</v>
          </cell>
          <cell r="AA601" t="e">
            <v>#N/A</v>
          </cell>
          <cell r="AD601">
            <v>0</v>
          </cell>
        </row>
        <row r="602">
          <cell r="A602">
            <v>46793</v>
          </cell>
          <cell r="B602" t="e">
            <v>#N/A</v>
          </cell>
          <cell r="C602"/>
          <cell r="D602" t="e">
            <v>#N/A</v>
          </cell>
          <cell r="F602">
            <v>0</v>
          </cell>
          <cell r="G602" t="e">
            <v>#N/A</v>
          </cell>
          <cell r="H602">
            <v>0</v>
          </cell>
          <cell r="I602" t="e">
            <v>#N/A</v>
          </cell>
          <cell r="J602">
            <v>18</v>
          </cell>
          <cell r="K602" t="str">
            <v>XFILL_PMG100%</v>
          </cell>
          <cell r="L602">
            <v>10</v>
          </cell>
          <cell r="M602" t="str">
            <v>TA+CCL100%</v>
          </cell>
          <cell r="N602" t="e">
            <v>#N/A</v>
          </cell>
          <cell r="O602" t="e">
            <v>#N/A</v>
          </cell>
          <cell r="P602">
            <v>159</v>
          </cell>
          <cell r="Q602">
            <v>0</v>
          </cell>
          <cell r="S602">
            <v>0</v>
          </cell>
          <cell r="T602">
            <v>314.041</v>
          </cell>
          <cell r="U602">
            <v>0</v>
          </cell>
          <cell r="V602">
            <v>0</v>
          </cell>
          <cell r="W602" t="e">
            <v>#N/A</v>
          </cell>
          <cell r="X602" t="e">
            <v>#N/A</v>
          </cell>
          <cell r="Y602" t="e">
            <v>#N/A</v>
          </cell>
          <cell r="Z602" t="e">
            <v>#N/A</v>
          </cell>
          <cell r="AA602" t="e">
            <v>#N/A</v>
          </cell>
          <cell r="AD602">
            <v>0</v>
          </cell>
        </row>
        <row r="603">
          <cell r="A603">
            <v>46794</v>
          </cell>
          <cell r="B603" t="e">
            <v>#N/A</v>
          </cell>
          <cell r="C603"/>
          <cell r="D603" t="e">
            <v>#N/A</v>
          </cell>
          <cell r="F603">
            <v>0</v>
          </cell>
          <cell r="G603" t="e">
            <v>#N/A</v>
          </cell>
          <cell r="H603">
            <v>0</v>
          </cell>
          <cell r="I603" t="e">
            <v>#N/A</v>
          </cell>
          <cell r="J603">
            <v>18</v>
          </cell>
          <cell r="K603" t="str">
            <v>XFILL_PMG100%</v>
          </cell>
          <cell r="L603">
            <v>10</v>
          </cell>
          <cell r="M603" t="str">
            <v>TA+CCL100%</v>
          </cell>
          <cell r="N603" t="e">
            <v>#N/A</v>
          </cell>
          <cell r="O603" t="e">
            <v>#N/A</v>
          </cell>
          <cell r="P603">
            <v>159</v>
          </cell>
          <cell r="Q603">
            <v>0</v>
          </cell>
          <cell r="S603">
            <v>0</v>
          </cell>
          <cell r="T603">
            <v>314.041</v>
          </cell>
          <cell r="U603">
            <v>0</v>
          </cell>
          <cell r="V603">
            <v>0</v>
          </cell>
          <cell r="W603" t="e">
            <v>#N/A</v>
          </cell>
          <cell r="X603" t="e">
            <v>#N/A</v>
          </cell>
          <cell r="Y603" t="e">
            <v>#N/A</v>
          </cell>
          <cell r="Z603" t="e">
            <v>#N/A</v>
          </cell>
          <cell r="AA603" t="e">
            <v>#N/A</v>
          </cell>
          <cell r="AD603">
            <v>0</v>
          </cell>
        </row>
        <row r="604">
          <cell r="A604">
            <v>46795</v>
          </cell>
          <cell r="B604" t="e">
            <v>#N/A</v>
          </cell>
          <cell r="C604"/>
          <cell r="D604" t="e">
            <v>#N/A</v>
          </cell>
          <cell r="F604">
            <v>0</v>
          </cell>
          <cell r="G604" t="e">
            <v>#N/A</v>
          </cell>
          <cell r="H604">
            <v>0</v>
          </cell>
          <cell r="I604" t="e">
            <v>#N/A</v>
          </cell>
          <cell r="J604">
            <v>18</v>
          </cell>
          <cell r="K604" t="str">
            <v>XFILL_PMG100%</v>
          </cell>
          <cell r="L604">
            <v>10</v>
          </cell>
          <cell r="M604" t="str">
            <v>TA+CCL100%</v>
          </cell>
          <cell r="N604" t="e">
            <v>#N/A</v>
          </cell>
          <cell r="O604" t="e">
            <v>#N/A</v>
          </cell>
          <cell r="P604">
            <v>159</v>
          </cell>
          <cell r="Q604">
            <v>0</v>
          </cell>
          <cell r="S604">
            <v>0</v>
          </cell>
          <cell r="T604">
            <v>314.041</v>
          </cell>
          <cell r="U604">
            <v>0</v>
          </cell>
          <cell r="V604">
            <v>0</v>
          </cell>
          <cell r="W604" t="e">
            <v>#N/A</v>
          </cell>
          <cell r="X604" t="e">
            <v>#N/A</v>
          </cell>
          <cell r="Y604" t="e">
            <v>#N/A</v>
          </cell>
          <cell r="Z604" t="e">
            <v>#N/A</v>
          </cell>
          <cell r="AA604" t="e">
            <v>#N/A</v>
          </cell>
          <cell r="AD604">
            <v>0</v>
          </cell>
        </row>
        <row r="605">
          <cell r="A605">
            <v>46796</v>
          </cell>
          <cell r="B605" t="e">
            <v>#N/A</v>
          </cell>
          <cell r="C605"/>
          <cell r="D605" t="e">
            <v>#N/A</v>
          </cell>
          <cell r="F605">
            <v>0</v>
          </cell>
          <cell r="G605" t="e">
            <v>#N/A</v>
          </cell>
          <cell r="H605">
            <v>0</v>
          </cell>
          <cell r="I605" t="e">
            <v>#N/A</v>
          </cell>
          <cell r="J605">
            <v>18</v>
          </cell>
          <cell r="K605" t="str">
            <v>XFILL_PMG100%</v>
          </cell>
          <cell r="L605">
            <v>10</v>
          </cell>
          <cell r="M605" t="str">
            <v>TA+CCL100%</v>
          </cell>
          <cell r="N605" t="e">
            <v>#N/A</v>
          </cell>
          <cell r="O605" t="e">
            <v>#N/A</v>
          </cell>
          <cell r="P605">
            <v>159</v>
          </cell>
          <cell r="Q605">
            <v>0</v>
          </cell>
          <cell r="S605">
            <v>0</v>
          </cell>
          <cell r="T605">
            <v>314.041</v>
          </cell>
          <cell r="U605">
            <v>0</v>
          </cell>
          <cell r="V605">
            <v>0</v>
          </cell>
          <cell r="W605" t="e">
            <v>#N/A</v>
          </cell>
          <cell r="X605" t="e">
            <v>#N/A</v>
          </cell>
          <cell r="Y605" t="e">
            <v>#N/A</v>
          </cell>
          <cell r="Z605" t="e">
            <v>#N/A</v>
          </cell>
          <cell r="AA605" t="e">
            <v>#N/A</v>
          </cell>
          <cell r="AD605">
            <v>0</v>
          </cell>
        </row>
        <row r="606">
          <cell r="A606">
            <v>46797</v>
          </cell>
          <cell r="B606" t="e">
            <v>#N/A</v>
          </cell>
          <cell r="C606"/>
          <cell r="D606" t="e">
            <v>#N/A</v>
          </cell>
          <cell r="F606">
            <v>0</v>
          </cell>
          <cell r="G606" t="e">
            <v>#N/A</v>
          </cell>
          <cell r="H606">
            <v>0</v>
          </cell>
          <cell r="I606" t="e">
            <v>#N/A</v>
          </cell>
          <cell r="J606">
            <v>18</v>
          </cell>
          <cell r="K606" t="str">
            <v>XFILL_PMG100%</v>
          </cell>
          <cell r="L606">
            <v>10</v>
          </cell>
          <cell r="M606" t="str">
            <v>TA+CCL100%</v>
          </cell>
          <cell r="N606" t="e">
            <v>#N/A</v>
          </cell>
          <cell r="O606" t="e">
            <v>#N/A</v>
          </cell>
          <cell r="P606">
            <v>159</v>
          </cell>
          <cell r="Q606">
            <v>0</v>
          </cell>
          <cell r="S606">
            <v>0</v>
          </cell>
          <cell r="T606">
            <v>314.041</v>
          </cell>
          <cell r="U606">
            <v>0</v>
          </cell>
          <cell r="V606">
            <v>0</v>
          </cell>
          <cell r="W606" t="e">
            <v>#N/A</v>
          </cell>
          <cell r="X606" t="e">
            <v>#N/A</v>
          </cell>
          <cell r="Y606" t="e">
            <v>#N/A</v>
          </cell>
          <cell r="Z606" t="e">
            <v>#N/A</v>
          </cell>
          <cell r="AA606" t="e">
            <v>#N/A</v>
          </cell>
          <cell r="AD606">
            <v>0</v>
          </cell>
        </row>
        <row r="607">
          <cell r="A607">
            <v>46798</v>
          </cell>
          <cell r="B607" t="e">
            <v>#N/A</v>
          </cell>
          <cell r="C607"/>
          <cell r="D607" t="e">
            <v>#N/A</v>
          </cell>
          <cell r="F607">
            <v>0</v>
          </cell>
          <cell r="G607" t="e">
            <v>#N/A</v>
          </cell>
          <cell r="H607">
            <v>0</v>
          </cell>
          <cell r="I607" t="e">
            <v>#N/A</v>
          </cell>
          <cell r="J607">
            <v>18</v>
          </cell>
          <cell r="K607" t="str">
            <v>XFILL_PMG100%</v>
          </cell>
          <cell r="L607">
            <v>10</v>
          </cell>
          <cell r="M607" t="str">
            <v>TA+CCL100%</v>
          </cell>
          <cell r="N607" t="e">
            <v>#N/A</v>
          </cell>
          <cell r="O607" t="e">
            <v>#N/A</v>
          </cell>
          <cell r="P607">
            <v>159</v>
          </cell>
          <cell r="Q607">
            <v>0</v>
          </cell>
          <cell r="S607">
            <v>0</v>
          </cell>
          <cell r="T607">
            <v>314.041</v>
          </cell>
          <cell r="U607">
            <v>0</v>
          </cell>
          <cell r="V607">
            <v>0</v>
          </cell>
          <cell r="W607" t="e">
            <v>#N/A</v>
          </cell>
          <cell r="X607" t="e">
            <v>#N/A</v>
          </cell>
          <cell r="Y607" t="e">
            <v>#N/A</v>
          </cell>
          <cell r="Z607" t="e">
            <v>#N/A</v>
          </cell>
          <cell r="AA607" t="e">
            <v>#N/A</v>
          </cell>
          <cell r="AD607">
            <v>0</v>
          </cell>
        </row>
        <row r="608">
          <cell r="A608">
            <v>46799</v>
          </cell>
          <cell r="B608" t="e">
            <v>#N/A</v>
          </cell>
          <cell r="C608"/>
          <cell r="D608" t="e">
            <v>#N/A</v>
          </cell>
          <cell r="F608">
            <v>0</v>
          </cell>
          <cell r="G608" t="e">
            <v>#N/A</v>
          </cell>
          <cell r="H608">
            <v>0</v>
          </cell>
          <cell r="I608" t="e">
            <v>#N/A</v>
          </cell>
          <cell r="J608">
            <v>18</v>
          </cell>
          <cell r="K608" t="str">
            <v>XFILL_PMG100%</v>
          </cell>
          <cell r="L608">
            <v>10</v>
          </cell>
          <cell r="M608" t="str">
            <v>TA+CCL100%</v>
          </cell>
          <cell r="N608" t="e">
            <v>#N/A</v>
          </cell>
          <cell r="O608" t="e">
            <v>#N/A</v>
          </cell>
          <cell r="P608">
            <v>159</v>
          </cell>
          <cell r="Q608">
            <v>0</v>
          </cell>
          <cell r="S608">
            <v>0</v>
          </cell>
          <cell r="T608">
            <v>314.041</v>
          </cell>
          <cell r="U608">
            <v>0</v>
          </cell>
          <cell r="V608">
            <v>0</v>
          </cell>
          <cell r="W608" t="e">
            <v>#N/A</v>
          </cell>
          <cell r="X608" t="e">
            <v>#N/A</v>
          </cell>
          <cell r="Y608" t="e">
            <v>#N/A</v>
          </cell>
          <cell r="Z608" t="e">
            <v>#N/A</v>
          </cell>
          <cell r="AA608" t="e">
            <v>#N/A</v>
          </cell>
          <cell r="AD608">
            <v>0</v>
          </cell>
        </row>
        <row r="609">
          <cell r="A609">
            <v>46800</v>
          </cell>
          <cell r="B609" t="e">
            <v>#N/A</v>
          </cell>
          <cell r="C609"/>
          <cell r="D609" t="e">
            <v>#N/A</v>
          </cell>
          <cell r="F609">
            <v>0</v>
          </cell>
          <cell r="G609" t="e">
            <v>#N/A</v>
          </cell>
          <cell r="H609">
            <v>0</v>
          </cell>
          <cell r="I609" t="e">
            <v>#N/A</v>
          </cell>
          <cell r="J609">
            <v>18</v>
          </cell>
          <cell r="K609" t="str">
            <v>XFILL_PMG100%</v>
          </cell>
          <cell r="L609">
            <v>10</v>
          </cell>
          <cell r="M609" t="str">
            <v>TA+CCL100%</v>
          </cell>
          <cell r="N609" t="e">
            <v>#N/A</v>
          </cell>
          <cell r="O609" t="e">
            <v>#N/A</v>
          </cell>
          <cell r="P609">
            <v>159</v>
          </cell>
          <cell r="Q609">
            <v>0</v>
          </cell>
          <cell r="S609">
            <v>0</v>
          </cell>
          <cell r="T609">
            <v>314.041</v>
          </cell>
          <cell r="U609">
            <v>0</v>
          </cell>
          <cell r="V609">
            <v>0</v>
          </cell>
          <cell r="W609" t="e">
            <v>#N/A</v>
          </cell>
          <cell r="X609" t="e">
            <v>#N/A</v>
          </cell>
          <cell r="Y609" t="e">
            <v>#N/A</v>
          </cell>
          <cell r="Z609" t="e">
            <v>#N/A</v>
          </cell>
          <cell r="AA609" t="e">
            <v>#N/A</v>
          </cell>
          <cell r="AD609">
            <v>0</v>
          </cell>
        </row>
        <row r="610">
          <cell r="A610">
            <v>46801</v>
          </cell>
          <cell r="B610" t="e">
            <v>#N/A</v>
          </cell>
          <cell r="C610"/>
          <cell r="D610" t="e">
            <v>#N/A</v>
          </cell>
          <cell r="F610">
            <v>0</v>
          </cell>
          <cell r="G610" t="e">
            <v>#N/A</v>
          </cell>
          <cell r="H610">
            <v>0</v>
          </cell>
          <cell r="I610" t="e">
            <v>#N/A</v>
          </cell>
          <cell r="J610">
            <v>18</v>
          </cell>
          <cell r="K610" t="str">
            <v>XFILL_PMG100%</v>
          </cell>
          <cell r="L610">
            <v>10</v>
          </cell>
          <cell r="M610" t="str">
            <v>TA+CCL100%</v>
          </cell>
          <cell r="N610" t="e">
            <v>#N/A</v>
          </cell>
          <cell r="O610" t="e">
            <v>#N/A</v>
          </cell>
          <cell r="P610">
            <v>159</v>
          </cell>
          <cell r="Q610">
            <v>0</v>
          </cell>
          <cell r="S610">
            <v>0</v>
          </cell>
          <cell r="T610">
            <v>314.041</v>
          </cell>
          <cell r="U610">
            <v>0</v>
          </cell>
          <cell r="V610">
            <v>0</v>
          </cell>
          <cell r="W610" t="e">
            <v>#N/A</v>
          </cell>
          <cell r="X610" t="e">
            <v>#N/A</v>
          </cell>
          <cell r="Y610" t="e">
            <v>#N/A</v>
          </cell>
          <cell r="Z610" t="e">
            <v>#N/A</v>
          </cell>
          <cell r="AA610" t="e">
            <v>#N/A</v>
          </cell>
          <cell r="AD610">
            <v>0</v>
          </cell>
        </row>
        <row r="611">
          <cell r="A611">
            <v>46802</v>
          </cell>
          <cell r="B611" t="e">
            <v>#N/A</v>
          </cell>
          <cell r="C611"/>
          <cell r="D611" t="e">
            <v>#N/A</v>
          </cell>
          <cell r="F611">
            <v>0</v>
          </cell>
          <cell r="G611" t="e">
            <v>#N/A</v>
          </cell>
          <cell r="H611">
            <v>0</v>
          </cell>
          <cell r="I611" t="e">
            <v>#N/A</v>
          </cell>
          <cell r="J611">
            <v>18</v>
          </cell>
          <cell r="K611" t="str">
            <v>XFILL_PMG100%</v>
          </cell>
          <cell r="L611">
            <v>10</v>
          </cell>
          <cell r="M611" t="str">
            <v>TA+CCL100%</v>
          </cell>
          <cell r="N611" t="e">
            <v>#N/A</v>
          </cell>
          <cell r="O611" t="e">
            <v>#N/A</v>
          </cell>
          <cell r="P611">
            <v>159</v>
          </cell>
          <cell r="Q611">
            <v>0</v>
          </cell>
          <cell r="S611">
            <v>0</v>
          </cell>
          <cell r="T611">
            <v>484.21100000000001</v>
          </cell>
          <cell r="U611">
            <v>0</v>
          </cell>
          <cell r="V611">
            <v>0</v>
          </cell>
          <cell r="W611" t="e">
            <v>#N/A</v>
          </cell>
          <cell r="X611" t="e">
            <v>#N/A</v>
          </cell>
          <cell r="Y611" t="e">
            <v>#N/A</v>
          </cell>
          <cell r="Z611" t="e">
            <v>#N/A</v>
          </cell>
          <cell r="AA611" t="e">
            <v>#N/A</v>
          </cell>
          <cell r="AD611">
            <v>0</v>
          </cell>
        </row>
        <row r="612">
          <cell r="A612">
            <v>46803</v>
          </cell>
          <cell r="B612" t="e">
            <v>#N/A</v>
          </cell>
          <cell r="C612"/>
          <cell r="D612" t="e">
            <v>#N/A</v>
          </cell>
          <cell r="F612">
            <v>0</v>
          </cell>
          <cell r="G612" t="e">
            <v>#N/A</v>
          </cell>
          <cell r="H612">
            <v>0</v>
          </cell>
          <cell r="I612" t="e">
            <v>#N/A</v>
          </cell>
          <cell r="J612">
            <v>18</v>
          </cell>
          <cell r="K612" t="str">
            <v>XFILL_PMG100%</v>
          </cell>
          <cell r="L612">
            <v>10</v>
          </cell>
          <cell r="M612" t="str">
            <v>TA+CCL100%</v>
          </cell>
          <cell r="N612" t="e">
            <v>#N/A</v>
          </cell>
          <cell r="O612" t="e">
            <v>#N/A</v>
          </cell>
          <cell r="P612">
            <v>159</v>
          </cell>
          <cell r="Q612">
            <v>0</v>
          </cell>
          <cell r="S612">
            <v>0</v>
          </cell>
          <cell r="T612">
            <v>484.21100000000001</v>
          </cell>
          <cell r="U612">
            <v>0</v>
          </cell>
          <cell r="V612">
            <v>0</v>
          </cell>
          <cell r="W612" t="e">
            <v>#N/A</v>
          </cell>
          <cell r="X612" t="e">
            <v>#N/A</v>
          </cell>
          <cell r="Y612" t="e">
            <v>#N/A</v>
          </cell>
          <cell r="Z612" t="e">
            <v>#N/A</v>
          </cell>
          <cell r="AA612" t="e">
            <v>#N/A</v>
          </cell>
          <cell r="AD612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7">
          <cell r="A7">
            <v>77</v>
          </cell>
          <cell r="B7">
            <v>42</v>
          </cell>
        </row>
        <row r="8">
          <cell r="A8">
            <v>77.5</v>
          </cell>
          <cell r="B8">
            <v>42.5</v>
          </cell>
        </row>
        <row r="9">
          <cell r="A9">
            <v>78</v>
          </cell>
          <cell r="B9">
            <v>43</v>
          </cell>
        </row>
        <row r="10">
          <cell r="A10">
            <v>78.5</v>
          </cell>
          <cell r="B10">
            <v>43.5</v>
          </cell>
        </row>
        <row r="11">
          <cell r="A11">
            <v>79</v>
          </cell>
          <cell r="B11">
            <v>44</v>
          </cell>
        </row>
        <row r="12">
          <cell r="A12">
            <v>79.5</v>
          </cell>
          <cell r="B12">
            <v>44.5</v>
          </cell>
        </row>
        <row r="13">
          <cell r="A13">
            <v>80</v>
          </cell>
          <cell r="B13">
            <v>45</v>
          </cell>
        </row>
        <row r="14">
          <cell r="A14">
            <v>80.5</v>
          </cell>
          <cell r="B14">
            <v>45.5</v>
          </cell>
        </row>
        <row r="15">
          <cell r="A15">
            <v>81</v>
          </cell>
          <cell r="B15">
            <v>46</v>
          </cell>
        </row>
        <row r="16">
          <cell r="A16">
            <v>81.5</v>
          </cell>
          <cell r="B16">
            <v>46.5</v>
          </cell>
        </row>
        <row r="17">
          <cell r="A17">
            <v>82</v>
          </cell>
          <cell r="B17">
            <v>47</v>
          </cell>
        </row>
        <row r="18">
          <cell r="A18">
            <v>82.49</v>
          </cell>
          <cell r="B18">
            <v>47.5</v>
          </cell>
        </row>
        <row r="19">
          <cell r="A19">
            <v>83</v>
          </cell>
          <cell r="B19">
            <v>48</v>
          </cell>
        </row>
        <row r="20">
          <cell r="A20">
            <v>83.49</v>
          </cell>
          <cell r="B20">
            <v>48.5</v>
          </cell>
        </row>
        <row r="21">
          <cell r="A21">
            <v>84</v>
          </cell>
          <cell r="B21">
            <v>49</v>
          </cell>
        </row>
        <row r="22">
          <cell r="A22">
            <v>84.49</v>
          </cell>
          <cell r="B22">
            <v>49.5</v>
          </cell>
        </row>
        <row r="23">
          <cell r="A23">
            <v>85</v>
          </cell>
          <cell r="B23">
            <v>50</v>
          </cell>
        </row>
        <row r="24">
          <cell r="A24">
            <v>87</v>
          </cell>
          <cell r="B24">
            <v>50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E0E04-4B6A-40FC-A948-9C9520AEA927}">
  <sheetPr>
    <tabColor rgb="FF0B3041"/>
  </sheetPr>
  <dimension ref="A2:AP613"/>
  <sheetViews>
    <sheetView tabSelected="1" topLeftCell="B88" zoomScaleNormal="100" workbookViewId="0">
      <selection activeCell="D105" sqref="D105"/>
    </sheetView>
  </sheetViews>
  <sheetFormatPr defaultColWidth="8.85546875" defaultRowHeight="15"/>
  <cols>
    <col min="1" max="1" width="13" style="1" hidden="1" customWidth="1"/>
    <col min="2" max="2" width="18.5703125" style="1" customWidth="1"/>
    <col min="3" max="3" width="15" style="1" customWidth="1"/>
    <col min="4" max="4" width="15.140625" style="1" customWidth="1"/>
    <col min="5" max="5" width="16.140625" style="1" customWidth="1"/>
    <col min="6" max="6" width="15" style="1" customWidth="1"/>
    <col min="7" max="7" width="14.5703125" style="1" customWidth="1"/>
    <col min="8" max="8" width="15.85546875" style="1" customWidth="1"/>
    <col min="9" max="9" width="14.140625" style="1" customWidth="1"/>
    <col min="10" max="13" width="15.42578125" style="1" customWidth="1"/>
    <col min="14" max="14" width="19.42578125" style="1" customWidth="1"/>
    <col min="15" max="15" width="17.28515625" style="1" customWidth="1"/>
    <col min="16" max="16" width="17.28515625" style="54" customWidth="1"/>
    <col min="17" max="17" width="17.28515625" style="55" customWidth="1"/>
    <col min="18" max="19" width="21.28515625" style="1" customWidth="1"/>
    <col min="20" max="20" width="7.140625" style="1" bestFit="1" customWidth="1"/>
    <col min="21" max="21" width="7.28515625" style="1" bestFit="1" customWidth="1"/>
    <col min="22" max="22" width="14" style="1" customWidth="1"/>
    <col min="23" max="23" width="17.5703125" style="1" customWidth="1"/>
    <col min="24" max="24" width="14.42578125" style="1" customWidth="1"/>
    <col min="25" max="25" width="12.42578125" style="1" hidden="1" customWidth="1"/>
    <col min="26" max="26" width="27.28515625" style="1" hidden="1" customWidth="1"/>
    <col min="27" max="27" width="28.140625" style="1" hidden="1" customWidth="1"/>
    <col min="28" max="28" width="19.140625" style="1" hidden="1" customWidth="1"/>
    <col min="29" max="29" width="23.5703125" style="1" hidden="1" customWidth="1"/>
    <col min="30" max="31" width="5.5703125" style="1" customWidth="1"/>
    <col min="32" max="32" width="13.85546875" style="1" customWidth="1"/>
    <col min="33" max="33" width="9.85546875" style="1" customWidth="1"/>
    <col min="34" max="34" width="12.28515625" style="1" customWidth="1"/>
    <col min="35" max="35" width="20.5703125" style="1" customWidth="1"/>
    <col min="36" max="44" width="5.5703125" style="1" customWidth="1"/>
    <col min="45" max="45" width="9.7109375" style="1" customWidth="1"/>
    <col min="46" max="46" width="6.7109375" style="1" customWidth="1"/>
    <col min="47" max="47" width="9.7109375" style="1" customWidth="1"/>
    <col min="48" max="48" width="6.7109375" style="1" customWidth="1"/>
    <col min="49" max="49" width="9.42578125" style="1" customWidth="1"/>
    <col min="50" max="120" width="12.42578125" style="1" customWidth="1"/>
    <col min="121" max="121" width="11.42578125" style="1" customWidth="1"/>
    <col min="122" max="184" width="12.42578125" style="1" customWidth="1"/>
    <col min="185" max="186" width="7.7109375" style="1" customWidth="1"/>
    <col min="187" max="187" width="9.85546875" style="1" customWidth="1"/>
    <col min="188" max="16384" width="8.85546875" style="1"/>
  </cols>
  <sheetData>
    <row r="2" spans="1:42" ht="15" customHeight="1">
      <c r="B2" s="2" t="s">
        <v>0</v>
      </c>
      <c r="C2" s="58" t="s">
        <v>1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3"/>
      <c r="Q2" s="3"/>
    </row>
    <row r="3" spans="1:42" ht="15.75">
      <c r="B3" s="2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3"/>
      <c r="Q3" s="3"/>
    </row>
    <row r="4" spans="1:42" ht="15.75"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3"/>
      <c r="Q4" s="3"/>
    </row>
    <row r="5" spans="1:42" ht="84" customHeight="1"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3"/>
      <c r="Q5" s="3"/>
    </row>
    <row r="6" spans="1:42">
      <c r="B6" s="4" t="s">
        <v>2</v>
      </c>
      <c r="C6" s="5" t="s">
        <v>3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42">
      <c r="B7" s="4" t="s">
        <v>4</v>
      </c>
      <c r="C7" s="5" t="str">
        <f>+[1]Balance_Madden!F2</f>
        <v>GLR ESC1 P95 Ultimo Decenio -10#ALHA/ -40$GAT (Transitos36)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P7" s="1"/>
      <c r="Q7" s="1"/>
    </row>
    <row r="8" spans="1:42">
      <c r="B8" s="4" t="s">
        <v>5</v>
      </c>
      <c r="C8" s="5" t="str">
        <f>+[1]GLR!B13</f>
        <v>JFRodriguez</v>
      </c>
      <c r="D8" s="5"/>
      <c r="E8" s="5"/>
      <c r="F8" s="6"/>
      <c r="G8" s="6"/>
      <c r="P8" s="1"/>
      <c r="Q8" s="1"/>
    </row>
    <row r="9" spans="1:42" ht="15.75" thickBot="1">
      <c r="P9" s="1"/>
      <c r="Q9" s="1"/>
    </row>
    <row r="10" spans="1:42" ht="15.75" thickBot="1">
      <c r="B10" s="7"/>
      <c r="C10" s="59" t="s">
        <v>6</v>
      </c>
      <c r="D10" s="59"/>
      <c r="E10" s="56" t="s">
        <v>7</v>
      </c>
      <c r="F10" s="56"/>
      <c r="G10" s="59" t="s">
        <v>8</v>
      </c>
      <c r="H10" s="59"/>
      <c r="I10" s="59" t="s">
        <v>9</v>
      </c>
      <c r="J10" s="59"/>
      <c r="K10" s="57" t="s">
        <v>10</v>
      </c>
      <c r="L10" s="57"/>
      <c r="M10" s="57"/>
      <c r="N10" s="57"/>
      <c r="O10" s="57"/>
      <c r="P10" s="56" t="s">
        <v>11</v>
      </c>
      <c r="Q10" s="56"/>
      <c r="R10" s="57" t="s">
        <v>12</v>
      </c>
      <c r="S10" s="57"/>
      <c r="T10" s="8"/>
      <c r="U10" s="8"/>
    </row>
    <row r="11" spans="1:42">
      <c r="B11" s="9"/>
      <c r="C11" s="10" t="s">
        <v>13</v>
      </c>
      <c r="D11" s="11" t="s">
        <v>14</v>
      </c>
      <c r="E11" s="10" t="s">
        <v>13</v>
      </c>
      <c r="F11" s="12" t="s">
        <v>14</v>
      </c>
      <c r="G11" s="10" t="s">
        <v>13</v>
      </c>
      <c r="H11" s="12" t="s">
        <v>14</v>
      </c>
      <c r="I11" s="11" t="s">
        <v>13</v>
      </c>
      <c r="J11" s="11" t="s">
        <v>14</v>
      </c>
      <c r="K11" s="57" t="s">
        <v>14</v>
      </c>
      <c r="L11" s="57"/>
      <c r="M11" s="57"/>
      <c r="N11" s="57"/>
      <c r="O11" s="57"/>
      <c r="P11" s="11" t="s">
        <v>13</v>
      </c>
      <c r="Q11" s="11" t="s">
        <v>14</v>
      </c>
      <c r="R11" s="10" t="s">
        <v>13</v>
      </c>
      <c r="S11" s="12" t="str">
        <f>+K11</f>
        <v>Gatún</v>
      </c>
      <c r="T11" s="8"/>
      <c r="U11" s="8"/>
    </row>
    <row r="12" spans="1:42" ht="17.25" thickBot="1">
      <c r="B12" s="9" t="s">
        <v>15</v>
      </c>
      <c r="C12" s="13" t="s">
        <v>16</v>
      </c>
      <c r="D12" s="14" t="s">
        <v>16</v>
      </c>
      <c r="E12" s="13" t="s">
        <v>17</v>
      </c>
      <c r="F12" s="15" t="s">
        <v>17</v>
      </c>
      <c r="G12" s="13" t="s">
        <v>18</v>
      </c>
      <c r="H12" s="15" t="s">
        <v>18</v>
      </c>
      <c r="I12" s="14" t="s">
        <v>17</v>
      </c>
      <c r="J12" s="14" t="s">
        <v>17</v>
      </c>
      <c r="K12" s="13"/>
      <c r="L12" s="14"/>
      <c r="M12" s="14"/>
      <c r="N12" s="14"/>
      <c r="O12" s="15" t="s">
        <v>19</v>
      </c>
      <c r="P12" s="14" t="s">
        <v>17</v>
      </c>
      <c r="Q12" s="14" t="s">
        <v>17</v>
      </c>
      <c r="R12" s="13" t="s">
        <v>17</v>
      </c>
      <c r="S12" s="15" t="s">
        <v>17</v>
      </c>
      <c r="T12" s="8"/>
      <c r="U12" s="8"/>
    </row>
    <row r="13" spans="1:42" ht="41.25" customHeight="1" thickBot="1">
      <c r="B13" s="9" t="s">
        <v>15</v>
      </c>
      <c r="C13" s="13" t="s">
        <v>20</v>
      </c>
      <c r="D13" s="14" t="s">
        <v>21</v>
      </c>
      <c r="E13" s="13" t="s">
        <v>22</v>
      </c>
      <c r="F13" s="15" t="s">
        <v>23</v>
      </c>
      <c r="G13" s="13" t="s">
        <v>24</v>
      </c>
      <c r="H13" s="15" t="s">
        <v>25</v>
      </c>
      <c r="I13" s="14" t="s">
        <v>26</v>
      </c>
      <c r="J13" s="14" t="s">
        <v>27</v>
      </c>
      <c r="K13" s="13" t="s">
        <v>28</v>
      </c>
      <c r="L13" s="14" t="s">
        <v>29</v>
      </c>
      <c r="M13" s="14" t="s">
        <v>30</v>
      </c>
      <c r="N13" s="14" t="s">
        <v>31</v>
      </c>
      <c r="O13" s="16" t="s">
        <v>32</v>
      </c>
      <c r="P13" s="8" t="s">
        <v>33</v>
      </c>
      <c r="Q13" s="8" t="s">
        <v>34</v>
      </c>
      <c r="R13" s="13" t="s">
        <v>35</v>
      </c>
      <c r="S13" s="15" t="s">
        <v>36</v>
      </c>
      <c r="T13" s="8" t="s">
        <v>37</v>
      </c>
      <c r="U13" s="8" t="s">
        <v>38</v>
      </c>
      <c r="V13" s="17" t="s">
        <v>39</v>
      </c>
      <c r="W13" s="17" t="s">
        <v>40</v>
      </c>
      <c r="X13" s="17" t="s">
        <v>41</v>
      </c>
      <c r="Y13" s="17" t="s">
        <v>42</v>
      </c>
      <c r="Z13" s="17" t="s">
        <v>43</v>
      </c>
      <c r="AA13" s="17" t="s">
        <v>44</v>
      </c>
      <c r="AB13" s="17" t="s">
        <v>45</v>
      </c>
      <c r="AC13" s="18" t="s">
        <v>46</v>
      </c>
      <c r="AD13" s="1" t="s">
        <v>47</v>
      </c>
      <c r="AF13" s="19" t="s">
        <v>48</v>
      </c>
      <c r="AG13" s="19" t="s">
        <v>39</v>
      </c>
      <c r="AH13" s="19" t="s">
        <v>49</v>
      </c>
      <c r="AI13" s="19" t="s">
        <v>50</v>
      </c>
      <c r="AO13" s="20"/>
      <c r="AP13" s="21"/>
    </row>
    <row r="14" spans="1:42" ht="16.5" customHeight="1">
      <c r="A14" s="22">
        <f t="shared" ref="A14:A77" si="0">+INT(B14)</f>
        <v>46204</v>
      </c>
      <c r="B14" s="23">
        <f>+[1]Balance_Madden!A12</f>
        <v>46204</v>
      </c>
      <c r="C14" s="24">
        <f>+VLOOKUP(B14,[1]Balance_Madden!$A$12:$E$5000,2)</f>
        <v>226.68</v>
      </c>
      <c r="D14" s="25">
        <f>+VLOOKUP(B14,[1]Balance_Gatún!$A$13:$E$5087,2)</f>
        <v>84.932000000000002</v>
      </c>
      <c r="E14" s="24">
        <f>+VLOOKUP(B14,[1]Balance_Madden!$A$12:$E$5087,5)/35.32</f>
        <v>67.324603624009072</v>
      </c>
      <c r="F14" s="26">
        <f>+VLOOKUP(B14,[1]Balance_Gatún!$A$13:$E$5087,5)/35.32</f>
        <v>56.05971121177803</v>
      </c>
      <c r="G14" s="24">
        <f>+VLOOKUP(B14,[1]Balance_Madden!$A$12:$K$5087,9)/111</f>
        <v>18.09009009009009</v>
      </c>
      <c r="H14" s="25">
        <f>+VLOOKUP(B14,[1]Balance_Gatún!$A$13:$U$5087,21)/186</f>
        <v>0</v>
      </c>
      <c r="I14" s="24">
        <f>+(VLOOKUP(B14,[1]Balance_Madden!$A$12:$K$5087,10)/35.32)+VLOOKUP(B14,[1]Balance_Madden!$A$12:$K$5087,11)/35.32</f>
        <v>0</v>
      </c>
      <c r="J14" s="25">
        <f>+VLOOKUP(B14,[1]Balance_Gatún!$A$13:$AD$5087,23)/35.32+ VLOOKUP(B14,[1]Balance_Gatún!$A$13:$AD$5087,17)/35.32</f>
        <v>0</v>
      </c>
      <c r="K14" s="24">
        <f>+VLOOKUP(B14,[1]Balance_Gatún!$A$13:$AC$5087,10)</f>
        <v>26</v>
      </c>
      <c r="L14" s="25" t="str">
        <f>+VLOOKUP(B14,[1]Balance_Gatún!$A$13:$AC$5087,11)</f>
        <v>XFILL_PMG50%</v>
      </c>
      <c r="M14" s="25">
        <f>+VLOOKUP(B14,[1]Balance_Gatún!$A$13:$AC$5087,12)</f>
        <v>10</v>
      </c>
      <c r="N14" s="25" t="str">
        <f>+VLOOKUP(B14,[1]Balance_Gatún!$A$13:$AC$5087,13)</f>
        <v>TA</v>
      </c>
      <c r="O14" s="25">
        <f>+VLOOKUP(B14,[1]Balance_Gatún!$A$13:$AC$5087,14)/408.7</f>
        <v>8.1799679102277914</v>
      </c>
      <c r="P14" s="27">
        <f>+VLOOKUP(B14,[1]Balance_Madden!$A$12:$V$5087,12)/35.32</f>
        <v>1.8610348960004426</v>
      </c>
      <c r="Q14" s="28">
        <f>+VLOOKUP(B14,[1]Balance_Gatún!$A$13:$AD$5087,15)/35.32</f>
        <v>20.434025978078079</v>
      </c>
      <c r="R14" s="24">
        <f>+VLOOKUP(B14,[1]Balance_Madden!$A$12:$V$5087,14)/35.32</f>
        <v>70.966357659307363</v>
      </c>
      <c r="S14" s="26">
        <f>[1]Balance_Gatún!X13/35.32</f>
        <v>126.69988929397574</v>
      </c>
      <c r="T14" s="25">
        <v>55.357048988677292</v>
      </c>
      <c r="U14" s="25">
        <v>74.671935564251612</v>
      </c>
      <c r="V14" s="29">
        <f>LOOKUP(D14,[1]Parámetros!$A$7:$A$24,[1]Parámetros!$B$7:$B$24)</f>
        <v>49.5</v>
      </c>
      <c r="W14" s="30" t="str">
        <f t="shared" ref="W14:W77" si="1">IF(V14&lt;&gt;V13,"Cambio Calado","")</f>
        <v>Cambio Calado</v>
      </c>
      <c r="X14" s="31">
        <f>IF(W14&lt;&gt;"",INT(A14),"")</f>
        <v>46204</v>
      </c>
      <c r="Y14" s="30">
        <f>IF($W14="Cambio Calado",COUNTIF($W14:W$14,"Cambio Calado"),"")</f>
        <v>1</v>
      </c>
      <c r="Z14" s="31">
        <f>IF($W14="Cambio Calado",$X14,"")</f>
        <v>46204</v>
      </c>
      <c r="AA14" s="30">
        <f>IF($W14="Cambio Calado",$V14,"")</f>
        <v>49.5</v>
      </c>
      <c r="AB14" s="29">
        <f>IFERROR(LOOKUP($A14,$Z14:$Z$14,$AA14:$AA$14),$U14)</f>
        <v>49.5</v>
      </c>
      <c r="AC14" s="32">
        <f>IFERROR($A15-LOOKUP($A15,$Z$14:$Z14),"")</f>
        <v>1</v>
      </c>
      <c r="AD14" s="1" cm="1">
        <f t="array" ref="AD14">IF(B14&lt;&gt;"",80,_xludf.NA())</f>
        <v>80</v>
      </c>
      <c r="AF14" s="33">
        <f>IFERROR(INDEX($X$14:$X$197,MATCH(ROWS($AF14:AF$14),$Y$14:$Y$197,0)),"")</f>
        <v>46204</v>
      </c>
      <c r="AG14" s="34">
        <f>IFERROR(INDEX($V$14:$V$197,MATCH(ROWS($AF14:AF$14),$Y$14:$Y$197,0)),"")</f>
        <v>49.5</v>
      </c>
      <c r="AH14" s="34">
        <f>IFERROR(INDEX($X$14:$X$197,MATCH(ROWS($AF14:AF$14)+1,$Y$14:$Y$197,0))-AF14,"")</f>
        <v>37</v>
      </c>
      <c r="AI14" s="35" t="str">
        <f t="shared" ref="AI14:AI27" si="2">IF(AF14="","","Cambio Calado")</f>
        <v>Cambio Calado</v>
      </c>
      <c r="AO14" s="36"/>
      <c r="AP14" s="37"/>
    </row>
    <row r="15" spans="1:42" ht="15.75" customHeight="1">
      <c r="A15" s="22">
        <f t="shared" si="0"/>
        <v>46205</v>
      </c>
      <c r="B15" s="9">
        <f>+[1]Balance_Madden!A13</f>
        <v>46205</v>
      </c>
      <c r="C15" s="24">
        <f>+VLOOKUP(B15,[1]Balance_Madden!$A$12:$E$5000,2)</f>
        <v>226.32</v>
      </c>
      <c r="D15" s="25">
        <f>+VLOOKUP(B15,[1]Balance_Gatún!$A$13:$E$5087,2)</f>
        <v>84.912000000000006</v>
      </c>
      <c r="E15" s="24">
        <f>+VLOOKUP(B15,[1]Balance_Madden!$A$12:$E$5087,5)/35.32</f>
        <v>30.045016987542471</v>
      </c>
      <c r="F15" s="26">
        <f>+VLOOKUP(B15,[1]Balance_Gatún!$A$13:$E$5087,5)/35.32</f>
        <v>49.616789354473383</v>
      </c>
      <c r="G15" s="24">
        <f>+VLOOKUP(B15,[1]Balance_Madden!$A$12:$K$5087,9)/111</f>
        <v>18.09009009009009</v>
      </c>
      <c r="H15" s="25">
        <f>+VLOOKUP(B15,[1]Balance_Gatún!$A$13:$U$5087,21)/186</f>
        <v>0</v>
      </c>
      <c r="I15" s="24">
        <f>+(VLOOKUP(B15,[1]Balance_Madden!$A$12:$K$5087,10)/35.32)+VLOOKUP(B15,[1]Balance_Madden!$A$12:$K$5087,11)/35.32</f>
        <v>0</v>
      </c>
      <c r="J15" s="25">
        <f>+VLOOKUP(B15,[1]Balance_Gatún!$A$13:$AD$5087,23)/35.32+ VLOOKUP(B15,[1]Balance_Gatún!$A$13:$AD$5087,17)/35.32</f>
        <v>0</v>
      </c>
      <c r="K15" s="24">
        <f>+VLOOKUP(B15,[1]Balance_Gatún!$A$13:$AC$5087,10)</f>
        <v>26</v>
      </c>
      <c r="L15" s="25" t="str">
        <f>+VLOOKUP(B15,[1]Balance_Gatún!$A$13:$AC$5087,11)</f>
        <v>XFILL_PMG50%</v>
      </c>
      <c r="M15" s="25">
        <f>+VLOOKUP(B15,[1]Balance_Gatún!$A$13:$AC$5087,12)</f>
        <v>10</v>
      </c>
      <c r="N15" s="25" t="str">
        <f>+VLOOKUP(B15,[1]Balance_Gatún!$A$13:$AC$5087,13)</f>
        <v>TA+CCL50%</v>
      </c>
      <c r="O15" s="25">
        <f>+VLOOKUP(B15,[1]Balance_Gatún!$A$13:$AC$5087,14)/408.7</f>
        <v>7.5832143586208014</v>
      </c>
      <c r="P15" s="24">
        <f>+VLOOKUP(B15,[1]Balance_Madden!$A$12:$V$5087,12)/35.32</f>
        <v>1.8390792650296095</v>
      </c>
      <c r="Q15" s="25">
        <f>+VLOOKUP(B15,[1]Balance_Gatún!$A$13:$AD$5087,15)/35.32</f>
        <v>20.293115218084807</v>
      </c>
      <c r="R15" s="24">
        <f>+VLOOKUP(B15,[1]Balance_Madden!$A$12:$V$5087,14)/35.32</f>
        <v>70.944402028336526</v>
      </c>
      <c r="S15" s="26">
        <f>[1]Balance_Gatún!X14/35.32</f>
        <v>119.65373571003633</v>
      </c>
      <c r="T15" s="25">
        <v>39.534934649624809</v>
      </c>
      <c r="U15" s="25">
        <v>61.499787673842185</v>
      </c>
      <c r="V15" s="29">
        <f>LOOKUP(D15,[1]Parámetros!$A$7:$A$24,[1]Parámetros!$B$7:$B$24)</f>
        <v>49.5</v>
      </c>
      <c r="W15" s="30" t="str">
        <f t="shared" si="1"/>
        <v/>
      </c>
      <c r="X15" s="31" t="str">
        <f t="shared" ref="X15:X78" si="3">IF(W15&lt;&gt;"",INT(A15),"")</f>
        <v/>
      </c>
      <c r="Y15" s="30" t="str">
        <f>IF($W15="Cambio Calado",COUNTIF($W$14:W15,"Cambio Calado"),"")</f>
        <v/>
      </c>
      <c r="Z15" s="31" t="str">
        <f t="shared" ref="Z15:Z78" si="4">IF($W15="Cambio Calado",$X15,"")</f>
        <v/>
      </c>
      <c r="AA15" s="30" t="str">
        <f t="shared" ref="AA15:AA78" si="5">IF($W15="Cambio Calado",$V15,"")</f>
        <v/>
      </c>
      <c r="AB15" s="29">
        <f>IFERROR(LOOKUP($A15,$Z$14:$Z15,$AA$14:$AA15),$U15)</f>
        <v>49.5</v>
      </c>
      <c r="AC15" s="32">
        <f>IFERROR($A16-LOOKUP($A16,$Z$14:$Z15),"")</f>
        <v>2</v>
      </c>
      <c r="AD15" s="1" cm="1">
        <f t="array" ref="AD15">IF(B15&lt;&gt;"",80,_xludf.NA())</f>
        <v>80</v>
      </c>
      <c r="AF15" s="33">
        <f>IFERROR(INDEX($X$14:$X$197,MATCH(ROWS($AF$14:AF15),$Y$14:$Y$197,0)),"")</f>
        <v>46241</v>
      </c>
      <c r="AG15" s="34">
        <f>IFERROR(INDEX($V$14:$V$197,MATCH(ROWS($AF$14:AF15),$Y$14:$Y$197,0)),"")</f>
        <v>49</v>
      </c>
      <c r="AH15" s="34">
        <f>IFERROR(INDEX($X$14:$X$197,MATCH(ROWS($AF$14:AF15)+1,$Y$14:$Y$197,0))-AF15,"")</f>
        <v>14</v>
      </c>
      <c r="AI15" s="35" t="str">
        <f t="shared" si="2"/>
        <v>Cambio Calado</v>
      </c>
      <c r="AO15" s="38"/>
      <c r="AP15" s="39"/>
    </row>
    <row r="16" spans="1:42">
      <c r="A16" s="22">
        <f t="shared" si="0"/>
        <v>46206</v>
      </c>
      <c r="B16" s="9">
        <f>+[1]Balance_Madden!A14</f>
        <v>46206</v>
      </c>
      <c r="C16" s="24">
        <f>+VLOOKUP(B16,[1]Balance_Madden!$A$12:$E$5000,2)</f>
        <v>226.04</v>
      </c>
      <c r="D16" s="25">
        <f>+VLOOKUP(B16,[1]Balance_Gatún!$A$13:$E$5087,2)</f>
        <v>84.882999999999996</v>
      </c>
      <c r="E16" s="24">
        <f>+VLOOKUP(B16,[1]Balance_Madden!$A$12:$E$5087,5)/35.32</f>
        <v>25.002378255945636</v>
      </c>
      <c r="F16" s="26">
        <f>+VLOOKUP(B16,[1]Balance_Gatún!$A$13:$E$5087,5)/35.32</f>
        <v>42.174093997734992</v>
      </c>
      <c r="G16" s="24">
        <f>+VLOOKUP(B16,[1]Balance_Madden!$A$12:$K$5087,9)/111</f>
        <v>18.09009009009009</v>
      </c>
      <c r="H16" s="25">
        <f>+VLOOKUP(B16,[1]Balance_Gatún!$A$13:$U$5087,21)/186</f>
        <v>0</v>
      </c>
      <c r="I16" s="24">
        <f>+(VLOOKUP(B16,[1]Balance_Madden!$A$12:$K$5087,10)/35.32)+VLOOKUP(B16,[1]Balance_Madden!$A$12:$K$5087,11)/35.32</f>
        <v>0</v>
      </c>
      <c r="J16" s="25">
        <f>+VLOOKUP(B16,[1]Balance_Gatún!$A$13:$AD$5087,23)/35.32+ VLOOKUP(B16,[1]Balance_Gatún!$A$13:$AD$5087,17)/35.32</f>
        <v>0</v>
      </c>
      <c r="K16" s="24">
        <f>+VLOOKUP(B16,[1]Balance_Gatún!$A$13:$AC$5087,10)</f>
        <v>26</v>
      </c>
      <c r="L16" s="25" t="str">
        <f>+VLOOKUP(B16,[1]Balance_Gatún!$A$13:$AC$5087,11)</f>
        <v>XFILL_PMG50%</v>
      </c>
      <c r="M16" s="25">
        <f>+VLOOKUP(B16,[1]Balance_Gatún!$A$13:$AC$5087,12)</f>
        <v>10</v>
      </c>
      <c r="N16" s="25" t="str">
        <f>+VLOOKUP(B16,[1]Balance_Gatún!$A$13:$AC$5087,13)</f>
        <v>TA+CCL50%</v>
      </c>
      <c r="O16" s="25">
        <f>+VLOOKUP(B16,[1]Balance_Gatún!$A$13:$AC$5087,14)/408.7</f>
        <v>7.5766986323304888</v>
      </c>
      <c r="P16" s="24">
        <f>+VLOOKUP(B16,[1]Balance_Madden!$A$12:$V$5087,12)/35.32</f>
        <v>1.7792116318634439</v>
      </c>
      <c r="Q16" s="25">
        <f>+VLOOKUP(B16,[1]Balance_Gatún!$A$13:$AD$5087,15)/35.32</f>
        <v>19.705062344221833</v>
      </c>
      <c r="R16" s="24">
        <f>+VLOOKUP(B16,[1]Balance_Madden!$A$12:$V$5087,14)/35.32</f>
        <v>70.884534395170363</v>
      </c>
      <c r="S16" s="26">
        <f>[1]Balance_Gatún!X15/35.32</f>
        <v>118.99028710189107</v>
      </c>
      <c r="T16" s="25">
        <v>47.509304069121995</v>
      </c>
      <c r="U16" s="25">
        <v>54.962462812976874</v>
      </c>
      <c r="V16" s="29">
        <f>LOOKUP(D16,[1]Parámetros!$A$7:$A$24,[1]Parámetros!$B$7:$B$24)</f>
        <v>49.5</v>
      </c>
      <c r="W16" s="30" t="str">
        <f t="shared" si="1"/>
        <v/>
      </c>
      <c r="X16" s="31" t="str">
        <f t="shared" si="3"/>
        <v/>
      </c>
      <c r="Y16" s="30" t="str">
        <f>IF($W16="Cambio Calado",COUNTIF($W$14:W16,"Cambio Calado"),"")</f>
        <v/>
      </c>
      <c r="Z16" s="31" t="str">
        <f t="shared" si="4"/>
        <v/>
      </c>
      <c r="AA16" s="30" t="str">
        <f t="shared" si="5"/>
        <v/>
      </c>
      <c r="AB16" s="29">
        <f>IFERROR(LOOKUP($A16,$Z$14:$Z16,$AA$14:$AA16),$U16)</f>
        <v>49.5</v>
      </c>
      <c r="AC16" s="32">
        <f>IFERROR($A17-LOOKUP($A17,$Z$14:$Z16),"")</f>
        <v>3</v>
      </c>
      <c r="AD16" s="1" cm="1">
        <f t="array" ref="AD16">IF(B16&lt;&gt;"",80,_xludf.NA())</f>
        <v>80</v>
      </c>
      <c r="AF16" s="33">
        <f>IFERROR(INDEX($X$14:$X$197,MATCH(ROWS($AF$14:AF16),$Y$14:$Y$197,0)),"")</f>
        <v>46255</v>
      </c>
      <c r="AG16" s="34">
        <f>IFERROR(INDEX($V$14:$V$197,MATCH(ROWS($AF$14:AF16),$Y$14:$Y$197,0)),"")</f>
        <v>48.5</v>
      </c>
      <c r="AH16" s="34">
        <f>IFERROR(INDEX($X$14:$X$197,MATCH(ROWS($AF$14:AF16)+1,$Y$14:$Y$197,0))-AF16,"")</f>
        <v>8</v>
      </c>
      <c r="AI16" s="35" t="str">
        <f t="shared" si="2"/>
        <v>Cambio Calado</v>
      </c>
      <c r="AO16" s="38"/>
      <c r="AP16" s="40"/>
    </row>
    <row r="17" spans="1:42">
      <c r="A17" s="22">
        <f t="shared" si="0"/>
        <v>46207</v>
      </c>
      <c r="B17" s="9">
        <f>+[1]Balance_Madden!A15</f>
        <v>46207</v>
      </c>
      <c r="C17" s="24">
        <f>+VLOOKUP(B17,[1]Balance_Madden!$A$12:$E$5000,2)</f>
        <v>225.98</v>
      </c>
      <c r="D17" s="25">
        <f>+VLOOKUP(B17,[1]Balance_Gatún!$A$13:$E$5087,2)</f>
        <v>84.903000000000006</v>
      </c>
      <c r="E17" s="24">
        <f>+VLOOKUP(B17,[1]Balance_Madden!$A$12:$E$5087,5)/35.32</f>
        <v>54.25240656851642</v>
      </c>
      <c r="F17" s="26">
        <f>+VLOOKUP(B17,[1]Balance_Gatún!$A$13:$E$5087,5)/35.32</f>
        <v>93.555011325028303</v>
      </c>
      <c r="G17" s="24">
        <f>+VLOOKUP(B17,[1]Balance_Madden!$A$12:$K$5087,9)/111</f>
        <v>18.09009009009009</v>
      </c>
      <c r="H17" s="25">
        <f>+VLOOKUP(B17,[1]Balance_Gatún!$A$13:$U$5087,21)/186</f>
        <v>0</v>
      </c>
      <c r="I17" s="24">
        <f>+(VLOOKUP(B17,[1]Balance_Madden!$A$12:$K$5087,10)/35.32)+VLOOKUP(B17,[1]Balance_Madden!$A$12:$K$5087,11)/35.32</f>
        <v>0</v>
      </c>
      <c r="J17" s="25">
        <f>+VLOOKUP(B17,[1]Balance_Gatún!$A$13:$AD$5087,23)/35.32+ VLOOKUP(B17,[1]Balance_Gatún!$A$13:$AD$5087,17)/35.32</f>
        <v>0</v>
      </c>
      <c r="K17" s="24">
        <f>+VLOOKUP(B17,[1]Balance_Gatún!$A$13:$AC$5087,10)</f>
        <v>26</v>
      </c>
      <c r="L17" s="25" t="str">
        <f>+VLOOKUP(B17,[1]Balance_Gatún!$A$13:$AC$5087,11)</f>
        <v>XFILL_PMG50%</v>
      </c>
      <c r="M17" s="25">
        <f>+VLOOKUP(B17,[1]Balance_Gatún!$A$13:$AC$5087,12)</f>
        <v>10</v>
      </c>
      <c r="N17" s="25" t="str">
        <f>+VLOOKUP(B17,[1]Balance_Gatún!$A$13:$AC$5087,13)</f>
        <v>TA+CCL50%</v>
      </c>
      <c r="O17" s="25">
        <f>+VLOOKUP(B17,[1]Balance_Gatún!$A$13:$AC$5087,14)/408.7</f>
        <v>7.5811922366686364</v>
      </c>
      <c r="P17" s="24">
        <f>+VLOOKUP(B17,[1]Balance_Madden!$A$12:$V$5087,12)/35.32</f>
        <v>1.2100772667974178</v>
      </c>
      <c r="Q17" s="25">
        <f>+VLOOKUP(B17,[1]Balance_Gatún!$A$13:$AD$5087,15)/35.32</f>
        <v>13.416880140048498</v>
      </c>
      <c r="R17" s="24">
        <f>+VLOOKUP(B17,[1]Balance_Madden!$A$12:$V$5087,14)/35.32</f>
        <v>70.315400030104328</v>
      </c>
      <c r="S17" s="26">
        <f>[1]Balance_Gatún!X16/35.32</f>
        <v>112.75410195584347</v>
      </c>
      <c r="T17" s="25">
        <v>36.6223891054604</v>
      </c>
      <c r="U17" s="25">
        <v>51.691881822141589</v>
      </c>
      <c r="V17" s="29">
        <f>LOOKUP(D17,[1]Parámetros!$A$7:$A$24,[1]Parámetros!$B$7:$B$24)</f>
        <v>49.5</v>
      </c>
      <c r="W17" s="30" t="str">
        <f t="shared" si="1"/>
        <v/>
      </c>
      <c r="X17" s="31" t="str">
        <f t="shared" si="3"/>
        <v/>
      </c>
      <c r="Y17" s="30" t="str">
        <f>IF($W17="Cambio Calado",COUNTIF($W$14:W17,"Cambio Calado"),"")</f>
        <v/>
      </c>
      <c r="Z17" s="31" t="str">
        <f t="shared" si="4"/>
        <v/>
      </c>
      <c r="AA17" s="30" t="str">
        <f t="shared" si="5"/>
        <v/>
      </c>
      <c r="AB17" s="29">
        <f>IFERROR(LOOKUP($A17,$Z$14:$Z17,$AA$14:$AA17),$U17)</f>
        <v>49.5</v>
      </c>
      <c r="AC17" s="32">
        <f>IFERROR($A18-LOOKUP($A18,$Z$14:$Z17),"")</f>
        <v>4</v>
      </c>
      <c r="AD17" s="1" cm="1">
        <f t="array" ref="AD17">IF(B17&lt;&gt;"",80,_xludf.NA())</f>
        <v>80</v>
      </c>
      <c r="AF17" s="33">
        <f>IFERROR(INDEX($X$14:$X$197,MATCH(ROWS($AF$14:AF17),$Y$14:$Y$197,0)),"")</f>
        <v>46263</v>
      </c>
      <c r="AG17" s="34">
        <f>IFERROR(INDEX($V$14:$V$197,MATCH(ROWS($AF$14:AF17),$Y$14:$Y$197,0)),"")</f>
        <v>49</v>
      </c>
      <c r="AH17" s="34">
        <f>IFERROR(INDEX($X$14:$X$197,MATCH(ROWS($AF$14:AF17)+1,$Y$14:$Y$197,0))-AF17,"")</f>
        <v>21</v>
      </c>
      <c r="AI17" s="35" t="str">
        <f t="shared" si="2"/>
        <v>Cambio Calado</v>
      </c>
      <c r="AO17" s="38"/>
      <c r="AP17" s="40"/>
    </row>
    <row r="18" spans="1:42">
      <c r="A18" s="22">
        <f t="shared" si="0"/>
        <v>46208</v>
      </c>
      <c r="B18" s="9">
        <f>+[1]Balance_Madden!A16</f>
        <v>46208</v>
      </c>
      <c r="C18" s="24">
        <f>+VLOOKUP(B18,[1]Balance_Madden!$A$12:$E$5000,2)</f>
        <v>225.71</v>
      </c>
      <c r="D18" s="25">
        <f>+VLOOKUP(B18,[1]Balance_Gatún!$A$13:$E$5087,2)</f>
        <v>84.87</v>
      </c>
      <c r="E18" s="24">
        <f>+VLOOKUP(B18,[1]Balance_Madden!$A$12:$E$5087,5)/35.32</f>
        <v>45.505945639864102</v>
      </c>
      <c r="F18" s="26">
        <f>+VLOOKUP(B18,[1]Balance_Gatún!$A$13:$E$5087,5)/35.32</f>
        <v>64.212231030577584</v>
      </c>
      <c r="G18" s="24">
        <f>+VLOOKUP(B18,[1]Balance_Madden!$A$12:$K$5087,9)/111</f>
        <v>18.09009009009009</v>
      </c>
      <c r="H18" s="25">
        <f>+VLOOKUP(B18,[1]Balance_Gatún!$A$13:$U$5087,21)/186</f>
        <v>0</v>
      </c>
      <c r="I18" s="24">
        <f>+(VLOOKUP(B18,[1]Balance_Madden!$A$12:$K$5087,10)/35.32)+VLOOKUP(B18,[1]Balance_Madden!$A$12:$K$5087,11)/35.32</f>
        <v>0</v>
      </c>
      <c r="J18" s="25">
        <f>+VLOOKUP(B18,[1]Balance_Gatún!$A$13:$AD$5087,23)/35.32+ VLOOKUP(B18,[1]Balance_Gatún!$A$13:$AD$5087,17)/35.32</f>
        <v>0</v>
      </c>
      <c r="K18" s="24">
        <f>+VLOOKUP(B18,[1]Balance_Gatún!$A$13:$AC$5087,10)</f>
        <v>26</v>
      </c>
      <c r="L18" s="25" t="str">
        <f>+VLOOKUP(B18,[1]Balance_Gatún!$A$13:$AC$5087,11)</f>
        <v>XFILL_PMG50%</v>
      </c>
      <c r="M18" s="25">
        <f>+VLOOKUP(B18,[1]Balance_Gatún!$A$13:$AC$5087,12)</f>
        <v>10</v>
      </c>
      <c r="N18" s="25" t="str">
        <f>+VLOOKUP(B18,[1]Balance_Gatún!$A$13:$AC$5087,13)</f>
        <v>TA+CCL50%</v>
      </c>
      <c r="O18" s="25">
        <f>+VLOOKUP(B18,[1]Balance_Gatún!$A$13:$AC$5087,14)/408.7</f>
        <v>7.5737777895106966</v>
      </c>
      <c r="P18" s="24">
        <f>+VLOOKUP(B18,[1]Balance_Madden!$A$12:$V$5087,12)/35.32</f>
        <v>0.60874734941684949</v>
      </c>
      <c r="Q18" s="25">
        <f>+VLOOKUP(B18,[1]Balance_Gatún!$A$13:$AD$5087,15)/35.32</f>
        <v>6.773252164072173</v>
      </c>
      <c r="R18" s="24">
        <f>+VLOOKUP(B18,[1]Balance_Madden!$A$12:$V$5087,14)/35.32</f>
        <v>69.714070112723761</v>
      </c>
      <c r="S18" s="26">
        <f>[1]Balance_Gatún!X17/35.32</f>
        <v>106.05309312027325</v>
      </c>
      <c r="T18" s="25">
        <v>26.038929349368807</v>
      </c>
      <c r="U18" s="25">
        <v>110.6514927073909</v>
      </c>
      <c r="V18" s="29">
        <f>LOOKUP(D18,[1]Parámetros!$A$7:$A$24,[1]Parámetros!$B$7:$B$24)</f>
        <v>49.5</v>
      </c>
      <c r="W18" s="30" t="str">
        <f t="shared" si="1"/>
        <v/>
      </c>
      <c r="X18" s="31" t="str">
        <f t="shared" si="3"/>
        <v/>
      </c>
      <c r="Y18" s="30" t="str">
        <f>IF($W18="Cambio Calado",COUNTIF($W$14:W18,"Cambio Calado"),"")</f>
        <v/>
      </c>
      <c r="Z18" s="31" t="str">
        <f t="shared" si="4"/>
        <v/>
      </c>
      <c r="AA18" s="30" t="str">
        <f t="shared" si="5"/>
        <v/>
      </c>
      <c r="AB18" s="29">
        <f>IFERROR(LOOKUP($A18,$Z$14:$Z18,$AA$14:$AA18),$U18)</f>
        <v>49.5</v>
      </c>
      <c r="AC18" s="32">
        <f>IFERROR($A19-LOOKUP($A19,$Z$14:$Z18),"")</f>
        <v>5</v>
      </c>
      <c r="AD18" s="1" cm="1">
        <f t="array" ref="AD18">IF(B18&lt;&gt;"",80,_xludf.NA())</f>
        <v>80</v>
      </c>
      <c r="AF18" s="33">
        <f>IFERROR(INDEX($X$14:$X$197,MATCH(ROWS($AF$14:AF18),$Y$14:$Y$197,0)),"")</f>
        <v>46284</v>
      </c>
      <c r="AG18" s="34">
        <f>IFERROR(INDEX($V$14:$V$197,MATCH(ROWS($AF$14:AF18),$Y$14:$Y$197,0)),"")</f>
        <v>49.5</v>
      </c>
      <c r="AH18" s="34">
        <f>IFERROR(INDEX($X$14:$X$197,MATCH(ROWS($AF$14:AF18)+1,$Y$14:$Y$197,0))-AF18,"")</f>
        <v>11</v>
      </c>
      <c r="AI18" s="35" t="str">
        <f t="shared" si="2"/>
        <v>Cambio Calado</v>
      </c>
      <c r="AO18" s="38"/>
      <c r="AP18" s="40"/>
    </row>
    <row r="19" spans="1:42">
      <c r="A19" s="22">
        <f t="shared" si="0"/>
        <v>46209</v>
      </c>
      <c r="B19" s="9">
        <f>+[1]Balance_Madden!A17</f>
        <v>46209</v>
      </c>
      <c r="C19" s="24">
        <f>+VLOOKUP(B19,[1]Balance_Madden!$A$12:$E$5000,2)</f>
        <v>225.45</v>
      </c>
      <c r="D19" s="25">
        <f>+VLOOKUP(B19,[1]Balance_Gatún!$A$13:$E$5087,2)</f>
        <v>84.869</v>
      </c>
      <c r="E19" s="24">
        <f>+VLOOKUP(B19,[1]Balance_Madden!$A$12:$E$5087,5)/35.32</f>
        <v>39.23649490373726</v>
      </c>
      <c r="F19" s="26">
        <f>+VLOOKUP(B19,[1]Balance_Gatún!$A$13:$E$5087,5)/35.32</f>
        <v>43.602151755379388</v>
      </c>
      <c r="G19" s="24">
        <f>+VLOOKUP(B19,[1]Balance_Madden!$A$12:$K$5087,9)/111</f>
        <v>18.09009009009009</v>
      </c>
      <c r="H19" s="25">
        <f>+VLOOKUP(B19,[1]Balance_Gatún!$A$13:$U$5087,21)/186</f>
        <v>0</v>
      </c>
      <c r="I19" s="24">
        <f>+(VLOOKUP(B19,[1]Balance_Madden!$A$12:$K$5087,10)/35.32)+VLOOKUP(B19,[1]Balance_Madden!$A$12:$K$5087,11)/35.32</f>
        <v>0</v>
      </c>
      <c r="J19" s="25">
        <f>+VLOOKUP(B19,[1]Balance_Gatún!$A$13:$AD$5087,23)/35.32+ VLOOKUP(B19,[1]Balance_Gatún!$A$13:$AD$5087,17)/35.32</f>
        <v>0</v>
      </c>
      <c r="K19" s="24">
        <f>+VLOOKUP(B19,[1]Balance_Gatún!$A$13:$AC$5087,10)</f>
        <v>26</v>
      </c>
      <c r="L19" s="25" t="str">
        <f>+VLOOKUP(B19,[1]Balance_Gatún!$A$13:$AC$5087,11)</f>
        <v>XFILL_PMG50%</v>
      </c>
      <c r="M19" s="25">
        <f>+VLOOKUP(B19,[1]Balance_Gatún!$A$13:$AC$5087,12)</f>
        <v>10</v>
      </c>
      <c r="N19" s="25" t="str">
        <f>+VLOOKUP(B19,[1]Balance_Gatún!$A$13:$AC$5087,13)</f>
        <v>TA+CCL50%</v>
      </c>
      <c r="O19" s="25">
        <f>+VLOOKUP(B19,[1]Balance_Gatún!$A$13:$AC$5087,14)/408.7</f>
        <v>7.5735531092937887</v>
      </c>
      <c r="P19" s="24">
        <f>+VLOOKUP(B19,[1]Balance_Madden!$A$12:$V$5087,12)/35.32</f>
        <v>0.21147595443155578</v>
      </c>
      <c r="Q19" s="25">
        <f>+VLOOKUP(B19,[1]Balance_Gatún!$A$13:$AD$5087,15)/35.32</f>
        <v>2.3618904849809748</v>
      </c>
      <c r="R19" s="24">
        <f>+VLOOKUP(B19,[1]Balance_Madden!$A$12:$V$5087,14)/35.32</f>
        <v>69.316798717738465</v>
      </c>
      <c r="S19" s="26">
        <f>[1]Balance_Gatún!X18/35.32</f>
        <v>101.63913158827575</v>
      </c>
      <c r="T19" s="25">
        <v>14.255201197329596</v>
      </c>
      <c r="U19" s="25">
        <v>40.842378517793136</v>
      </c>
      <c r="V19" s="29">
        <f>LOOKUP(D19,[1]Parámetros!$A$7:$A$24,[1]Parámetros!$B$7:$B$24)</f>
        <v>49.5</v>
      </c>
      <c r="W19" s="30" t="str">
        <f t="shared" si="1"/>
        <v/>
      </c>
      <c r="X19" s="31" t="str">
        <f t="shared" si="3"/>
        <v/>
      </c>
      <c r="Y19" s="30" t="str">
        <f>IF($W19="Cambio Calado",COUNTIF($W$14:W19,"Cambio Calado"),"")</f>
        <v/>
      </c>
      <c r="Z19" s="31" t="str">
        <f t="shared" si="4"/>
        <v/>
      </c>
      <c r="AA19" s="30" t="str">
        <f t="shared" si="5"/>
        <v/>
      </c>
      <c r="AB19" s="29">
        <f>IFERROR(LOOKUP($A19,$Z$14:$Z19,$AA$14:$AA19),$U19)</f>
        <v>49.5</v>
      </c>
      <c r="AC19" s="32">
        <f>IFERROR($A20-LOOKUP($A20,$Z$14:$Z19),"")</f>
        <v>6</v>
      </c>
      <c r="AD19" s="1" cm="1">
        <f t="array" ref="AD19">IF(B19&lt;&gt;"",80,_xludf.NA())</f>
        <v>80</v>
      </c>
      <c r="AF19" s="33">
        <f>IFERROR(INDEX($X$14:$X$197,MATCH(ROWS($AF$14:AF19),$Y$14:$Y$197,0)),"")</f>
        <v>46295</v>
      </c>
      <c r="AG19" s="34">
        <f>IFERROR(INDEX($V$14:$V$197,MATCH(ROWS($AF$14:AF19),$Y$14:$Y$197,0)),"")</f>
        <v>50</v>
      </c>
      <c r="AH19" s="34">
        <f>IFERROR(INDEX($X$14:$X$197,MATCH(ROWS($AF$14:AF19)+1,$Y$14:$Y$197,0))-AF19,"")</f>
        <v>1</v>
      </c>
      <c r="AI19" s="35" t="str">
        <f t="shared" si="2"/>
        <v>Cambio Calado</v>
      </c>
      <c r="AO19" s="38"/>
      <c r="AP19" s="40"/>
    </row>
    <row r="20" spans="1:42" ht="15.75" thickBot="1">
      <c r="A20" s="22">
        <f t="shared" si="0"/>
        <v>46210</v>
      </c>
      <c r="B20" s="9">
        <f>+[1]Balance_Madden!A18</f>
        <v>46210</v>
      </c>
      <c r="C20" s="24">
        <f>+VLOOKUP(B20,[1]Balance_Madden!$A$12:$E$5000,2)</f>
        <v>225.14</v>
      </c>
      <c r="D20" s="25">
        <f>+VLOOKUP(B20,[1]Balance_Gatún!$A$13:$E$5087,2)</f>
        <v>84.828999999999994</v>
      </c>
      <c r="E20" s="24">
        <f>+VLOOKUP(B20,[1]Balance_Madden!$A$12:$E$5087,5)/35.32</f>
        <v>35.276868629671576</v>
      </c>
      <c r="F20" s="26">
        <f>+VLOOKUP(B20,[1]Balance_Gatún!$A$13:$E$5087,5)/35.32</f>
        <v>42.57163080407701</v>
      </c>
      <c r="G20" s="24">
        <f>+VLOOKUP(B20,[1]Balance_Madden!$A$12:$K$5087,9)/111</f>
        <v>18.09009009009009</v>
      </c>
      <c r="H20" s="25">
        <f>+VLOOKUP(B20,[1]Balance_Gatún!$A$13:$U$5087,21)/186</f>
        <v>0</v>
      </c>
      <c r="I20" s="24">
        <f>+(VLOOKUP(B20,[1]Balance_Madden!$A$12:$K$5087,10)/35.32)+VLOOKUP(B20,[1]Balance_Madden!$A$12:$K$5087,11)/35.32</f>
        <v>0</v>
      </c>
      <c r="J20" s="25">
        <f>+VLOOKUP(B20,[1]Balance_Gatún!$A$13:$AD$5087,23)/35.32+ VLOOKUP(B20,[1]Balance_Gatún!$A$13:$AD$5087,17)/35.32</f>
        <v>0</v>
      </c>
      <c r="K20" s="24">
        <f>+VLOOKUP(B20,[1]Balance_Gatún!$A$13:$AC$5087,10)</f>
        <v>26</v>
      </c>
      <c r="L20" s="25" t="str">
        <f>+VLOOKUP(B20,[1]Balance_Gatún!$A$13:$AC$5087,11)</f>
        <v>XFILL_PMG50%</v>
      </c>
      <c r="M20" s="25">
        <f>+VLOOKUP(B20,[1]Balance_Gatún!$A$13:$AC$5087,12)</f>
        <v>10</v>
      </c>
      <c r="N20" s="25" t="str">
        <f>+VLOOKUP(B20,[1]Balance_Gatún!$A$13:$AC$5087,13)</f>
        <v>TA+CCL50%</v>
      </c>
      <c r="O20" s="25">
        <f>+VLOOKUP(B20,[1]Balance_Gatún!$A$13:$AC$5087,14)/408.7</f>
        <v>7.5645659006174997</v>
      </c>
      <c r="P20" s="24">
        <f>+VLOOKUP(B20,[1]Balance_Madden!$A$12:$V$5087,12)/35.32</f>
        <v>1.2747738292635085</v>
      </c>
      <c r="Q20" s="25">
        <f>+VLOOKUP(B20,[1]Balance_Gatún!$A$13:$AD$5087,15)/35.32</f>
        <v>14.294744545636819</v>
      </c>
      <c r="R20" s="24">
        <f>+VLOOKUP(B20,[1]Balance_Madden!$A$12:$V$5087,14)/35.32</f>
        <v>70.380096592570425</v>
      </c>
      <c r="S20" s="26">
        <f>[1]Balance_Gatún!X19/35.32</f>
        <v>113.46799153268019</v>
      </c>
      <c r="T20" s="25">
        <v>64.873996609767701</v>
      </c>
      <c r="U20" s="25">
        <v>77.131751943523966</v>
      </c>
      <c r="V20" s="29">
        <f>LOOKUP(D20,[1]Parámetros!$A$7:$A$24,[1]Parámetros!$B$7:$B$24)</f>
        <v>49.5</v>
      </c>
      <c r="W20" s="30" t="str">
        <f t="shared" si="1"/>
        <v/>
      </c>
      <c r="X20" s="31" t="str">
        <f t="shared" si="3"/>
        <v/>
      </c>
      <c r="Y20" s="30" t="str">
        <f>IF($W20="Cambio Calado",COUNTIF($W$14:W20,"Cambio Calado"),"")</f>
        <v/>
      </c>
      <c r="Z20" s="31" t="str">
        <f t="shared" si="4"/>
        <v/>
      </c>
      <c r="AA20" s="30" t="str">
        <f t="shared" si="5"/>
        <v/>
      </c>
      <c r="AB20" s="29">
        <f>IFERROR(LOOKUP($A20,$Z$14:$Z20,$AA$14:$AA20),$U20)</f>
        <v>49.5</v>
      </c>
      <c r="AC20" s="32">
        <f>IFERROR($A21-LOOKUP($A21,$Z$14:$Z20),"")</f>
        <v>7</v>
      </c>
      <c r="AD20" s="1" cm="1">
        <f t="array" ref="AD20">IF(B20&lt;&gt;"",80,_xludf.NA())</f>
        <v>80</v>
      </c>
      <c r="AF20" s="33">
        <f>IFERROR(INDEX($X$14:$X$197,MATCH(ROWS($AF$14:AF20),$Y$14:$Y$197,0)),"")</f>
        <v>46296</v>
      </c>
      <c r="AG20" s="34">
        <f>IFERROR(INDEX($V$14:$V$197,MATCH(ROWS($AF$14:AF20),$Y$14:$Y$197,0)),"")</f>
        <v>49.5</v>
      </c>
      <c r="AH20" s="34">
        <f>IFERROR(INDEX($X$14:$X$197,MATCH(ROWS($AF$14:AF20)+1,$Y$14:$Y$197,0))-AF20,"")</f>
        <v>22</v>
      </c>
      <c r="AI20" s="35" t="str">
        <f t="shared" si="2"/>
        <v>Cambio Calado</v>
      </c>
      <c r="AO20" s="41"/>
      <c r="AP20" s="42"/>
    </row>
    <row r="21" spans="1:42">
      <c r="A21" s="22">
        <f t="shared" si="0"/>
        <v>46211</v>
      </c>
      <c r="B21" s="9">
        <f>+[1]Balance_Madden!A19</f>
        <v>46211</v>
      </c>
      <c r="C21" s="24">
        <f>+VLOOKUP(B21,[1]Balance_Madden!$A$12:$E$5000,2)</f>
        <v>224.8</v>
      </c>
      <c r="D21" s="25">
        <f>+VLOOKUP(B21,[1]Balance_Gatún!$A$13:$E$5087,2)</f>
        <v>84.792000000000002</v>
      </c>
      <c r="E21" s="24">
        <f>+VLOOKUP(B21,[1]Balance_Madden!$A$12:$E$5087,5)/35.32</f>
        <v>33.517015855039638</v>
      </c>
      <c r="F21" s="26">
        <f>+VLOOKUP(B21,[1]Balance_Gatún!$A$13:$E$5087,5)/35.32</f>
        <v>37.161494903737264</v>
      </c>
      <c r="G21" s="24">
        <f>+VLOOKUP(B21,[1]Balance_Madden!$A$12:$K$5087,9)/111</f>
        <v>18.09009009009009</v>
      </c>
      <c r="H21" s="25">
        <f>+VLOOKUP(B21,[1]Balance_Gatún!$A$13:$U$5087,21)/186</f>
        <v>0</v>
      </c>
      <c r="I21" s="24">
        <f>+(VLOOKUP(B21,[1]Balance_Madden!$A$12:$K$5087,10)/35.32)+VLOOKUP(B21,[1]Balance_Madden!$A$12:$K$5087,11)/35.32</f>
        <v>0</v>
      </c>
      <c r="J21" s="25">
        <f>+VLOOKUP(B21,[1]Balance_Gatún!$A$13:$AD$5087,23)/35.32+ VLOOKUP(B21,[1]Balance_Gatún!$A$13:$AD$5087,17)/35.32</f>
        <v>0</v>
      </c>
      <c r="K21" s="24">
        <f>+VLOOKUP(B21,[1]Balance_Gatún!$A$13:$AC$5087,10)</f>
        <v>26</v>
      </c>
      <c r="L21" s="25" t="str">
        <f>+VLOOKUP(B21,[1]Balance_Gatún!$A$13:$AC$5087,11)</f>
        <v>XFILL_PMG50%</v>
      </c>
      <c r="M21" s="25">
        <f>+VLOOKUP(B21,[1]Balance_Gatún!$A$13:$AC$5087,12)</f>
        <v>10</v>
      </c>
      <c r="N21" s="25" t="str">
        <f>+VLOOKUP(B21,[1]Balance_Gatún!$A$13:$AC$5087,13)</f>
        <v>TA+CCL50%</v>
      </c>
      <c r="O21" s="25">
        <f>+VLOOKUP(B21,[1]Balance_Gatún!$A$13:$AC$5087,14)/408.7</f>
        <v>7.556252732591938</v>
      </c>
      <c r="P21" s="24">
        <f>+VLOOKUP(B21,[1]Balance_Madden!$A$12:$V$5087,12)/35.32</f>
        <v>1.4874072492791894</v>
      </c>
      <c r="Q21" s="25">
        <f>+VLOOKUP(B21,[1]Balance_Gatún!$A$13:$AD$5087,15)/35.32</f>
        <v>16.754450004672069</v>
      </c>
      <c r="R21" s="24">
        <f>+VLOOKUP(B21,[1]Balance_Madden!$A$12:$V$5087,14)/35.32</f>
        <v>70.592730012586102</v>
      </c>
      <c r="S21" s="26">
        <f>[1]Balance_Gatún!X20/35.32</f>
        <v>115.83150243418297</v>
      </c>
      <c r="T21" s="25">
        <v>45.523294550683822</v>
      </c>
      <c r="U21" s="25">
        <v>59.964628102416924</v>
      </c>
      <c r="V21" s="29">
        <f>LOOKUP(D21,[1]Parámetros!$A$7:$A$24,[1]Parámetros!$B$7:$B$24)</f>
        <v>49.5</v>
      </c>
      <c r="W21" s="30" t="str">
        <f t="shared" si="1"/>
        <v/>
      </c>
      <c r="X21" s="31" t="str">
        <f t="shared" si="3"/>
        <v/>
      </c>
      <c r="Y21" s="30" t="str">
        <f>IF($W21="Cambio Calado",COUNTIF($W$14:W21,"Cambio Calado"),"")</f>
        <v/>
      </c>
      <c r="Z21" s="31" t="str">
        <f t="shared" si="4"/>
        <v/>
      </c>
      <c r="AA21" s="30" t="str">
        <f t="shared" si="5"/>
        <v/>
      </c>
      <c r="AB21" s="29">
        <f>IFERROR(LOOKUP($A21,$Z$14:$Z21,$AA$14:$AA21),$U21)</f>
        <v>49.5</v>
      </c>
      <c r="AC21" s="32">
        <f>IFERROR($A22-LOOKUP($A22,$Z$14:$Z21),"")</f>
        <v>8</v>
      </c>
      <c r="AD21" s="1" cm="1">
        <f t="array" ref="AD21">IF(B21&lt;&gt;"",80,_xludf.NA())</f>
        <v>80</v>
      </c>
      <c r="AF21" s="33">
        <f>IFERROR(INDEX($X$14:$X$197,MATCH(ROWS($AF$14:AF21),$Y$14:$Y$197,0)),"")</f>
        <v>46318</v>
      </c>
      <c r="AG21" s="34">
        <f>IFERROR(INDEX($V$14:$V$197,MATCH(ROWS($AF$14:AF21),$Y$14:$Y$197,0)),"")</f>
        <v>49</v>
      </c>
      <c r="AH21" s="34">
        <f>IFERROR(INDEX($X$14:$X$197,MATCH(ROWS($AF$14:AF21)+1,$Y$14:$Y$197,0))-AF21,"")</f>
        <v>3</v>
      </c>
      <c r="AI21" s="35" t="str">
        <f t="shared" si="2"/>
        <v>Cambio Calado</v>
      </c>
    </row>
    <row r="22" spans="1:42">
      <c r="A22" s="22">
        <f t="shared" si="0"/>
        <v>46212</v>
      </c>
      <c r="B22" s="9">
        <f>+[1]Balance_Madden!A20</f>
        <v>46212</v>
      </c>
      <c r="C22" s="24">
        <f>+VLOOKUP(B22,[1]Balance_Madden!$A$12:$E$5000,2)</f>
        <v>224.49</v>
      </c>
      <c r="D22" s="25">
        <f>+VLOOKUP(B22,[1]Balance_Gatún!$A$13:$E$5087,2)</f>
        <v>84.816000000000003</v>
      </c>
      <c r="E22" s="24">
        <f>+VLOOKUP(B22,[1]Balance_Madden!$A$12:$E$5087,5)/35.32</f>
        <v>31.64719705549264</v>
      </c>
      <c r="F22" s="26">
        <f>+VLOOKUP(B22,[1]Balance_Gatún!$A$13:$E$5087,5)/35.32</f>
        <v>36.36285390713477</v>
      </c>
      <c r="G22" s="24">
        <f>+VLOOKUP(B22,[1]Balance_Madden!$A$12:$K$5087,9)/111</f>
        <v>18.09009009009009</v>
      </c>
      <c r="H22" s="25">
        <f>+VLOOKUP(B22,[1]Balance_Gatún!$A$13:$U$5087,21)/186</f>
        <v>0</v>
      </c>
      <c r="I22" s="24">
        <f>+(VLOOKUP(B22,[1]Balance_Madden!$A$12:$K$5087,10)/35.32)+VLOOKUP(B22,[1]Balance_Madden!$A$12:$K$5087,11)/35.32</f>
        <v>0</v>
      </c>
      <c r="J22" s="25">
        <f>+VLOOKUP(B22,[1]Balance_Gatún!$A$13:$AD$5087,23)/35.32+ VLOOKUP(B22,[1]Balance_Gatún!$A$13:$AD$5087,17)/35.32</f>
        <v>0</v>
      </c>
      <c r="K22" s="24">
        <f>+VLOOKUP(B22,[1]Balance_Gatún!$A$13:$AC$5087,10)</f>
        <v>26</v>
      </c>
      <c r="L22" s="25" t="str">
        <f>+VLOOKUP(B22,[1]Balance_Gatún!$A$13:$AC$5087,11)</f>
        <v>XFILL_PMG50%</v>
      </c>
      <c r="M22" s="25">
        <f>+VLOOKUP(B22,[1]Balance_Gatún!$A$13:$AC$5087,12)</f>
        <v>10</v>
      </c>
      <c r="N22" s="25" t="str">
        <f>+VLOOKUP(B22,[1]Balance_Gatún!$A$13:$AC$5087,13)</f>
        <v>TA+CCL50%</v>
      </c>
      <c r="O22" s="25">
        <f>+VLOOKUP(B22,[1]Balance_Gatún!$A$13:$AC$5087,14)/408.7</f>
        <v>7.5616450577977083</v>
      </c>
      <c r="P22" s="24">
        <f>+VLOOKUP(B22,[1]Balance_Madden!$A$12:$V$5087,12)/35.32</f>
        <v>3.9966202304194245</v>
      </c>
      <c r="Q22" s="25">
        <f>+VLOOKUP(B22,[1]Balance_Gatún!$A$13:$AD$5087,15)/35.32</f>
        <v>45.237790075522049</v>
      </c>
      <c r="R22" s="24">
        <f>+VLOOKUP(B22,[1]Balance_Madden!$A$12:$V$5087,14)/35.32</f>
        <v>73.10194299372634</v>
      </c>
      <c r="S22" s="26">
        <f>[1]Balance_Gatún!X21/35.32</f>
        <v>144.37723897478375</v>
      </c>
      <c r="T22" s="25">
        <v>24.754017029628756</v>
      </c>
      <c r="U22" s="25">
        <v>38.619125729499359</v>
      </c>
      <c r="V22" s="29">
        <f>LOOKUP(D22,[1]Parámetros!$A$7:$A$24,[1]Parámetros!$B$7:$B$24)</f>
        <v>49.5</v>
      </c>
      <c r="W22" s="30" t="str">
        <f t="shared" si="1"/>
        <v/>
      </c>
      <c r="X22" s="31" t="str">
        <f t="shared" si="3"/>
        <v/>
      </c>
      <c r="Y22" s="30" t="str">
        <f>IF($W22="Cambio Calado",COUNTIF($W$14:W22,"Cambio Calado"),"")</f>
        <v/>
      </c>
      <c r="Z22" s="31" t="str">
        <f t="shared" si="4"/>
        <v/>
      </c>
      <c r="AA22" s="30" t="str">
        <f t="shared" si="5"/>
        <v/>
      </c>
      <c r="AB22" s="29">
        <f>IFERROR(LOOKUP($A22,$Z$14:$Z22,$AA$14:$AA22),$U22)</f>
        <v>49.5</v>
      </c>
      <c r="AC22" s="32">
        <f>IFERROR($A23-LOOKUP($A23,$Z$14:$Z22),"")</f>
        <v>9</v>
      </c>
      <c r="AD22" s="1" cm="1">
        <f t="array" ref="AD22">IF(B22&lt;&gt;"",80,_xludf.NA())</f>
        <v>80</v>
      </c>
      <c r="AF22" s="33">
        <f>IFERROR(INDEX($X$14:$X$197,MATCH(ROWS($AF$14:AF22),$Y$14:$Y$197,0)),"")</f>
        <v>46321</v>
      </c>
      <c r="AG22" s="34">
        <f>IFERROR(INDEX($V$14:$V$197,MATCH(ROWS($AF$14:AF22),$Y$14:$Y$197,0)),"")</f>
        <v>49.5</v>
      </c>
      <c r="AH22" s="34">
        <f>IFERROR(INDEX($X$14:$X$197,MATCH(ROWS($AF$14:AF22)+1,$Y$14:$Y$197,0))-AF22,"")</f>
        <v>1</v>
      </c>
      <c r="AI22" s="35" t="str">
        <f t="shared" si="2"/>
        <v>Cambio Calado</v>
      </c>
    </row>
    <row r="23" spans="1:42">
      <c r="A23" s="22">
        <f t="shared" si="0"/>
        <v>46213</v>
      </c>
      <c r="B23" s="9">
        <f>+[1]Balance_Madden!A21</f>
        <v>46213</v>
      </c>
      <c r="C23" s="24">
        <f>+VLOOKUP(B23,[1]Balance_Madden!$A$12:$E$5000,2)</f>
        <v>224.17</v>
      </c>
      <c r="D23" s="25">
        <f>+VLOOKUP(B23,[1]Balance_Gatún!$A$13:$E$5087,2)</f>
        <v>84.787999999999997</v>
      </c>
      <c r="E23" s="24">
        <f>+VLOOKUP(B23,[1]Balance_Madden!$A$12:$E$5087,5)/35.32</f>
        <v>30.107332955832391</v>
      </c>
      <c r="F23" s="26">
        <f>+VLOOKUP(B23,[1]Balance_Gatún!$A$13:$E$5087,5)/35.32</f>
        <v>33.400141562853904</v>
      </c>
      <c r="G23" s="24">
        <f>+VLOOKUP(B23,[1]Balance_Madden!$A$12:$K$5087,9)/111</f>
        <v>18.27927927927928</v>
      </c>
      <c r="H23" s="25">
        <f>+VLOOKUP(B23,[1]Balance_Gatún!$A$13:$U$5087,21)/186</f>
        <v>0</v>
      </c>
      <c r="I23" s="24">
        <f>+(VLOOKUP(B23,[1]Balance_Madden!$A$12:$K$5087,10)/35.32)+VLOOKUP(B23,[1]Balance_Madden!$A$12:$K$5087,11)/35.32</f>
        <v>0</v>
      </c>
      <c r="J23" s="25">
        <f>+VLOOKUP(B23,[1]Balance_Gatún!$A$13:$AD$5087,23)/35.32+ VLOOKUP(B23,[1]Balance_Gatún!$A$13:$AD$5087,17)/35.32</f>
        <v>0</v>
      </c>
      <c r="K23" s="24">
        <f>+VLOOKUP(B23,[1]Balance_Gatún!$A$13:$AC$5087,10)</f>
        <v>26</v>
      </c>
      <c r="L23" s="25" t="str">
        <f>+VLOOKUP(B23,[1]Balance_Gatún!$A$13:$AC$5087,11)</f>
        <v>XFILL_PMG50%</v>
      </c>
      <c r="M23" s="25">
        <f>+VLOOKUP(B23,[1]Balance_Gatún!$A$13:$AC$5087,12)</f>
        <v>10</v>
      </c>
      <c r="N23" s="25" t="str">
        <f>+VLOOKUP(B23,[1]Balance_Gatún!$A$13:$AC$5087,13)</f>
        <v>TA+CCL50%</v>
      </c>
      <c r="O23" s="25">
        <f>+VLOOKUP(B23,[1]Balance_Gatún!$A$13:$AC$5087,14)/408.7</f>
        <v>7.5553540117243054</v>
      </c>
      <c r="P23" s="24">
        <f>+VLOOKUP(B23,[1]Balance_Madden!$A$12:$V$5087,12)/35.32</f>
        <v>1.0205909156309834</v>
      </c>
      <c r="Q23" s="25">
        <f>+VLOOKUP(B23,[1]Balance_Gatún!$A$13:$AD$5087,15)/35.32</f>
        <v>11.602479218296509</v>
      </c>
      <c r="R23" s="24">
        <f>+VLOOKUP(B23,[1]Balance_Madden!$A$12:$V$5087,14)/35.32</f>
        <v>70.720477665347858</v>
      </c>
      <c r="S23" s="26">
        <f>[1]Balance_Gatún!X22/35.32</f>
        <v>110.66913223618222</v>
      </c>
      <c r="T23" s="25">
        <v>78.979501420159394</v>
      </c>
      <c r="U23" s="25">
        <v>32.012869890269414</v>
      </c>
      <c r="V23" s="29">
        <f>LOOKUP(D23,[1]Parámetros!$A$7:$A$24,[1]Parámetros!$B$7:$B$24)</f>
        <v>49.5</v>
      </c>
      <c r="W23" s="30" t="str">
        <f t="shared" si="1"/>
        <v/>
      </c>
      <c r="X23" s="31" t="str">
        <f t="shared" si="3"/>
        <v/>
      </c>
      <c r="Y23" s="30" t="str">
        <f>IF($W23="Cambio Calado",COUNTIF($W$14:W23,"Cambio Calado"),"")</f>
        <v/>
      </c>
      <c r="Z23" s="31" t="str">
        <f t="shared" si="4"/>
        <v/>
      </c>
      <c r="AA23" s="30" t="str">
        <f t="shared" si="5"/>
        <v/>
      </c>
      <c r="AB23" s="29">
        <f>IFERROR(LOOKUP($A23,$Z$14:$Z23,$AA$14:$AA23),$U23)</f>
        <v>49.5</v>
      </c>
      <c r="AC23" s="32">
        <f>IFERROR($A24-LOOKUP($A24,$Z$14:$Z23),"")</f>
        <v>10</v>
      </c>
      <c r="AD23" s="1" cm="1">
        <f t="array" ref="AD23">IF(B23&lt;&gt;"",80,_xludf.NA())</f>
        <v>80</v>
      </c>
      <c r="AF23" s="33">
        <f>IFERROR(INDEX($X$14:$X$197,MATCH(ROWS($AF$14:AF23),$Y$14:$Y$197,0)),"")</f>
        <v>46322</v>
      </c>
      <c r="AG23" s="34">
        <f>IFERROR(INDEX($V$14:$V$197,MATCH(ROWS($AF$14:AF23),$Y$14:$Y$197,0)),"")</f>
        <v>49</v>
      </c>
      <c r="AH23" s="34">
        <f>IFERROR(INDEX($X$14:$X$197,MATCH(ROWS($AF$14:AF23)+1,$Y$14:$Y$197,0))-AF23,"")</f>
        <v>46</v>
      </c>
      <c r="AI23" s="35" t="str">
        <f t="shared" si="2"/>
        <v>Cambio Calado</v>
      </c>
    </row>
    <row r="24" spans="1:42">
      <c r="A24" s="22">
        <f t="shared" si="0"/>
        <v>46214</v>
      </c>
      <c r="B24" s="9">
        <f>+[1]Balance_Madden!A22</f>
        <v>46214</v>
      </c>
      <c r="C24" s="24">
        <f>+VLOOKUP(B24,[1]Balance_Madden!$A$12:$E$5000,2)</f>
        <v>223.85</v>
      </c>
      <c r="D24" s="25">
        <f>+VLOOKUP(B24,[1]Balance_Gatún!$A$13:$E$5087,2)</f>
        <v>84.766000000000005</v>
      </c>
      <c r="E24" s="24">
        <f>+VLOOKUP(B24,[1]Balance_Madden!$A$12:$E$5087,5)/35.32</f>
        <v>29.312315968289919</v>
      </c>
      <c r="F24" s="26">
        <f>+VLOOKUP(B24,[1]Balance_Gatún!$A$13:$E$5087,5)/35.32</f>
        <v>23.855889014722539</v>
      </c>
      <c r="G24" s="24">
        <f>+VLOOKUP(B24,[1]Balance_Madden!$A$12:$K$5087,9)/111</f>
        <v>18.27927927927928</v>
      </c>
      <c r="H24" s="25">
        <f>+VLOOKUP(B24,[1]Balance_Gatún!$A$13:$U$5087,21)/186</f>
        <v>0</v>
      </c>
      <c r="I24" s="24">
        <f>+(VLOOKUP(B24,[1]Balance_Madden!$A$12:$K$5087,10)/35.32)+VLOOKUP(B24,[1]Balance_Madden!$A$12:$K$5087,11)/35.32</f>
        <v>0</v>
      </c>
      <c r="J24" s="25">
        <f>+VLOOKUP(B24,[1]Balance_Gatún!$A$13:$AD$5087,23)/35.32+ VLOOKUP(B24,[1]Balance_Gatún!$A$13:$AD$5087,17)/35.32</f>
        <v>0</v>
      </c>
      <c r="K24" s="24">
        <f>+VLOOKUP(B24,[1]Balance_Gatún!$A$13:$AC$5087,10)</f>
        <v>26</v>
      </c>
      <c r="L24" s="25" t="str">
        <f>+VLOOKUP(B24,[1]Balance_Gatún!$A$13:$AC$5087,11)</f>
        <v>InnerGate</v>
      </c>
      <c r="M24" s="25">
        <f>+VLOOKUP(B24,[1]Balance_Gatún!$A$13:$AC$5087,12)</f>
        <v>10</v>
      </c>
      <c r="N24" s="25" t="str">
        <f>+VLOOKUP(B24,[1]Balance_Gatún!$A$13:$AC$5087,13)</f>
        <v>TA+CCL50%</v>
      </c>
      <c r="O24" s="25">
        <f>+VLOOKUP(B24,[1]Balance_Gatún!$A$13:$AC$5087,14)/408.7</f>
        <v>8.2185092238715338</v>
      </c>
      <c r="P24" s="24">
        <f>+VLOOKUP(B24,[1]Balance_Madden!$A$12:$V$5087,12)/35.32</f>
        <v>2.1538078936700455</v>
      </c>
      <c r="Q24" s="25">
        <f>+VLOOKUP(B24,[1]Balance_Gatún!$A$13:$AD$5087,15)/35.32</f>
        <v>24.594348081316635</v>
      </c>
      <c r="R24" s="24">
        <f>+VLOOKUP(B24,[1]Balance_Madden!$A$12:$V$5087,14)/35.32</f>
        <v>71.85369464338693</v>
      </c>
      <c r="S24" s="26">
        <f>[1]Balance_Gatún!X23/35.32</f>
        <v>131.33460062368061</v>
      </c>
      <c r="T24" s="25">
        <v>34.075479452385594</v>
      </c>
      <c r="U24" s="25">
        <v>30.612643909578242</v>
      </c>
      <c r="V24" s="29">
        <f>LOOKUP(D24,[1]Parámetros!$A$7:$A$24,[1]Parámetros!$B$7:$B$24)</f>
        <v>49.5</v>
      </c>
      <c r="W24" s="30" t="str">
        <f t="shared" si="1"/>
        <v/>
      </c>
      <c r="X24" s="31" t="str">
        <f t="shared" si="3"/>
        <v/>
      </c>
      <c r="Y24" s="30" t="str">
        <f>IF($W24="Cambio Calado",COUNTIF($W$14:W24,"Cambio Calado"),"")</f>
        <v/>
      </c>
      <c r="Z24" s="31" t="str">
        <f t="shared" si="4"/>
        <v/>
      </c>
      <c r="AA24" s="30" t="str">
        <f t="shared" si="5"/>
        <v/>
      </c>
      <c r="AB24" s="29">
        <f>IFERROR(LOOKUP($A24,$Z$14:$Z24,$AA$14:$AA24),$U24)</f>
        <v>49.5</v>
      </c>
      <c r="AC24" s="32">
        <f>IFERROR($A25-LOOKUP($A25,$Z$14:$Z24),"")</f>
        <v>11</v>
      </c>
      <c r="AD24" s="1" cm="1">
        <f t="array" ref="AD24">IF(B24&lt;&gt;"",80,_xludf.NA())</f>
        <v>80</v>
      </c>
      <c r="AF24" s="33">
        <f>IFERROR(INDEX($X$14:$X$197,MATCH(ROWS($AF$14:AF24),$Y$14:$Y$197,0)),"")</f>
        <v>46368</v>
      </c>
      <c r="AG24" s="34">
        <f>IFERROR(INDEX($V$14:$V$197,MATCH(ROWS($AF$14:AF24),$Y$14:$Y$197,0)),"")</f>
        <v>48.5</v>
      </c>
      <c r="AH24" s="34" t="str">
        <f>IFERROR(INDEX($X$14:$X$197,MATCH(ROWS($AF$14:AF24)+1,$Y$14:$Y$197,0))-AF24,"")</f>
        <v/>
      </c>
      <c r="AI24" s="35" t="str">
        <f t="shared" si="2"/>
        <v>Cambio Calado</v>
      </c>
    </row>
    <row r="25" spans="1:42">
      <c r="A25" s="22">
        <f t="shared" si="0"/>
        <v>46215</v>
      </c>
      <c r="B25" s="9">
        <f>+[1]Balance_Madden!A23</f>
        <v>46215</v>
      </c>
      <c r="C25" s="24">
        <f>+VLOOKUP(B25,[1]Balance_Madden!$A$12:$E$5000,2)</f>
        <v>223.61</v>
      </c>
      <c r="D25" s="25">
        <f>+VLOOKUP(B25,[1]Balance_Gatún!$A$13:$E$5087,2)</f>
        <v>84.774000000000001</v>
      </c>
      <c r="E25" s="24">
        <f>+VLOOKUP(B25,[1]Balance_Madden!$A$12:$E$5087,5)/35.32</f>
        <v>51.252746319365798</v>
      </c>
      <c r="F25" s="26">
        <f>+VLOOKUP(B25,[1]Balance_Gatún!$A$13:$E$5087,5)/35.32</f>
        <v>26.910843714609285</v>
      </c>
      <c r="G25" s="24">
        <f>+VLOOKUP(B25,[1]Balance_Madden!$A$12:$K$5087,9)/111</f>
        <v>18.27927927927928</v>
      </c>
      <c r="H25" s="25">
        <f>+VLOOKUP(B25,[1]Balance_Gatún!$A$13:$U$5087,21)/186</f>
        <v>0</v>
      </c>
      <c r="I25" s="24">
        <f>+(VLOOKUP(B25,[1]Balance_Madden!$A$12:$K$5087,10)/35.32)+VLOOKUP(B25,[1]Balance_Madden!$A$12:$K$5087,11)/35.32</f>
        <v>0</v>
      </c>
      <c r="J25" s="25">
        <f>+VLOOKUP(B25,[1]Balance_Gatún!$A$13:$AD$5087,23)/35.32+ VLOOKUP(B25,[1]Balance_Gatún!$A$13:$AD$5087,17)/35.32</f>
        <v>0</v>
      </c>
      <c r="K25" s="24">
        <f>+VLOOKUP(B25,[1]Balance_Gatún!$A$13:$AC$5087,10)</f>
        <v>26</v>
      </c>
      <c r="L25" s="25" t="str">
        <f>+VLOOKUP(B25,[1]Balance_Gatún!$A$13:$AC$5087,11)</f>
        <v>XFILL_PMG50%</v>
      </c>
      <c r="M25" s="25">
        <f>+VLOOKUP(B25,[1]Balance_Gatún!$A$13:$AC$5087,12)</f>
        <v>10</v>
      </c>
      <c r="N25" s="25" t="str">
        <f>+VLOOKUP(B25,[1]Balance_Gatún!$A$13:$AC$5087,13)</f>
        <v>TA+CCL50%</v>
      </c>
      <c r="O25" s="25">
        <f>+VLOOKUP(B25,[1]Balance_Gatún!$A$13:$AC$5087,14)/408.7</f>
        <v>7.552208488687608</v>
      </c>
      <c r="P25" s="24">
        <f>+VLOOKUP(B25,[1]Balance_Madden!$A$12:$V$5087,12)/35.32</f>
        <v>1.4015427609238038</v>
      </c>
      <c r="Q25" s="25">
        <f>+VLOOKUP(B25,[1]Balance_Gatún!$A$13:$AD$5087,15)/35.32</f>
        <v>16.062772787139359</v>
      </c>
      <c r="R25" s="24">
        <f>+VLOOKUP(B25,[1]Balance_Madden!$A$12:$V$5087,14)/35.32</f>
        <v>71.101429510640685</v>
      </c>
      <c r="S25" s="26">
        <f>[1]Balance_Gatún!X24/35.32</f>
        <v>115.09302786433713</v>
      </c>
      <c r="T25" s="25">
        <v>23.608363837503692</v>
      </c>
      <c r="U25" s="25">
        <v>36.883276086499606</v>
      </c>
      <c r="V25" s="29">
        <f>LOOKUP(D25,[1]Parámetros!$A$7:$A$24,[1]Parámetros!$B$7:$B$24)</f>
        <v>49.5</v>
      </c>
      <c r="W25" s="30" t="str">
        <f t="shared" si="1"/>
        <v/>
      </c>
      <c r="X25" s="31" t="str">
        <f t="shared" si="3"/>
        <v/>
      </c>
      <c r="Y25" s="30" t="str">
        <f>IF($W25="Cambio Calado",COUNTIF($W$14:W25,"Cambio Calado"),"")</f>
        <v/>
      </c>
      <c r="Z25" s="31" t="str">
        <f t="shared" si="4"/>
        <v/>
      </c>
      <c r="AA25" s="30" t="str">
        <f t="shared" si="5"/>
        <v/>
      </c>
      <c r="AB25" s="29">
        <f>IFERROR(LOOKUP($A25,$Z$14:$Z25,$AA$14:$AA25),$U25)</f>
        <v>49.5</v>
      </c>
      <c r="AC25" s="32">
        <f>IFERROR($A26-LOOKUP($A26,$Z$14:$Z25),"")</f>
        <v>12</v>
      </c>
      <c r="AD25" s="1" cm="1">
        <f t="array" ref="AD25">IF(B25&lt;&gt;"",80,_xludf.NA())</f>
        <v>80</v>
      </c>
      <c r="AF25" s="33" t="str">
        <f>IFERROR(INDEX($X$14:$X$197,MATCH(ROWS($AF$14:AF25),$Y$14:$Y$197,0)),"")</f>
        <v/>
      </c>
      <c r="AG25" s="34" t="str">
        <f>IFERROR(INDEX($V$14:$V$197,MATCH(ROWS($AF$14:AF25),$Y$14:$Y$197,0)),"")</f>
        <v/>
      </c>
      <c r="AH25" s="34" t="str">
        <f>IFERROR(INDEX($X$14:$X$197,MATCH(ROWS($AF$14:AF25)+1,$Y$14:$Y$197,0))-AF25,"")</f>
        <v/>
      </c>
      <c r="AI25" s="35" t="str">
        <f t="shared" si="2"/>
        <v/>
      </c>
    </row>
    <row r="26" spans="1:42">
      <c r="A26" s="22">
        <f t="shared" si="0"/>
        <v>46216</v>
      </c>
      <c r="B26" s="9">
        <f>+[1]Balance_Madden!A24</f>
        <v>46216</v>
      </c>
      <c r="C26" s="24">
        <f>+VLOOKUP(B26,[1]Balance_Madden!$A$12:$E$5000,2)</f>
        <v>223.62</v>
      </c>
      <c r="D26" s="25">
        <f>+VLOOKUP(B26,[1]Balance_Gatún!$A$13:$E$5087,2)</f>
        <v>84.778999999999996</v>
      </c>
      <c r="E26" s="24">
        <f>+VLOOKUP(B26,[1]Balance_Madden!$A$12:$E$5087,5)/35.32</f>
        <v>89.397451868629673</v>
      </c>
      <c r="F26" s="26">
        <f>+VLOOKUP(B26,[1]Balance_Gatún!$A$13:$E$5087,5)/35.32</f>
        <v>48.186862967157417</v>
      </c>
      <c r="G26" s="24">
        <f>+VLOOKUP(B26,[1]Balance_Madden!$A$12:$K$5087,9)/111</f>
        <v>18.27927927927928</v>
      </c>
      <c r="H26" s="25">
        <f>+VLOOKUP(B26,[1]Balance_Gatún!$A$13:$U$5087,21)/186</f>
        <v>0</v>
      </c>
      <c r="I26" s="24">
        <f>+(VLOOKUP(B26,[1]Balance_Madden!$A$12:$K$5087,10)/35.32)+VLOOKUP(B26,[1]Balance_Madden!$A$12:$K$5087,11)/35.32</f>
        <v>0</v>
      </c>
      <c r="J26" s="25">
        <f>+VLOOKUP(B26,[1]Balance_Gatún!$A$13:$AD$5087,23)/35.32+ VLOOKUP(B26,[1]Balance_Gatún!$A$13:$AD$5087,17)/35.32</f>
        <v>0</v>
      </c>
      <c r="K26" s="24">
        <f>+VLOOKUP(B26,[1]Balance_Gatún!$A$13:$AC$5087,10)</f>
        <v>26</v>
      </c>
      <c r="L26" s="25" t="str">
        <f>+VLOOKUP(B26,[1]Balance_Gatún!$A$13:$AC$5087,11)</f>
        <v>InnerGate</v>
      </c>
      <c r="M26" s="25">
        <f>+VLOOKUP(B26,[1]Balance_Gatún!$A$13:$AC$5087,12)</f>
        <v>10</v>
      </c>
      <c r="N26" s="25" t="str">
        <f>+VLOOKUP(B26,[1]Balance_Gatún!$A$13:$AC$5087,13)</f>
        <v>TA+CCL50%</v>
      </c>
      <c r="O26" s="25">
        <f>+VLOOKUP(B26,[1]Balance_Gatún!$A$13:$AC$5087,14)/408.7</f>
        <v>8.2217168740726443</v>
      </c>
      <c r="P26" s="24">
        <f>+VLOOKUP(B26,[1]Balance_Madden!$A$12:$V$5087,12)/35.32</f>
        <v>1.4923301605780599</v>
      </c>
      <c r="Q26" s="25">
        <f>+VLOOKUP(B26,[1]Balance_Gatún!$A$13:$AD$5087,15)/35.32</f>
        <v>17.101821481684723</v>
      </c>
      <c r="R26" s="24">
        <f>+VLOOKUP(B26,[1]Balance_Madden!$A$12:$V$5087,14)/35.32</f>
        <v>71.192216910294931</v>
      </c>
      <c r="S26" s="26">
        <f>[1]Balance_Gatún!X25/35.32</f>
        <v>123.87919085975635</v>
      </c>
      <c r="T26" s="25">
        <v>65.353856553922995</v>
      </c>
      <c r="U26" s="25">
        <v>111.76988457953237</v>
      </c>
      <c r="V26" s="29">
        <f>LOOKUP(D26,[1]Parámetros!$A$7:$A$24,[1]Parámetros!$B$7:$B$24)</f>
        <v>49.5</v>
      </c>
      <c r="W26" s="30" t="str">
        <f t="shared" si="1"/>
        <v/>
      </c>
      <c r="X26" s="31" t="str">
        <f t="shared" si="3"/>
        <v/>
      </c>
      <c r="Y26" s="30" t="str">
        <f>IF($W26="Cambio Calado",COUNTIF($W$14:W26,"Cambio Calado"),"")</f>
        <v/>
      </c>
      <c r="Z26" s="31" t="str">
        <f t="shared" si="4"/>
        <v/>
      </c>
      <c r="AA26" s="30" t="str">
        <f t="shared" si="5"/>
        <v/>
      </c>
      <c r="AB26" s="29">
        <f>IFERROR(LOOKUP($A26,$Z$14:$Z26,$AA$14:$AA26),$U26)</f>
        <v>49.5</v>
      </c>
      <c r="AC26" s="32">
        <f>IFERROR($A27-LOOKUP($A27,$Z$14:$Z26),"")</f>
        <v>13</v>
      </c>
      <c r="AD26" s="1" cm="1">
        <f t="array" ref="AD26">IF(B26&lt;&gt;"",80,_xludf.NA())</f>
        <v>80</v>
      </c>
      <c r="AF26" s="33" t="str">
        <f>IFERROR(INDEX($X$14:$X$197,MATCH(ROWS($AF$14:AF26),$Y$14:$Y$197,0)),"")</f>
        <v/>
      </c>
      <c r="AG26" s="34" t="str">
        <f>IFERROR(INDEX($V$14:$V$197,MATCH(ROWS($AF$14:AF26),$Y$14:$Y$197,0)),"")</f>
        <v/>
      </c>
      <c r="AH26" s="34" t="str">
        <f>IFERROR(INDEX($X$14:$X$197,MATCH(ROWS($AF$14:AF26)+1,$Y$14:$Y$197,0))-AF26,"")</f>
        <v/>
      </c>
      <c r="AI26" s="35" t="str">
        <f t="shared" si="2"/>
        <v/>
      </c>
    </row>
    <row r="27" spans="1:42">
      <c r="A27" s="22">
        <f t="shared" si="0"/>
        <v>46217</v>
      </c>
      <c r="B27" s="9">
        <f>+[1]Balance_Madden!A25</f>
        <v>46217</v>
      </c>
      <c r="C27" s="24">
        <f>+VLOOKUP(B27,[1]Balance_Madden!$A$12:$E$5000,2)</f>
        <v>223.37</v>
      </c>
      <c r="D27" s="25">
        <f>+VLOOKUP(B27,[1]Balance_Gatún!$A$13:$E$5087,2)</f>
        <v>84.763000000000005</v>
      </c>
      <c r="E27" s="24">
        <f>+VLOOKUP(B27,[1]Balance_Madden!$A$12:$E$5087,5)/35.32</f>
        <v>45.872140430351074</v>
      </c>
      <c r="F27" s="26">
        <f>+VLOOKUP(B27,[1]Balance_Gatún!$A$13:$E$5087,5)/35.32</f>
        <v>41.884428086070216</v>
      </c>
      <c r="G27" s="24">
        <f>+VLOOKUP(B27,[1]Balance_Madden!$A$12:$K$5087,9)/111</f>
        <v>18.27927927927928</v>
      </c>
      <c r="H27" s="25">
        <f>+VLOOKUP(B27,[1]Balance_Gatún!$A$13:$U$5087,21)/186</f>
        <v>0</v>
      </c>
      <c r="I27" s="24">
        <f>+(VLOOKUP(B27,[1]Balance_Madden!$A$12:$K$5087,10)/35.32)+VLOOKUP(B27,[1]Balance_Madden!$A$12:$K$5087,11)/35.32</f>
        <v>0</v>
      </c>
      <c r="J27" s="25">
        <f>+VLOOKUP(B27,[1]Balance_Gatún!$A$13:$AD$5087,23)/35.32+ VLOOKUP(B27,[1]Balance_Gatún!$A$13:$AD$5087,17)/35.32</f>
        <v>0</v>
      </c>
      <c r="K27" s="24">
        <f>+VLOOKUP(B27,[1]Balance_Gatún!$A$13:$AC$5087,10)</f>
        <v>26</v>
      </c>
      <c r="L27" s="25" t="str">
        <f>+VLOOKUP(B27,[1]Balance_Gatún!$A$13:$AC$5087,11)</f>
        <v>XFILL_PMG50%</v>
      </c>
      <c r="M27" s="25">
        <f>+VLOOKUP(B27,[1]Balance_Gatún!$A$13:$AC$5087,12)</f>
        <v>10</v>
      </c>
      <c r="N27" s="25" t="str">
        <f>+VLOOKUP(B27,[1]Balance_Gatún!$A$13:$AC$5087,13)</f>
        <v>TA+CCL50%</v>
      </c>
      <c r="O27" s="25">
        <f>+VLOOKUP(B27,[1]Balance_Gatún!$A$13:$AC$5087,14)/408.7</f>
        <v>7.549737006301628</v>
      </c>
      <c r="P27" s="24">
        <f>+VLOOKUP(B27,[1]Balance_Madden!$A$12:$V$5087,12)/35.32</f>
        <v>1.1393534005175048</v>
      </c>
      <c r="Q27" s="25">
        <f>+VLOOKUP(B27,[1]Balance_Gatún!$A$13:$AD$5087,15)/35.32</f>
        <v>13.102578249861498</v>
      </c>
      <c r="R27" s="24">
        <f>+VLOOKUP(B27,[1]Balance_Madden!$A$12:$V$5087,14)/35.32</f>
        <v>70.839240150234374</v>
      </c>
      <c r="S27" s="26">
        <f>[1]Balance_Gatún!X26/35.32</f>
        <v>112.10423494509013</v>
      </c>
      <c r="T27" s="25">
        <v>57.19838151132803</v>
      </c>
      <c r="U27" s="25">
        <v>57.786751498302863</v>
      </c>
      <c r="V27" s="29">
        <f>LOOKUP(D27,[1]Parámetros!$A$7:$A$24,[1]Parámetros!$B$7:$B$24)</f>
        <v>49.5</v>
      </c>
      <c r="W27" s="30" t="str">
        <f t="shared" si="1"/>
        <v/>
      </c>
      <c r="X27" s="31" t="str">
        <f t="shared" si="3"/>
        <v/>
      </c>
      <c r="Y27" s="30" t="str">
        <f>IF($W27="Cambio Calado",COUNTIF($W$14:W27,"Cambio Calado"),"")</f>
        <v/>
      </c>
      <c r="Z27" s="31" t="str">
        <f t="shared" si="4"/>
        <v/>
      </c>
      <c r="AA27" s="30" t="str">
        <f t="shared" si="5"/>
        <v/>
      </c>
      <c r="AB27" s="29">
        <f>IFERROR(LOOKUP($A27,$Z$14:$Z27,$AA$14:$AA27),$U27)</f>
        <v>49.5</v>
      </c>
      <c r="AC27" s="32">
        <f>IFERROR($A28-LOOKUP($A28,$Z$14:$Z27),"")</f>
        <v>14</v>
      </c>
      <c r="AD27" s="1" cm="1">
        <f t="array" ref="AD27">IF(B27&lt;&gt;"",80,_xludf.NA())</f>
        <v>80</v>
      </c>
      <c r="AF27" s="33" t="str">
        <f>IFERROR(INDEX($X$14:$X$197,MATCH(ROWS($AF$14:AF27),$Y$14:$Y$197,0)),"")</f>
        <v/>
      </c>
      <c r="AG27" s="34" t="str">
        <f>IFERROR(INDEX($V$14:$V$197,MATCH(ROWS($AF$14:AF27),$Y$14:$Y$197,0)),"")</f>
        <v/>
      </c>
      <c r="AH27" s="34" t="str">
        <f>IFERROR(INDEX($X$14:$X$197,MATCH(ROWS($AF$14:AF27)+1,$Y$14:$Y$197,0))-AF27,"")</f>
        <v/>
      </c>
      <c r="AI27" s="35" t="str">
        <f t="shared" si="2"/>
        <v/>
      </c>
    </row>
    <row r="28" spans="1:42">
      <c r="A28" s="22">
        <f t="shared" si="0"/>
        <v>46218</v>
      </c>
      <c r="B28" s="9">
        <f>+[1]Balance_Madden!A26</f>
        <v>46218</v>
      </c>
      <c r="C28" s="24">
        <f>+VLOOKUP(B28,[1]Balance_Madden!$A$12:$E$5000,2)</f>
        <v>223.05</v>
      </c>
      <c r="D28" s="25">
        <f>+VLOOKUP(B28,[1]Balance_Gatún!$A$13:$E$5087,2)</f>
        <v>84.727999999999994</v>
      </c>
      <c r="E28" s="24">
        <f>+VLOOKUP(B28,[1]Balance_Madden!$A$12:$E$5087,5)/35.32</f>
        <v>37.128652321630803</v>
      </c>
      <c r="F28" s="26">
        <f>+VLOOKUP(B28,[1]Balance_Gatún!$A$13:$E$5087,5)/35.32</f>
        <v>72.804473386183474</v>
      </c>
      <c r="G28" s="24">
        <f>+VLOOKUP(B28,[1]Balance_Madden!$A$12:$K$5087,9)/111</f>
        <v>18.27927927927928</v>
      </c>
      <c r="H28" s="25">
        <f>+VLOOKUP(B28,[1]Balance_Gatún!$A$13:$U$5087,21)/186</f>
        <v>0</v>
      </c>
      <c r="I28" s="24">
        <f>+(VLOOKUP(B28,[1]Balance_Madden!$A$12:$K$5087,10)/35.32)+VLOOKUP(B28,[1]Balance_Madden!$A$12:$K$5087,11)/35.32</f>
        <v>0</v>
      </c>
      <c r="J28" s="25">
        <f>+VLOOKUP(B28,[1]Balance_Gatún!$A$13:$AD$5087,23)/35.32+ VLOOKUP(B28,[1]Balance_Gatún!$A$13:$AD$5087,17)/35.32</f>
        <v>0</v>
      </c>
      <c r="K28" s="24">
        <f>+VLOOKUP(B28,[1]Balance_Gatún!$A$13:$AC$5087,10)</f>
        <v>26</v>
      </c>
      <c r="L28" s="25" t="str">
        <f>+VLOOKUP(B28,[1]Balance_Gatún!$A$13:$AC$5087,11)</f>
        <v>InnerGate</v>
      </c>
      <c r="M28" s="25">
        <f>+VLOOKUP(B28,[1]Balance_Gatún!$A$13:$AC$5087,12)</f>
        <v>10</v>
      </c>
      <c r="N28" s="25" t="str">
        <f>+VLOOKUP(B28,[1]Balance_Gatún!$A$13:$AC$5087,13)</f>
        <v>TA+CCL50%</v>
      </c>
      <c r="O28" s="25">
        <f>+VLOOKUP(B28,[1]Balance_Gatún!$A$13:$AC$5087,14)/408.7</f>
        <v>8.2091330155913624</v>
      </c>
      <c r="P28" s="24">
        <f>+VLOOKUP(B28,[1]Balance_Madden!$A$12:$V$5087,12)/35.32</f>
        <v>1.4920444099475167</v>
      </c>
      <c r="Q28" s="25">
        <f>+VLOOKUP(B28,[1]Balance_Gatún!$A$13:$AD$5087,15)/35.32</f>
        <v>17.232632581895128</v>
      </c>
      <c r="R28" s="24">
        <f>+VLOOKUP(B28,[1]Balance_Madden!$A$12:$V$5087,14)/35.32</f>
        <v>71.191931159664392</v>
      </c>
      <c r="S28" s="26">
        <f>[1]Balance_Gatún!X27/35.32</f>
        <v>123.86438975834444</v>
      </c>
      <c r="T28" s="25">
        <v>32.814570688178414</v>
      </c>
      <c r="U28" s="25">
        <v>32.088754755365187</v>
      </c>
      <c r="V28" s="29">
        <f>LOOKUP(D28,[1]Parámetros!$A$7:$A$24,[1]Parámetros!$B$7:$B$24)</f>
        <v>49.5</v>
      </c>
      <c r="W28" s="30" t="str">
        <f t="shared" si="1"/>
        <v/>
      </c>
      <c r="X28" s="31" t="str">
        <f t="shared" si="3"/>
        <v/>
      </c>
      <c r="Y28" s="30" t="str">
        <f>IF($W28="Cambio Calado",COUNTIF($W$14:W28,"Cambio Calado"),"")</f>
        <v/>
      </c>
      <c r="Z28" s="31" t="str">
        <f t="shared" si="4"/>
        <v/>
      </c>
      <c r="AA28" s="30" t="str">
        <f t="shared" si="5"/>
        <v/>
      </c>
      <c r="AB28" s="29">
        <f>IFERROR(LOOKUP($A28,$Z$14:$Z28,$AA$14:$AA28),$U28)</f>
        <v>49.5</v>
      </c>
      <c r="AC28" s="32">
        <f>IFERROR($A29-LOOKUP($A29,$Z$14:$Z28),"")</f>
        <v>15</v>
      </c>
      <c r="AD28" s="1" cm="1">
        <f t="array" ref="AD28">IF(B28&lt;&gt;"",80,_xludf.NA())</f>
        <v>80</v>
      </c>
    </row>
    <row r="29" spans="1:42">
      <c r="A29" s="22">
        <f t="shared" si="0"/>
        <v>46219</v>
      </c>
      <c r="B29" s="9">
        <f>+[1]Balance_Madden!A27</f>
        <v>46219</v>
      </c>
      <c r="C29" s="24">
        <f>+VLOOKUP(B29,[1]Balance_Madden!$A$12:$E$5000,2)</f>
        <v>222.7</v>
      </c>
      <c r="D29" s="25">
        <f>+VLOOKUP(B29,[1]Balance_Gatún!$A$13:$E$5087,2)</f>
        <v>84.691999999999993</v>
      </c>
      <c r="E29" s="24">
        <f>+VLOOKUP(B29,[1]Balance_Madden!$A$12:$E$5087,5)/35.32</f>
        <v>45.103482446206115</v>
      </c>
      <c r="F29" s="26">
        <f>+VLOOKUP(B29,[1]Balance_Gatún!$A$13:$E$5087,5)/35.32</f>
        <v>23.865345413363531</v>
      </c>
      <c r="G29" s="24">
        <f>+VLOOKUP(B29,[1]Balance_Madden!$A$12:$K$5087,9)/111</f>
        <v>18.27927927927928</v>
      </c>
      <c r="H29" s="25">
        <f>+VLOOKUP(B29,[1]Balance_Gatún!$A$13:$U$5087,21)/186</f>
        <v>0</v>
      </c>
      <c r="I29" s="24">
        <f>+(VLOOKUP(B29,[1]Balance_Madden!$A$12:$K$5087,10)/35.32)+VLOOKUP(B29,[1]Balance_Madden!$A$12:$K$5087,11)/35.32</f>
        <v>0</v>
      </c>
      <c r="J29" s="25">
        <f>+VLOOKUP(B29,[1]Balance_Gatún!$A$13:$AD$5087,23)/35.32+ VLOOKUP(B29,[1]Balance_Gatún!$A$13:$AD$5087,17)/35.32</f>
        <v>0</v>
      </c>
      <c r="K29" s="24">
        <f>+VLOOKUP(B29,[1]Balance_Gatún!$A$13:$AC$5087,10)</f>
        <v>26</v>
      </c>
      <c r="L29" s="25" t="str">
        <f>+VLOOKUP(B29,[1]Balance_Gatún!$A$13:$AC$5087,11)</f>
        <v>XFILL_PMG50%</v>
      </c>
      <c r="M29" s="25">
        <f>+VLOOKUP(B29,[1]Balance_Gatún!$A$13:$AC$5087,12)</f>
        <v>10</v>
      </c>
      <c r="N29" s="25" t="str">
        <f>+VLOOKUP(B29,[1]Balance_Gatún!$A$13:$AC$5087,13)</f>
        <v>TA+CCL50%</v>
      </c>
      <c r="O29" s="25">
        <f>+VLOOKUP(B29,[1]Balance_Gatún!$A$13:$AC$5087,14)/408.7</f>
        <v>7.5337847109012142</v>
      </c>
      <c r="P29" s="24">
        <f>+VLOOKUP(B29,[1]Balance_Madden!$A$12:$V$5087,12)/35.32</f>
        <v>1.8619463663379856</v>
      </c>
      <c r="Q29" s="25">
        <f>+VLOOKUP(B29,[1]Balance_Gatún!$A$13:$AD$5087,15)/35.32</f>
        <v>21.607430105071739</v>
      </c>
      <c r="R29" s="24">
        <f>+VLOOKUP(B29,[1]Balance_Madden!$A$12:$V$5087,14)/35.32</f>
        <v>71.561833116054871</v>
      </c>
      <c r="S29" s="26">
        <f>[1]Balance_Gatún!X28/35.32</f>
        <v>120.42449724395412</v>
      </c>
      <c r="T29" s="25">
        <v>35.329886728414991</v>
      </c>
      <c r="U29" s="25">
        <v>44.774102852965626</v>
      </c>
      <c r="V29" s="29">
        <f>LOOKUP(D29,[1]Parámetros!$A$7:$A$24,[1]Parámetros!$B$7:$B$24)</f>
        <v>49.5</v>
      </c>
      <c r="W29" s="30" t="str">
        <f t="shared" si="1"/>
        <v/>
      </c>
      <c r="X29" s="31" t="str">
        <f t="shared" si="3"/>
        <v/>
      </c>
      <c r="Y29" s="30" t="str">
        <f>IF($W29="Cambio Calado",COUNTIF($W$14:W29,"Cambio Calado"),"")</f>
        <v/>
      </c>
      <c r="Z29" s="31" t="str">
        <f t="shared" si="4"/>
        <v/>
      </c>
      <c r="AA29" s="30" t="str">
        <f t="shared" si="5"/>
        <v/>
      </c>
      <c r="AB29" s="29">
        <f>IFERROR(LOOKUP($A29,$Z$14:$Z29,$AA$14:$AA29),$U29)</f>
        <v>49.5</v>
      </c>
      <c r="AC29" s="32">
        <f>IFERROR($A30-LOOKUP($A30,$Z$14:$Z29),"")</f>
        <v>16</v>
      </c>
      <c r="AD29" s="1" cm="1">
        <f t="array" ref="AD29">IF(B29&lt;&gt;"",80,_xludf.NA())</f>
        <v>80</v>
      </c>
      <c r="AE29" s="43"/>
      <c r="AF29" s="43"/>
      <c r="AG29" s="43"/>
    </row>
    <row r="30" spans="1:42">
      <c r="A30" s="22">
        <f t="shared" si="0"/>
        <v>46220</v>
      </c>
      <c r="B30" s="9">
        <f>+[1]Balance_Madden!A28</f>
        <v>46220</v>
      </c>
      <c r="C30" s="24">
        <f>+VLOOKUP(B30,[1]Balance_Madden!$A$12:$E$5000,2)</f>
        <v>222.35</v>
      </c>
      <c r="D30" s="25">
        <f>+VLOOKUP(B30,[1]Balance_Gatún!$A$13:$E$5087,2)</f>
        <v>84.641999999999996</v>
      </c>
      <c r="E30" s="24">
        <f>+VLOOKUP(B30,[1]Balance_Madden!$A$12:$E$5087,5)/35.32</f>
        <v>33.285362400905996</v>
      </c>
      <c r="F30" s="26">
        <f>+VLOOKUP(B30,[1]Balance_Gatún!$A$13:$E$5087,5)/35.32</f>
        <v>18.070498301245753</v>
      </c>
      <c r="G30" s="24">
        <f>+VLOOKUP(B30,[1]Balance_Madden!$A$12:$K$5087,9)/111</f>
        <v>18.27927927927928</v>
      </c>
      <c r="H30" s="25">
        <f>+VLOOKUP(B30,[1]Balance_Gatún!$A$13:$U$5087,21)/186</f>
        <v>0</v>
      </c>
      <c r="I30" s="24">
        <f>+(VLOOKUP(B30,[1]Balance_Madden!$A$12:$K$5087,10)/35.32)+VLOOKUP(B30,[1]Balance_Madden!$A$12:$K$5087,11)/35.32</f>
        <v>0</v>
      </c>
      <c r="J30" s="25">
        <f>+VLOOKUP(B30,[1]Balance_Gatún!$A$13:$AD$5087,23)/35.32+ VLOOKUP(B30,[1]Balance_Gatún!$A$13:$AD$5087,17)/35.32</f>
        <v>0</v>
      </c>
      <c r="K30" s="24">
        <f>+VLOOKUP(B30,[1]Balance_Gatún!$A$13:$AC$5087,10)</f>
        <v>24</v>
      </c>
      <c r="L30" s="25" t="str">
        <f>+VLOOKUP(B30,[1]Balance_Gatún!$A$13:$AC$5087,11)</f>
        <v>InnerGate</v>
      </c>
      <c r="M30" s="25">
        <f>+VLOOKUP(B30,[1]Balance_Gatún!$A$13:$AC$5087,12)</f>
        <v>10</v>
      </c>
      <c r="N30" s="25" t="str">
        <f>+VLOOKUP(B30,[1]Balance_Gatún!$A$13:$AC$5087,13)</f>
        <v>TA+CCL50%</v>
      </c>
      <c r="O30" s="25">
        <f>+VLOOKUP(B30,[1]Balance_Gatún!$A$13:$AC$5087,14)/408.7</f>
        <v>7.8220934497682988</v>
      </c>
      <c r="P30" s="24">
        <f>+VLOOKUP(B30,[1]Balance_Madden!$A$12:$V$5087,12)/35.32</f>
        <v>0.64393743708129247</v>
      </c>
      <c r="Q30" s="25">
        <f>+VLOOKUP(B30,[1]Balance_Gatún!$A$13:$AD$5087,15)/35.32</f>
        <v>7.5071502735575928</v>
      </c>
      <c r="R30" s="24">
        <f>+VLOOKUP(B30,[1]Balance_Madden!$A$12:$V$5087,14)/35.32</f>
        <v>70.343824186798173</v>
      </c>
      <c r="S30" s="26">
        <f>[1]Balance_Gatún!X29/35.32</f>
        <v>109.66033806858317</v>
      </c>
      <c r="T30" s="25">
        <v>39.666815238120265</v>
      </c>
      <c r="U30" s="25">
        <v>33.213387208873719</v>
      </c>
      <c r="V30" s="29">
        <f>LOOKUP(D30,[1]Parámetros!$A$7:$A$24,[1]Parámetros!$B$7:$B$24)</f>
        <v>49.5</v>
      </c>
      <c r="W30" s="30" t="str">
        <f t="shared" si="1"/>
        <v/>
      </c>
      <c r="X30" s="31" t="str">
        <f t="shared" si="3"/>
        <v/>
      </c>
      <c r="Y30" s="30" t="str">
        <f>IF($W30="Cambio Calado",COUNTIF($W$14:W30,"Cambio Calado"),"")</f>
        <v/>
      </c>
      <c r="Z30" s="31" t="str">
        <f t="shared" si="4"/>
        <v/>
      </c>
      <c r="AA30" s="30" t="str">
        <f t="shared" si="5"/>
        <v/>
      </c>
      <c r="AB30" s="29">
        <f>IFERROR(LOOKUP($A30,$Z$14:$Z30,$AA$14:$AA30),$U30)</f>
        <v>49.5</v>
      </c>
      <c r="AC30" s="32">
        <f>IFERROR($A31-LOOKUP($A31,$Z$14:$Z30),"")</f>
        <v>17</v>
      </c>
      <c r="AD30" s="1" cm="1">
        <f t="array" ref="AD30">IF(B30&lt;&gt;"",80,_xludf.NA())</f>
        <v>80</v>
      </c>
      <c r="AE30" s="43"/>
      <c r="AF30" s="43"/>
      <c r="AG30" s="43"/>
    </row>
    <row r="31" spans="1:42">
      <c r="A31" s="22">
        <f t="shared" si="0"/>
        <v>46221</v>
      </c>
      <c r="B31" s="9">
        <f>+[1]Balance_Madden!A29</f>
        <v>46221</v>
      </c>
      <c r="C31" s="24">
        <f>+VLOOKUP(B31,[1]Balance_Madden!$A$12:$E$5000,2)</f>
        <v>221.96</v>
      </c>
      <c r="D31" s="25">
        <f>+VLOOKUP(B31,[1]Balance_Gatún!$A$13:$E$5087,2)</f>
        <v>84.608999999999995</v>
      </c>
      <c r="E31" s="24">
        <f>+VLOOKUP(B31,[1]Balance_Madden!$A$12:$E$5087,5)/35.32</f>
        <v>34.897253680634201</v>
      </c>
      <c r="F31" s="26">
        <f>+VLOOKUP(B31,[1]Balance_Gatún!$A$13:$E$5087,5)/35.32</f>
        <v>27.04620611551529</v>
      </c>
      <c r="G31" s="24">
        <f>+VLOOKUP(B31,[1]Balance_Madden!$A$12:$K$5087,9)/111</f>
        <v>18.27927927927928</v>
      </c>
      <c r="H31" s="25">
        <f>+VLOOKUP(B31,[1]Balance_Gatún!$A$13:$U$5087,21)/186</f>
        <v>0</v>
      </c>
      <c r="I31" s="24">
        <f>+(VLOOKUP(B31,[1]Balance_Madden!$A$12:$K$5087,10)/35.32)+VLOOKUP(B31,[1]Balance_Madden!$A$12:$K$5087,11)/35.32</f>
        <v>0</v>
      </c>
      <c r="J31" s="25">
        <f>+VLOOKUP(B31,[1]Balance_Gatún!$A$13:$AD$5087,23)/35.32+ VLOOKUP(B31,[1]Balance_Gatún!$A$13:$AD$5087,17)/35.32</f>
        <v>0</v>
      </c>
      <c r="K31" s="24">
        <f>+VLOOKUP(B31,[1]Balance_Gatún!$A$13:$AC$5087,10)</f>
        <v>24</v>
      </c>
      <c r="L31" s="25" t="str">
        <f>+VLOOKUP(B31,[1]Balance_Gatún!$A$13:$AC$5087,11)</f>
        <v>XFILL_PMG50%</v>
      </c>
      <c r="M31" s="25">
        <f>+VLOOKUP(B31,[1]Balance_Gatún!$A$13:$AC$5087,12)</f>
        <v>10</v>
      </c>
      <c r="N31" s="25" t="str">
        <f>+VLOOKUP(B31,[1]Balance_Gatún!$A$13:$AC$5087,13)</f>
        <v>TA+CCL50%</v>
      </c>
      <c r="O31" s="25">
        <f>+VLOOKUP(B31,[1]Balance_Gatún!$A$13:$AC$5087,14)/408.7</f>
        <v>7.2008722398972491</v>
      </c>
      <c r="P31" s="24">
        <f>+VLOOKUP(B31,[1]Balance_Madden!$A$12:$V$5087,12)/35.32</f>
        <v>1.5847651769327631</v>
      </c>
      <c r="Q31" s="25">
        <f>+VLOOKUP(B31,[1]Balance_Gatún!$A$13:$AD$5087,15)/35.32</f>
        <v>18.576053773765555</v>
      </c>
      <c r="R31" s="24">
        <f>+VLOOKUP(B31,[1]Balance_Madden!$A$12:$V$5087,14)/35.32</f>
        <v>71.284651926649644</v>
      </c>
      <c r="S31" s="26">
        <f>[1]Balance_Gatún!X30/35.32</f>
        <v>113.54087496419606</v>
      </c>
      <c r="T31" s="25">
        <v>109.3413227305974</v>
      </c>
      <c r="U31" s="25">
        <v>96.319887987807874</v>
      </c>
      <c r="V31" s="29">
        <f>LOOKUP(D31,[1]Parámetros!$A$7:$A$24,[1]Parámetros!$B$7:$B$24)</f>
        <v>49.5</v>
      </c>
      <c r="W31" s="30" t="str">
        <f t="shared" si="1"/>
        <v/>
      </c>
      <c r="X31" s="31" t="str">
        <f t="shared" si="3"/>
        <v/>
      </c>
      <c r="Y31" s="30" t="str">
        <f>IF($W31="Cambio Calado",COUNTIF($W$14:W31,"Cambio Calado"),"")</f>
        <v/>
      </c>
      <c r="Z31" s="31" t="str">
        <f t="shared" si="4"/>
        <v/>
      </c>
      <c r="AA31" s="30" t="str">
        <f t="shared" si="5"/>
        <v/>
      </c>
      <c r="AB31" s="29">
        <f>IFERROR(LOOKUP($A31,$Z$14:$Z31,$AA$14:$AA31),$U31)</f>
        <v>49.5</v>
      </c>
      <c r="AC31" s="32">
        <f>IFERROR($A32-LOOKUP($A32,$Z$14:$Z31),"")</f>
        <v>18</v>
      </c>
      <c r="AD31" s="1" cm="1">
        <f t="array" ref="AD31">IF(B31&lt;&gt;"",80,_xludf.NA())</f>
        <v>80</v>
      </c>
      <c r="AE31" s="43"/>
      <c r="AF31" s="43"/>
      <c r="AG31" s="43"/>
    </row>
    <row r="32" spans="1:42">
      <c r="A32" s="22">
        <f t="shared" si="0"/>
        <v>46222</v>
      </c>
      <c r="B32" s="9">
        <f>+[1]Balance_Madden!A30</f>
        <v>46222</v>
      </c>
      <c r="C32" s="24">
        <f>+VLOOKUP(B32,[1]Balance_Madden!$A$12:$E$5000,2)</f>
        <v>222.77</v>
      </c>
      <c r="D32" s="25">
        <f>+VLOOKUP(B32,[1]Balance_Gatún!$A$13:$E$5087,2)</f>
        <v>84.608000000000004</v>
      </c>
      <c r="E32" s="24">
        <f>+VLOOKUP(B32,[1]Balance_Madden!$A$12:$E$5087,5)/35.32</f>
        <v>30.083408833522086</v>
      </c>
      <c r="F32" s="26">
        <f>+VLOOKUP(B32,[1]Balance_Gatún!$A$13:$E$5087,5)/35.32</f>
        <v>18.077689694224237</v>
      </c>
      <c r="G32" s="24">
        <f>+VLOOKUP(B32,[1]Balance_Madden!$A$12:$K$5087,9)/111</f>
        <v>18.27927927927928</v>
      </c>
      <c r="H32" s="25">
        <f>+VLOOKUP(B32,[1]Balance_Gatún!$A$13:$U$5087,21)/186</f>
        <v>0</v>
      </c>
      <c r="I32" s="24">
        <f>+(VLOOKUP(B32,[1]Balance_Madden!$A$12:$K$5087,10)/35.32)+VLOOKUP(B32,[1]Balance_Madden!$A$12:$K$5087,11)/35.32</f>
        <v>0</v>
      </c>
      <c r="J32" s="25">
        <f>+VLOOKUP(B32,[1]Balance_Gatún!$A$13:$AD$5087,23)/35.32+ VLOOKUP(B32,[1]Balance_Gatún!$A$13:$AD$5087,17)/35.32</f>
        <v>0</v>
      </c>
      <c r="K32" s="24">
        <f>+VLOOKUP(B32,[1]Balance_Gatún!$A$13:$AC$5087,10)</f>
        <v>24</v>
      </c>
      <c r="L32" s="25" t="str">
        <f>+VLOOKUP(B32,[1]Balance_Gatún!$A$13:$AC$5087,11)</f>
        <v>InnerGate</v>
      </c>
      <c r="M32" s="25">
        <f>+VLOOKUP(B32,[1]Balance_Gatún!$A$13:$AC$5087,12)</f>
        <v>10</v>
      </c>
      <c r="N32" s="25" t="str">
        <f>+VLOOKUP(B32,[1]Balance_Gatún!$A$13:$AC$5087,13)</f>
        <v>TA+CCL50%</v>
      </c>
      <c r="O32" s="25">
        <f>+VLOOKUP(B32,[1]Balance_Gatún!$A$13:$AC$5087,14)/408.7</f>
        <v>7.8141472286534812</v>
      </c>
      <c r="P32" s="24">
        <f>+VLOOKUP(B32,[1]Balance_Madden!$A$12:$V$5087,12)/35.32</f>
        <v>1.6074960740563209</v>
      </c>
      <c r="Q32" s="25">
        <f>+VLOOKUP(B32,[1]Balance_Gatún!$A$13:$AD$5087,15)/35.32</f>
        <v>18.6152176220847</v>
      </c>
      <c r="R32" s="24">
        <f>+VLOOKUP(B32,[1]Balance_Madden!$A$12:$V$5087,14)/35.32</f>
        <v>71.307382823773196</v>
      </c>
      <c r="S32" s="26">
        <f>[1]Balance_Gatún!X31/35.32</f>
        <v>120.67645692986153</v>
      </c>
      <c r="T32" s="25">
        <v>57.776922311457469</v>
      </c>
      <c r="U32" s="25">
        <v>56.891581742957207</v>
      </c>
      <c r="V32" s="29">
        <f>LOOKUP(D32,[1]Parámetros!$A$7:$A$24,[1]Parámetros!$B$7:$B$24)</f>
        <v>49.5</v>
      </c>
      <c r="W32" s="30" t="str">
        <f t="shared" si="1"/>
        <v/>
      </c>
      <c r="X32" s="31" t="str">
        <f t="shared" si="3"/>
        <v/>
      </c>
      <c r="Y32" s="30" t="str">
        <f>IF($W32="Cambio Calado",COUNTIF($W$14:W32,"Cambio Calado"),"")</f>
        <v/>
      </c>
      <c r="Z32" s="31" t="str">
        <f t="shared" si="4"/>
        <v/>
      </c>
      <c r="AA32" s="30" t="str">
        <f t="shared" si="5"/>
        <v/>
      </c>
      <c r="AB32" s="29">
        <f>IFERROR(LOOKUP($A32,$Z$14:$Z32,$AA$14:$AA32),$U32)</f>
        <v>49.5</v>
      </c>
      <c r="AC32" s="32">
        <f>IFERROR($A33-LOOKUP($A33,$Z$14:$Z32),"")</f>
        <v>19</v>
      </c>
      <c r="AD32" s="1" cm="1">
        <f t="array" ref="AD32">IF(B32&lt;&gt;"",80,_xludf.NA())</f>
        <v>80</v>
      </c>
      <c r="AE32" s="43"/>
      <c r="AF32" s="43"/>
      <c r="AG32" s="43"/>
    </row>
    <row r="33" spans="1:33">
      <c r="A33" s="22">
        <f t="shared" si="0"/>
        <v>46223</v>
      </c>
      <c r="B33" s="9">
        <f>+[1]Balance_Madden!A31</f>
        <v>46223</v>
      </c>
      <c r="C33" s="24">
        <f>+VLOOKUP(B33,[1]Balance_Madden!$A$12:$E$5000,2)</f>
        <v>222.84</v>
      </c>
      <c r="D33" s="25">
        <f>+VLOOKUP(B33,[1]Balance_Gatún!$A$13:$E$5087,2)</f>
        <v>84.656999999999996</v>
      </c>
      <c r="E33" s="24">
        <f>+VLOOKUP(B33,[1]Balance_Madden!$A$12:$E$5087,5)/35.32</f>
        <v>40.911041902604758</v>
      </c>
      <c r="F33" s="26">
        <f>+VLOOKUP(B33,[1]Balance_Gatún!$A$13:$E$5087,5)/35.32</f>
        <v>49.973697621744051</v>
      </c>
      <c r="G33" s="24">
        <f>+VLOOKUP(B33,[1]Balance_Madden!$A$12:$K$5087,9)/111</f>
        <v>18.27927927927928</v>
      </c>
      <c r="H33" s="25">
        <f>+VLOOKUP(B33,[1]Balance_Gatún!$A$13:$U$5087,21)/186</f>
        <v>0</v>
      </c>
      <c r="I33" s="24">
        <f>+(VLOOKUP(B33,[1]Balance_Madden!$A$12:$K$5087,10)/35.32)+VLOOKUP(B33,[1]Balance_Madden!$A$12:$K$5087,11)/35.32</f>
        <v>0</v>
      </c>
      <c r="J33" s="25">
        <f>+VLOOKUP(B33,[1]Balance_Gatún!$A$13:$AD$5087,23)/35.32+ VLOOKUP(B33,[1]Balance_Gatún!$A$13:$AD$5087,17)/35.32</f>
        <v>0</v>
      </c>
      <c r="K33" s="24">
        <f>+VLOOKUP(B33,[1]Balance_Gatún!$A$13:$AC$5087,10)</f>
        <v>24</v>
      </c>
      <c r="L33" s="25" t="str">
        <f>+VLOOKUP(B33,[1]Balance_Gatún!$A$13:$AC$5087,11)</f>
        <v>XFILL_PMG50%</v>
      </c>
      <c r="M33" s="25">
        <f>+VLOOKUP(B33,[1]Balance_Gatún!$A$13:$AC$5087,12)</f>
        <v>10</v>
      </c>
      <c r="N33" s="25" t="str">
        <f>+VLOOKUP(B33,[1]Balance_Gatún!$A$13:$AC$5087,13)</f>
        <v>TA+CCL50%</v>
      </c>
      <c r="O33" s="25">
        <f>+VLOOKUP(B33,[1]Balance_Gatún!$A$13:$AC$5087,14)/408.7</f>
        <v>7.211112913396672</v>
      </c>
      <c r="P33" s="24">
        <f>+VLOOKUP(B33,[1]Balance_Madden!$A$12:$V$5087,12)/35.32</f>
        <v>1.3289923668824928</v>
      </c>
      <c r="Q33" s="25">
        <f>+VLOOKUP(B33,[1]Balance_Gatún!$A$13:$AD$5087,15)/35.32</f>
        <v>15.383611200883731</v>
      </c>
      <c r="R33" s="24">
        <f>+VLOOKUP(B33,[1]Balance_Madden!$A$12:$V$5087,14)/35.32</f>
        <v>71.02887911659937</v>
      </c>
      <c r="S33" s="26">
        <f>[1]Balance_Gatún!X32/35.32</f>
        <v>110.46693078483673</v>
      </c>
      <c r="T33" s="25">
        <v>67.366790688159853</v>
      </c>
      <c r="U33" s="25">
        <v>68.322360628721441</v>
      </c>
      <c r="V33" s="29">
        <f>LOOKUP(D33,[1]Parámetros!$A$7:$A$24,[1]Parámetros!$B$7:$B$24)</f>
        <v>49.5</v>
      </c>
      <c r="W33" s="30" t="str">
        <f t="shared" si="1"/>
        <v/>
      </c>
      <c r="X33" s="31" t="str">
        <f t="shared" si="3"/>
        <v/>
      </c>
      <c r="Y33" s="30" t="str">
        <f>IF($W33="Cambio Calado",COUNTIF($W$14:W33,"Cambio Calado"),"")</f>
        <v/>
      </c>
      <c r="Z33" s="31" t="str">
        <f t="shared" si="4"/>
        <v/>
      </c>
      <c r="AA33" s="30" t="str">
        <f t="shared" si="5"/>
        <v/>
      </c>
      <c r="AB33" s="29">
        <f>IFERROR(LOOKUP($A33,$Z$14:$Z33,$AA$14:$AA33),$U33)</f>
        <v>49.5</v>
      </c>
      <c r="AC33" s="32">
        <f>IFERROR($A34-LOOKUP($A34,$Z$14:$Z33),"")</f>
        <v>20</v>
      </c>
      <c r="AD33" s="1" cm="1">
        <f t="array" ref="AD33">IF(B33&lt;&gt;"",80,_xludf.NA())</f>
        <v>80</v>
      </c>
      <c r="AE33" s="43"/>
      <c r="AF33" s="43"/>
      <c r="AG33" s="43"/>
    </row>
    <row r="34" spans="1:33">
      <c r="A34" s="22">
        <f t="shared" si="0"/>
        <v>46224</v>
      </c>
      <c r="B34" s="9">
        <f>+[1]Balance_Madden!A32</f>
        <v>46224</v>
      </c>
      <c r="C34" s="24">
        <f>+VLOOKUP(B34,[1]Balance_Madden!$A$12:$E$5000,2)</f>
        <v>222.59</v>
      </c>
      <c r="D34" s="25">
        <f>+VLOOKUP(B34,[1]Balance_Gatún!$A$13:$E$5087,2)</f>
        <v>84.631</v>
      </c>
      <c r="E34" s="24">
        <f>+VLOOKUP(B34,[1]Balance_Madden!$A$12:$E$5087,5)/35.32</f>
        <v>86.306908267270671</v>
      </c>
      <c r="F34" s="26">
        <f>+VLOOKUP(B34,[1]Balance_Gatún!$A$13:$E$5087,5)/35.32</f>
        <v>51.018318233295588</v>
      </c>
      <c r="G34" s="24">
        <f>+VLOOKUP(B34,[1]Balance_Madden!$A$12:$K$5087,9)/111</f>
        <v>18.27927927927928</v>
      </c>
      <c r="H34" s="25">
        <f>+VLOOKUP(B34,[1]Balance_Gatún!$A$13:$U$5087,21)/186</f>
        <v>0</v>
      </c>
      <c r="I34" s="24">
        <f>+(VLOOKUP(B34,[1]Balance_Madden!$A$12:$K$5087,10)/35.32)+VLOOKUP(B34,[1]Balance_Madden!$A$12:$K$5087,11)/35.32</f>
        <v>0</v>
      </c>
      <c r="J34" s="25">
        <f>+VLOOKUP(B34,[1]Balance_Gatún!$A$13:$AD$5087,23)/35.32+ VLOOKUP(B34,[1]Balance_Gatún!$A$13:$AD$5087,17)/35.32</f>
        <v>0</v>
      </c>
      <c r="K34" s="24">
        <f>+VLOOKUP(B34,[1]Balance_Gatún!$A$13:$AC$5087,10)</f>
        <v>24</v>
      </c>
      <c r="L34" s="25" t="str">
        <f>+VLOOKUP(B34,[1]Balance_Gatún!$A$13:$AC$5087,11)</f>
        <v>InnerGate</v>
      </c>
      <c r="M34" s="25">
        <f>+VLOOKUP(B34,[1]Balance_Gatún!$A$13:$AC$5087,12)</f>
        <v>10</v>
      </c>
      <c r="N34" s="25" t="str">
        <f>+VLOOKUP(B34,[1]Balance_Gatún!$A$13:$AC$5087,13)</f>
        <v>TA+CCL50%</v>
      </c>
      <c r="O34" s="25">
        <f>+VLOOKUP(B34,[1]Balance_Gatún!$A$13:$AC$5087,14)/408.7</f>
        <v>7.8195226135252689</v>
      </c>
      <c r="P34" s="24">
        <f>+VLOOKUP(B34,[1]Balance_Madden!$A$12:$V$5087,12)/35.32</f>
        <v>1.5565350411559844</v>
      </c>
      <c r="Q34" s="25">
        <f>+VLOOKUP(B34,[1]Balance_Gatún!$A$13:$AD$5087,15)/35.32</f>
        <v>18.078859029867505</v>
      </c>
      <c r="R34" s="24">
        <f>+VLOOKUP(B34,[1]Balance_Madden!$A$12:$V$5087,14)/35.32</f>
        <v>71.256421790872864</v>
      </c>
      <c r="S34" s="26">
        <f>[1]Balance_Gatún!X33/35.32</f>
        <v>120.20229878490083</v>
      </c>
      <c r="T34" s="25">
        <v>38.93311265601826</v>
      </c>
      <c r="U34" s="25">
        <v>97.925639396790018</v>
      </c>
      <c r="V34" s="29">
        <f>LOOKUP(D34,[1]Parámetros!$A$7:$A$24,[1]Parámetros!$B$7:$B$24)</f>
        <v>49.5</v>
      </c>
      <c r="W34" s="30" t="str">
        <f t="shared" si="1"/>
        <v/>
      </c>
      <c r="X34" s="31" t="str">
        <f t="shared" si="3"/>
        <v/>
      </c>
      <c r="Y34" s="30" t="str">
        <f>IF($W34="Cambio Calado",COUNTIF($W$14:W34,"Cambio Calado"),"")</f>
        <v/>
      </c>
      <c r="Z34" s="31" t="str">
        <f t="shared" si="4"/>
        <v/>
      </c>
      <c r="AA34" s="30" t="str">
        <f t="shared" si="5"/>
        <v/>
      </c>
      <c r="AB34" s="29">
        <f>IFERROR(LOOKUP($A34,$Z$14:$Z34,$AA$14:$AA34),$U34)</f>
        <v>49.5</v>
      </c>
      <c r="AC34" s="32">
        <f>IFERROR($A35-LOOKUP($A35,$Z$14:$Z34),"")</f>
        <v>21</v>
      </c>
      <c r="AD34" s="1" cm="1">
        <f t="array" ref="AD34">IF(B34&lt;&gt;"",80,_xludf.NA())</f>
        <v>80</v>
      </c>
      <c r="AE34" s="43"/>
      <c r="AF34" s="43"/>
      <c r="AG34" s="43"/>
    </row>
    <row r="35" spans="1:33">
      <c r="A35" s="22">
        <f t="shared" si="0"/>
        <v>46225</v>
      </c>
      <c r="B35" s="9">
        <f>+[1]Balance_Madden!A33</f>
        <v>46225</v>
      </c>
      <c r="C35" s="24">
        <f>+VLOOKUP(B35,[1]Balance_Madden!$A$12:$E$5000,2)</f>
        <v>223.53</v>
      </c>
      <c r="D35" s="25">
        <f>+VLOOKUP(B35,[1]Balance_Gatún!$A$13:$E$5087,2)</f>
        <v>84.662000000000006</v>
      </c>
      <c r="E35" s="24">
        <f>+VLOOKUP(B35,[1]Balance_Madden!$A$12:$E$5087,5)/35.32</f>
        <v>35.697734994337488</v>
      </c>
      <c r="F35" s="26">
        <f>+VLOOKUP(B35,[1]Balance_Gatún!$A$13:$E$5087,5)/35.32</f>
        <v>22.778510758776896</v>
      </c>
      <c r="G35" s="24">
        <f>+VLOOKUP(B35,[1]Balance_Madden!$A$12:$K$5087,9)/111</f>
        <v>18.27927927927928</v>
      </c>
      <c r="H35" s="25">
        <f>+VLOOKUP(B35,[1]Balance_Gatún!$A$13:$U$5087,21)/186</f>
        <v>0</v>
      </c>
      <c r="I35" s="24">
        <f>+(VLOOKUP(B35,[1]Balance_Madden!$A$12:$K$5087,10)/35.32)+VLOOKUP(B35,[1]Balance_Madden!$A$12:$K$5087,11)/35.32</f>
        <v>0</v>
      </c>
      <c r="J35" s="25">
        <f>+VLOOKUP(B35,[1]Balance_Gatún!$A$13:$AD$5087,23)/35.32+ VLOOKUP(B35,[1]Balance_Gatún!$A$13:$AD$5087,17)/35.32</f>
        <v>0</v>
      </c>
      <c r="K35" s="24">
        <f>+VLOOKUP(B35,[1]Balance_Gatún!$A$13:$AC$5087,10)</f>
        <v>24</v>
      </c>
      <c r="L35" s="25" t="str">
        <f>+VLOOKUP(B35,[1]Balance_Gatún!$A$13:$AC$5087,11)</f>
        <v>XFILL_PMG50%</v>
      </c>
      <c r="M35" s="25">
        <f>+VLOOKUP(B35,[1]Balance_Gatún!$A$13:$AC$5087,12)</f>
        <v>10</v>
      </c>
      <c r="N35" s="25" t="str">
        <f>+VLOOKUP(B35,[1]Balance_Gatún!$A$13:$AC$5087,13)</f>
        <v>TA+CCL50%</v>
      </c>
      <c r="O35" s="25">
        <f>+VLOOKUP(B35,[1]Balance_Gatún!$A$13:$AC$5087,14)/408.7</f>
        <v>7.2121796502195306</v>
      </c>
      <c r="P35" s="24">
        <f>+VLOOKUP(B35,[1]Balance_Madden!$A$12:$V$5087,12)/35.32</f>
        <v>1.3174432470450865</v>
      </c>
      <c r="Q35" s="25">
        <f>+VLOOKUP(B35,[1]Balance_Gatún!$A$13:$AD$5087,15)/35.32</f>
        <v>15.095316966161239</v>
      </c>
      <c r="R35" s="24">
        <f>+VLOOKUP(B35,[1]Balance_Madden!$A$12:$V$5087,14)/35.32</f>
        <v>71.017329996761958</v>
      </c>
      <c r="S35" s="26">
        <f>[1]Balance_Gatún!X34/35.32</f>
        <v>110.19098013277285</v>
      </c>
      <c r="T35" s="25">
        <v>74.370157383230023</v>
      </c>
      <c r="U35" s="25">
        <v>49.064242991800938</v>
      </c>
      <c r="V35" s="29">
        <f>LOOKUP(D35,[1]Parámetros!$A$7:$A$24,[1]Parámetros!$B$7:$B$24)</f>
        <v>49.5</v>
      </c>
      <c r="W35" s="30" t="str">
        <f t="shared" si="1"/>
        <v/>
      </c>
      <c r="X35" s="31" t="str">
        <f t="shared" si="3"/>
        <v/>
      </c>
      <c r="Y35" s="30" t="str">
        <f>IF($W35="Cambio Calado",COUNTIF($W$14:W35,"Cambio Calado"),"")</f>
        <v/>
      </c>
      <c r="Z35" s="31" t="str">
        <f t="shared" si="4"/>
        <v/>
      </c>
      <c r="AA35" s="30" t="str">
        <f t="shared" si="5"/>
        <v/>
      </c>
      <c r="AB35" s="29">
        <f>IFERROR(LOOKUP($A35,$Z$14:$Z35,$AA$14:$AA35),$U35)</f>
        <v>49.5</v>
      </c>
      <c r="AC35" s="32">
        <f>IFERROR($A36-LOOKUP($A36,$Z$14:$Z35),"")</f>
        <v>22</v>
      </c>
      <c r="AD35" s="1" cm="1">
        <f t="array" ref="AD35">IF(B35&lt;&gt;"",80,_xludf.NA())</f>
        <v>80</v>
      </c>
      <c r="AE35" s="43"/>
      <c r="AF35" s="43"/>
      <c r="AG35" s="43"/>
    </row>
    <row r="36" spans="1:33">
      <c r="A36" s="22">
        <f t="shared" si="0"/>
        <v>46226</v>
      </c>
      <c r="B36" s="9">
        <f>+[1]Balance_Madden!A34</f>
        <v>46226</v>
      </c>
      <c r="C36" s="24">
        <f>+VLOOKUP(B36,[1]Balance_Madden!$A$12:$E$5000,2)</f>
        <v>225.2</v>
      </c>
      <c r="D36" s="25">
        <f>+VLOOKUP(B36,[1]Balance_Gatún!$A$13:$E$5087,2)</f>
        <v>84.897000000000006</v>
      </c>
      <c r="E36" s="24">
        <f>+VLOOKUP(B36,[1]Balance_Madden!$A$12:$E$5087,5)/35.32</f>
        <v>29.441761041902605</v>
      </c>
      <c r="F36" s="26">
        <f>+VLOOKUP(B36,[1]Balance_Gatún!$A$13:$E$5087,5)/35.32</f>
        <v>17.625</v>
      </c>
      <c r="G36" s="24">
        <f>+VLOOKUP(B36,[1]Balance_Madden!$A$12:$K$5087,9)/111</f>
        <v>18.27927927927928</v>
      </c>
      <c r="H36" s="25">
        <f>+VLOOKUP(B36,[1]Balance_Gatún!$A$13:$U$5087,21)/186</f>
        <v>0</v>
      </c>
      <c r="I36" s="24">
        <f>+(VLOOKUP(B36,[1]Balance_Madden!$A$12:$K$5087,10)/35.32)+VLOOKUP(B36,[1]Balance_Madden!$A$12:$K$5087,11)/35.32</f>
        <v>0</v>
      </c>
      <c r="J36" s="25">
        <f>+VLOOKUP(B36,[1]Balance_Gatún!$A$13:$AD$5087,23)/35.32+ VLOOKUP(B36,[1]Balance_Gatún!$A$13:$AD$5087,17)/35.32</f>
        <v>0</v>
      </c>
      <c r="K36" s="24">
        <f>+VLOOKUP(B36,[1]Balance_Gatún!$A$13:$AC$5087,10)</f>
        <v>24</v>
      </c>
      <c r="L36" s="25" t="str">
        <f>+VLOOKUP(B36,[1]Balance_Gatún!$A$13:$AC$5087,11)</f>
        <v>InnerGate</v>
      </c>
      <c r="M36" s="25">
        <f>+VLOOKUP(B36,[1]Balance_Gatún!$A$13:$AC$5087,12)</f>
        <v>10</v>
      </c>
      <c r="N36" s="25" t="str">
        <f>+VLOOKUP(B36,[1]Balance_Gatún!$A$13:$AC$5087,13)</f>
        <v>TA+CCL50%</v>
      </c>
      <c r="O36" s="25">
        <f>+VLOOKUP(B36,[1]Balance_Gatún!$A$13:$AC$5087,14)/408.7</f>
        <v>7.8816901081294244</v>
      </c>
      <c r="P36" s="24">
        <f>+VLOOKUP(B36,[1]Balance_Madden!$A$12:$V$5087,12)/35.32</f>
        <v>1.3362897547143882</v>
      </c>
      <c r="Q36" s="25">
        <f>+VLOOKUP(B36,[1]Balance_Gatún!$A$13:$AD$5087,15)/35.32</f>
        <v>14.984351894943641</v>
      </c>
      <c r="R36" s="24">
        <f>+VLOOKUP(B36,[1]Balance_Madden!$A$12:$V$5087,14)/35.32</f>
        <v>71.036176504431268</v>
      </c>
      <c r="S36" s="26">
        <f>[1]Balance_Gatún!X35/35.32</f>
        <v>117.82715334433479</v>
      </c>
      <c r="T36" s="25">
        <v>40.441723458017307</v>
      </c>
      <c r="U36" s="25">
        <v>148.41342783936167</v>
      </c>
      <c r="V36" s="29">
        <f>LOOKUP(D36,[1]Parámetros!$A$7:$A$24,[1]Parámetros!$B$7:$B$24)</f>
        <v>49.5</v>
      </c>
      <c r="W36" s="30" t="str">
        <f t="shared" si="1"/>
        <v/>
      </c>
      <c r="X36" s="31" t="str">
        <f t="shared" si="3"/>
        <v/>
      </c>
      <c r="Y36" s="30" t="str">
        <f>IF($W36="Cambio Calado",COUNTIF($W$14:W36,"Cambio Calado"),"")</f>
        <v/>
      </c>
      <c r="Z36" s="31" t="str">
        <f t="shared" si="4"/>
        <v/>
      </c>
      <c r="AA36" s="30" t="str">
        <f t="shared" si="5"/>
        <v/>
      </c>
      <c r="AB36" s="29">
        <f>IFERROR(LOOKUP($A36,$Z$14:$Z36,$AA$14:$AA36),$U36)</f>
        <v>49.5</v>
      </c>
      <c r="AC36" s="32">
        <f>IFERROR($A37-LOOKUP($A37,$Z$14:$Z36),"")</f>
        <v>23</v>
      </c>
      <c r="AD36" s="1" cm="1">
        <f t="array" ref="AD36">IF(B36&lt;&gt;"",80,_xludf.NA())</f>
        <v>80</v>
      </c>
      <c r="AE36" s="43"/>
      <c r="AF36" s="43"/>
      <c r="AG36" s="43"/>
    </row>
    <row r="37" spans="1:33" s="49" customFormat="1">
      <c r="A37" s="44">
        <f t="shared" si="0"/>
        <v>46227</v>
      </c>
      <c r="B37" s="45">
        <f>+[1]Balance_Madden!A35</f>
        <v>46227</v>
      </c>
      <c r="C37" s="46">
        <f>+VLOOKUP(B37,[1]Balance_Madden!$A$12:$E$5000,2)</f>
        <v>225.84</v>
      </c>
      <c r="D37" s="47">
        <f>+VLOOKUP(B37,[1]Balance_Gatún!$A$13:$E$5087,2)</f>
        <v>84.960999999999999</v>
      </c>
      <c r="E37" s="46">
        <f>+VLOOKUP(B37,[1]Balance_Madden!$A$12:$E$5087,5)/35.32</f>
        <v>26.795016987542468</v>
      </c>
      <c r="F37" s="48">
        <f>+VLOOKUP(B37,[1]Balance_Gatún!$A$13:$E$5087,5)/35.32</f>
        <v>18.008040770101925</v>
      </c>
      <c r="G37" s="24">
        <f>+VLOOKUP(B37,[1]Balance_Madden!$A$12:$K$5087,9)/111</f>
        <v>2.6666666666666665</v>
      </c>
      <c r="H37" s="47">
        <f>+VLOOKUP(B37,[1]Balance_Gatún!$A$13:$U$5087,21)/186</f>
        <v>0</v>
      </c>
      <c r="I37" s="46">
        <f>+(VLOOKUP(B37,[1]Balance_Madden!$A$12:$K$5087,10)/35.32)+VLOOKUP(B37,[1]Balance_Madden!$A$12:$K$5087,11)/35.32</f>
        <v>0</v>
      </c>
      <c r="J37" s="47">
        <f>+VLOOKUP(B37,[1]Balance_Gatún!$A$13:$AD$5087,23)/35.32+ VLOOKUP(B37,[1]Balance_Gatún!$A$13:$AD$5087,17)/35.32</f>
        <v>0</v>
      </c>
      <c r="K37" s="46">
        <f>+VLOOKUP(B37,[1]Balance_Gatún!$A$13:$AC$5087,10)</f>
        <v>24</v>
      </c>
      <c r="L37" s="47" t="str">
        <f>+VLOOKUP(B37,[1]Balance_Gatún!$A$13:$AC$5087,11)</f>
        <v>XFILL_PMG50%</v>
      </c>
      <c r="M37" s="47">
        <f>+VLOOKUP(B37,[1]Balance_Gatún!$A$13:$AC$5087,12)</f>
        <v>10</v>
      </c>
      <c r="N37" s="47" t="str">
        <f>+VLOOKUP(B37,[1]Balance_Gatún!$A$13:$AC$5087,13)</f>
        <v>TA+CCL50%</v>
      </c>
      <c r="O37" s="47">
        <f>+VLOOKUP(B37,[1]Balance_Gatún!$A$13:$AC$5087,14)/408.7</f>
        <v>7.2759705122263476</v>
      </c>
      <c r="P37" s="46">
        <f>+VLOOKUP(B37,[1]Balance_Madden!$A$12:$V$5087,12)/35.32</f>
        <v>0.8835045949617587</v>
      </c>
      <c r="Q37" s="47">
        <f>+VLOOKUP(B37,[1]Balance_Gatún!$A$13:$AD$5087,15)/35.32</f>
        <v>9.8231208090141156</v>
      </c>
      <c r="R37" s="46">
        <f>+VLOOKUP(B37,[1]Balance_Madden!$A$12:$V$5087,14)/35.32</f>
        <v>21.517706180465719</v>
      </c>
      <c r="S37" s="48">
        <f>[1]Balance_Gatún!X36/35.32</f>
        <v>105.65693021860947</v>
      </c>
      <c r="T37" s="47">
        <v>80.595522316641407</v>
      </c>
      <c r="U37" s="47">
        <v>98.165731897015007</v>
      </c>
      <c r="V37" s="29">
        <f>LOOKUP(D37,[1]Parámetros!$A$7:$A$24,[1]Parámetros!$B$7:$B$24)</f>
        <v>49.5</v>
      </c>
      <c r="W37" s="30" t="str">
        <f t="shared" si="1"/>
        <v/>
      </c>
      <c r="X37" s="31" t="str">
        <f t="shared" si="3"/>
        <v/>
      </c>
      <c r="Y37" s="30" t="str">
        <f>IF($W37="Cambio Calado",COUNTIF($W$14:W37,"Cambio Calado"),"")</f>
        <v/>
      </c>
      <c r="Z37" s="31" t="str">
        <f t="shared" si="4"/>
        <v/>
      </c>
      <c r="AA37" s="30" t="str">
        <f t="shared" si="5"/>
        <v/>
      </c>
      <c r="AB37" s="29">
        <f>IFERROR(LOOKUP($A37,$Z$14:$Z37,$AA$14:$AA37),$U37)</f>
        <v>49.5</v>
      </c>
      <c r="AC37" s="32">
        <f>IFERROR($A38-LOOKUP($A38,$Z$14:$Z37),"")</f>
        <v>24</v>
      </c>
      <c r="AD37" s="1" cm="1">
        <f t="array" ref="AD37">IF(B37&lt;&gt;"",80,_xludf.NA())</f>
        <v>80</v>
      </c>
      <c r="AE37" s="43"/>
      <c r="AF37" s="43"/>
      <c r="AG37" s="43"/>
    </row>
    <row r="38" spans="1:33">
      <c r="A38" s="22">
        <f t="shared" si="0"/>
        <v>46228</v>
      </c>
      <c r="B38" s="9">
        <f>+[1]Balance_Madden!A36</f>
        <v>46228</v>
      </c>
      <c r="C38" s="24">
        <f>+VLOOKUP(B38,[1]Balance_Madden!$A$12:$E$5000,2)</f>
        <v>226.14</v>
      </c>
      <c r="D38" s="25">
        <f>+VLOOKUP(B38,[1]Balance_Gatún!$A$13:$E$5087,2)</f>
        <v>84.927999999999997</v>
      </c>
      <c r="E38" s="24">
        <f>+VLOOKUP(B38,[1]Balance_Madden!$A$12:$E$5087,5)/35.32</f>
        <v>33.078595696489238</v>
      </c>
      <c r="F38" s="26">
        <f>+VLOOKUP(B38,[1]Balance_Gatún!$A$13:$E$5087,5)/35.32</f>
        <v>31.763335220838055</v>
      </c>
      <c r="G38" s="24">
        <f>+VLOOKUP(B38,[1]Balance_Madden!$A$12:$K$5087,9)/111</f>
        <v>2.6666666666666665</v>
      </c>
      <c r="H38" s="25">
        <f>+VLOOKUP(B38,[1]Balance_Gatún!$A$13:$U$5087,21)/186</f>
        <v>0</v>
      </c>
      <c r="I38" s="24">
        <f>+(VLOOKUP(B38,[1]Balance_Madden!$A$12:$K$5087,10)/35.32)+VLOOKUP(B38,[1]Balance_Madden!$A$12:$K$5087,11)/35.32</f>
        <v>0</v>
      </c>
      <c r="J38" s="25">
        <f>+VLOOKUP(B38,[1]Balance_Gatún!$A$13:$AD$5087,23)/35.32+ VLOOKUP(B38,[1]Balance_Gatún!$A$13:$AD$5087,17)/35.32</f>
        <v>0</v>
      </c>
      <c r="K38" s="24">
        <f>+VLOOKUP(B38,[1]Balance_Gatún!$A$13:$AC$5087,10)</f>
        <v>24</v>
      </c>
      <c r="L38" s="25" t="str">
        <f>+VLOOKUP(B38,[1]Balance_Gatún!$A$13:$AC$5087,11)</f>
        <v>InnerGate</v>
      </c>
      <c r="M38" s="25">
        <f>+VLOOKUP(B38,[1]Balance_Gatún!$A$13:$AC$5087,12)</f>
        <v>10</v>
      </c>
      <c r="N38" s="25" t="str">
        <f>+VLOOKUP(B38,[1]Balance_Gatún!$A$13:$AC$5087,13)</f>
        <v>TA+CCL50%</v>
      </c>
      <c r="O38" s="25">
        <f>+VLOOKUP(B38,[1]Balance_Gatún!$A$13:$AC$5087,14)/408.7</f>
        <v>7.8889351920870521</v>
      </c>
      <c r="P38" s="24">
        <f>+VLOOKUP(B38,[1]Balance_Madden!$A$12:$V$5087,12)/35.32</f>
        <v>0.40587669562208212</v>
      </c>
      <c r="Q38" s="25">
        <f>+VLOOKUP(B38,[1]Balance_Gatún!$A$13:$AD$5087,15)/35.32</f>
        <v>4.4912016753148531</v>
      </c>
      <c r="R38" s="24">
        <f>+VLOOKUP(B38,[1]Balance_Madden!$A$12:$V$5087,14)/35.32</f>
        <v>21.040078281126046</v>
      </c>
      <c r="S38" s="26">
        <f>[1]Balance_Gatún!X37/35.32</f>
        <v>107.41783851013871</v>
      </c>
      <c r="T38" s="25">
        <v>49.325867027653075</v>
      </c>
      <c r="U38" s="25">
        <v>47.918035954668326</v>
      </c>
      <c r="V38" s="29">
        <f>LOOKUP(D38,[1]Parámetros!$A$7:$A$24,[1]Parámetros!$B$7:$B$24)</f>
        <v>49.5</v>
      </c>
      <c r="W38" s="30" t="str">
        <f t="shared" si="1"/>
        <v/>
      </c>
      <c r="X38" s="31" t="str">
        <f t="shared" si="3"/>
        <v/>
      </c>
      <c r="Y38" s="30" t="str">
        <f>IF($W38="Cambio Calado",COUNTIF($W$14:W38,"Cambio Calado"),"")</f>
        <v/>
      </c>
      <c r="Z38" s="31" t="str">
        <f t="shared" si="4"/>
        <v/>
      </c>
      <c r="AA38" s="30" t="str">
        <f t="shared" si="5"/>
        <v/>
      </c>
      <c r="AB38" s="29">
        <f>IFERROR(LOOKUP($A38,$Z$14:$Z38,$AA$14:$AA38),$U38)</f>
        <v>49.5</v>
      </c>
      <c r="AC38" s="32">
        <f>IFERROR($A39-LOOKUP($A39,$Z$14:$Z38),"")</f>
        <v>25</v>
      </c>
      <c r="AD38" s="1" cm="1">
        <f t="array" ref="AD38">IF(B38&lt;&gt;"",80,_xludf.NA())</f>
        <v>80</v>
      </c>
      <c r="AE38" s="43"/>
      <c r="AF38" s="43"/>
      <c r="AG38" s="43"/>
    </row>
    <row r="39" spans="1:33">
      <c r="A39" s="22">
        <f t="shared" si="0"/>
        <v>46229</v>
      </c>
      <c r="B39" s="9">
        <f>+[1]Balance_Madden!A37</f>
        <v>46229</v>
      </c>
      <c r="C39" s="24">
        <f>+VLOOKUP(B39,[1]Balance_Madden!$A$12:$E$5000,2)</f>
        <v>226.33</v>
      </c>
      <c r="D39" s="25">
        <f>+VLOOKUP(B39,[1]Balance_Gatún!$A$13:$E$5087,2)</f>
        <v>84.887</v>
      </c>
      <c r="E39" s="24">
        <f>+VLOOKUP(B39,[1]Balance_Madden!$A$12:$E$5087,5)/35.32</f>
        <v>25.342044167610418</v>
      </c>
      <c r="F39" s="26">
        <f>+VLOOKUP(B39,[1]Balance_Gatún!$A$13:$E$5087,5)/35.32</f>
        <v>30.384994337485846</v>
      </c>
      <c r="G39" s="24">
        <f>+VLOOKUP(B39,[1]Balance_Madden!$A$12:$K$5087,9)/111</f>
        <v>2.6666666666666665</v>
      </c>
      <c r="H39" s="25">
        <f>+VLOOKUP(B39,[1]Balance_Gatún!$A$13:$U$5087,21)/186</f>
        <v>0</v>
      </c>
      <c r="I39" s="24">
        <f>+(VLOOKUP(B39,[1]Balance_Madden!$A$12:$K$5087,10)/35.32)+VLOOKUP(B39,[1]Balance_Madden!$A$12:$K$5087,11)/35.32</f>
        <v>0</v>
      </c>
      <c r="J39" s="25">
        <f>+VLOOKUP(B39,[1]Balance_Gatún!$A$13:$AD$5087,23)/35.32+ VLOOKUP(B39,[1]Balance_Gatún!$A$13:$AD$5087,17)/35.32</f>
        <v>0</v>
      </c>
      <c r="K39" s="24">
        <f>+VLOOKUP(B39,[1]Balance_Gatún!$A$13:$AC$5087,10)</f>
        <v>24</v>
      </c>
      <c r="L39" s="25" t="str">
        <f>+VLOOKUP(B39,[1]Balance_Gatún!$A$13:$AC$5087,11)</f>
        <v>XFILL_PMG50%</v>
      </c>
      <c r="M39" s="25">
        <f>+VLOOKUP(B39,[1]Balance_Gatún!$A$13:$AC$5087,12)</f>
        <v>10</v>
      </c>
      <c r="N39" s="25" t="str">
        <f>+VLOOKUP(B39,[1]Balance_Gatún!$A$13:$AC$5087,13)</f>
        <v>TA+CCL50%</v>
      </c>
      <c r="O39" s="25">
        <f>+VLOOKUP(B39,[1]Balance_Gatún!$A$13:$AC$5087,14)/408.7</f>
        <v>7.2601828072480705</v>
      </c>
      <c r="P39" s="24">
        <f>+VLOOKUP(B39,[1]Balance_Madden!$A$12:$V$5087,12)/35.32</f>
        <v>1.2619295874866336</v>
      </c>
      <c r="Q39" s="25">
        <f>+VLOOKUP(B39,[1]Balance_Gatún!$A$13:$AD$5087,15)/35.32</f>
        <v>13.918192168574066</v>
      </c>
      <c r="R39" s="24">
        <f>+VLOOKUP(B39,[1]Balance_Madden!$A$12:$V$5087,14)/35.32</f>
        <v>21.896131172990597</v>
      </c>
      <c r="S39" s="26">
        <f>[1]Balance_Gatún!X38/35.32</f>
        <v>109.56931655482227</v>
      </c>
      <c r="T39" s="25">
        <v>46.634578235749551</v>
      </c>
      <c r="U39" s="25">
        <v>37.386412330937787</v>
      </c>
      <c r="V39" s="29">
        <f>LOOKUP(D39,[1]Parámetros!$A$7:$A$24,[1]Parámetros!$B$7:$B$24)</f>
        <v>49.5</v>
      </c>
      <c r="W39" s="30" t="str">
        <f t="shared" si="1"/>
        <v/>
      </c>
      <c r="X39" s="31" t="str">
        <f t="shared" si="3"/>
        <v/>
      </c>
      <c r="Y39" s="30" t="str">
        <f>IF($W39="Cambio Calado",COUNTIF($W$14:W39,"Cambio Calado"),"")</f>
        <v/>
      </c>
      <c r="Z39" s="31" t="str">
        <f t="shared" si="4"/>
        <v/>
      </c>
      <c r="AA39" s="30" t="str">
        <f t="shared" si="5"/>
        <v/>
      </c>
      <c r="AB39" s="29">
        <f>IFERROR(LOOKUP($A39,$Z$14:$Z39,$AA$14:$AA39),$U39)</f>
        <v>49.5</v>
      </c>
      <c r="AC39" s="32">
        <f>IFERROR($A40-LOOKUP($A40,$Z$14:$Z39),"")</f>
        <v>26</v>
      </c>
      <c r="AD39" s="1" cm="1">
        <f t="array" ref="AD39">IF(B39&lt;&gt;"",80,_xludf.NA())</f>
        <v>80</v>
      </c>
      <c r="AE39" s="43"/>
      <c r="AF39" s="43"/>
      <c r="AG39" s="43"/>
    </row>
    <row r="40" spans="1:33">
      <c r="A40" s="22">
        <f t="shared" si="0"/>
        <v>46230</v>
      </c>
      <c r="B40" s="9">
        <f>+[1]Balance_Madden!A38</f>
        <v>46230</v>
      </c>
      <c r="C40" s="24">
        <f>+VLOOKUP(B40,[1]Balance_Madden!$A$12:$E$5000,2)</f>
        <v>226.54</v>
      </c>
      <c r="D40" s="25">
        <f>+VLOOKUP(B40,[1]Balance_Gatún!$A$13:$E$5087,2)</f>
        <v>84.864000000000004</v>
      </c>
      <c r="E40" s="24">
        <f>+VLOOKUP(B40,[1]Balance_Madden!$A$12:$E$5087,5)/35.32</f>
        <v>22.283040770101927</v>
      </c>
      <c r="F40" s="26">
        <f>+VLOOKUP(B40,[1]Balance_Gatún!$A$13:$E$5087,5)/35.32</f>
        <v>23.766223103057758</v>
      </c>
      <c r="G40" s="24">
        <f>+VLOOKUP(B40,[1]Balance_Madden!$A$12:$K$5087,9)/111</f>
        <v>2.6666666666666665</v>
      </c>
      <c r="H40" s="25">
        <f>+VLOOKUP(B40,[1]Balance_Gatún!$A$13:$U$5087,21)/186</f>
        <v>0</v>
      </c>
      <c r="I40" s="24">
        <f>+(VLOOKUP(B40,[1]Balance_Madden!$A$12:$K$5087,10)/35.32)+VLOOKUP(B40,[1]Balance_Madden!$A$12:$K$5087,11)/35.32</f>
        <v>0</v>
      </c>
      <c r="J40" s="25">
        <f>+VLOOKUP(B40,[1]Balance_Gatún!$A$13:$AD$5087,23)/35.32+ VLOOKUP(B40,[1]Balance_Gatún!$A$13:$AD$5087,17)/35.32</f>
        <v>0</v>
      </c>
      <c r="K40" s="24">
        <f>+VLOOKUP(B40,[1]Balance_Gatún!$A$13:$AC$5087,10)</f>
        <v>24</v>
      </c>
      <c r="L40" s="25" t="str">
        <f>+VLOOKUP(B40,[1]Balance_Gatún!$A$13:$AC$5087,11)</f>
        <v>InnerGate</v>
      </c>
      <c r="M40" s="25">
        <f>+VLOOKUP(B40,[1]Balance_Gatún!$A$13:$AC$5087,12)</f>
        <v>10</v>
      </c>
      <c r="N40" s="25" t="str">
        <f>+VLOOKUP(B40,[1]Balance_Gatún!$A$13:$AC$5087,13)</f>
        <v>TA+CCL50%</v>
      </c>
      <c r="O40" s="25">
        <f>+VLOOKUP(B40,[1]Balance_Gatún!$A$13:$AC$5087,14)/408.7</f>
        <v>7.8739775994003383</v>
      </c>
      <c r="P40" s="24">
        <f>+VLOOKUP(B40,[1]Balance_Madden!$A$12:$V$5087,12)/35.32</f>
        <v>0.85904814395330498</v>
      </c>
      <c r="Q40" s="25">
        <f>+VLOOKUP(B40,[1]Balance_Gatún!$A$13:$AD$5087,15)/35.32</f>
        <v>9.443217661926246</v>
      </c>
      <c r="R40" s="24">
        <f>+VLOOKUP(B40,[1]Balance_Madden!$A$12:$V$5087,14)/35.32</f>
        <v>21.493249729457268</v>
      </c>
      <c r="S40" s="26">
        <f>[1]Balance_Gatún!X39/35.32</f>
        <v>112.19677499134069</v>
      </c>
      <c r="T40" s="25">
        <v>40.674879981385594</v>
      </c>
      <c r="U40" s="25">
        <v>33.792647660789413</v>
      </c>
      <c r="V40" s="29">
        <f>LOOKUP(D40,[1]Parámetros!$A$7:$A$24,[1]Parámetros!$B$7:$B$24)</f>
        <v>49.5</v>
      </c>
      <c r="W40" s="30" t="str">
        <f t="shared" si="1"/>
        <v/>
      </c>
      <c r="X40" s="31" t="str">
        <f t="shared" si="3"/>
        <v/>
      </c>
      <c r="Y40" s="30" t="str">
        <f>IF($W40="Cambio Calado",COUNTIF($W$14:W40,"Cambio Calado"),"")</f>
        <v/>
      </c>
      <c r="Z40" s="31" t="str">
        <f t="shared" si="4"/>
        <v/>
      </c>
      <c r="AA40" s="30" t="str">
        <f t="shared" si="5"/>
        <v/>
      </c>
      <c r="AB40" s="29">
        <f>IFERROR(LOOKUP($A40,$Z$14:$Z40,$AA$14:$AA40),$U40)</f>
        <v>49.5</v>
      </c>
      <c r="AC40" s="32">
        <f>IFERROR($A41-LOOKUP($A41,$Z$14:$Z40),"")</f>
        <v>27</v>
      </c>
      <c r="AD40" s="1" cm="1">
        <f t="array" ref="AD40">IF(B40&lt;&gt;"",80,_xludf.NA())</f>
        <v>80</v>
      </c>
      <c r="AE40" s="43"/>
      <c r="AF40" s="43"/>
      <c r="AG40" s="43"/>
    </row>
    <row r="41" spans="1:33">
      <c r="A41" s="22">
        <f t="shared" si="0"/>
        <v>46231</v>
      </c>
      <c r="B41" s="9">
        <f>+[1]Balance_Madden!A39</f>
        <v>46231</v>
      </c>
      <c r="C41" s="24">
        <f>+VLOOKUP(B41,[1]Balance_Madden!$A$12:$E$5000,2)</f>
        <v>226.69</v>
      </c>
      <c r="D41" s="25">
        <f>+VLOOKUP(B41,[1]Balance_Gatún!$A$13:$E$5087,2)</f>
        <v>84.811999999999998</v>
      </c>
      <c r="E41" s="24">
        <f>+VLOOKUP(B41,[1]Balance_Madden!$A$12:$E$5087,5)/35.32</f>
        <v>22.103114382785957</v>
      </c>
      <c r="F41" s="26">
        <f>+VLOOKUP(B41,[1]Balance_Gatún!$A$13:$E$5087,5)/35.32</f>
        <v>77.105804077010191</v>
      </c>
      <c r="G41" s="24">
        <f>+VLOOKUP(B41,[1]Balance_Madden!$A$12:$K$5087,9)/111</f>
        <v>2.6666666666666665</v>
      </c>
      <c r="H41" s="25">
        <f>+VLOOKUP(B41,[1]Balance_Gatún!$A$13:$U$5087,21)/186</f>
        <v>0</v>
      </c>
      <c r="I41" s="24">
        <f>+(VLOOKUP(B41,[1]Balance_Madden!$A$12:$K$5087,10)/35.32)+VLOOKUP(B41,[1]Balance_Madden!$A$12:$K$5087,11)/35.32</f>
        <v>0</v>
      </c>
      <c r="J41" s="25">
        <f>+VLOOKUP(B41,[1]Balance_Gatún!$A$13:$AD$5087,23)/35.32+ VLOOKUP(B41,[1]Balance_Gatún!$A$13:$AD$5087,17)/35.32</f>
        <v>0</v>
      </c>
      <c r="K41" s="24">
        <f>+VLOOKUP(B41,[1]Balance_Gatún!$A$13:$AC$5087,10)</f>
        <v>24</v>
      </c>
      <c r="L41" s="25" t="str">
        <f>+VLOOKUP(B41,[1]Balance_Gatún!$A$13:$AC$5087,11)</f>
        <v>XFILL_PMG50%</v>
      </c>
      <c r="M41" s="25">
        <f>+VLOOKUP(B41,[1]Balance_Gatún!$A$13:$AC$5087,12)</f>
        <v>10</v>
      </c>
      <c r="N41" s="25" t="str">
        <f>+VLOOKUP(B41,[1]Balance_Gatún!$A$13:$AC$5087,13)</f>
        <v>TA+CCL50%</v>
      </c>
      <c r="O41" s="25">
        <f>+VLOOKUP(B41,[1]Balance_Gatún!$A$13:$AC$5087,14)/408.7</f>
        <v>7.2441817549052248</v>
      </c>
      <c r="P41" s="24">
        <f>+VLOOKUP(B41,[1]Balance_Madden!$A$12:$V$5087,12)/35.32</f>
        <v>0.66171920953478203</v>
      </c>
      <c r="Q41" s="25">
        <f>+VLOOKUP(B41,[1]Balance_Gatún!$A$13:$AD$5087,15)/35.32</f>
        <v>7.2535264121404737</v>
      </c>
      <c r="R41" s="24">
        <f>+VLOOKUP(B41,[1]Balance_Madden!$A$12:$V$5087,14)/35.32</f>
        <v>21.295920795038743</v>
      </c>
      <c r="S41" s="26">
        <f>[1]Balance_Gatún!X40/35.32</f>
        <v>102.71949705850982</v>
      </c>
      <c r="T41" s="25">
        <v>28.152163750542673</v>
      </c>
      <c r="U41" s="25">
        <v>57.554236655570662</v>
      </c>
      <c r="V41" s="29">
        <f>LOOKUP(D41,[1]Parámetros!$A$7:$A$24,[1]Parámetros!$B$7:$B$24)</f>
        <v>49.5</v>
      </c>
      <c r="W41" s="30" t="str">
        <f t="shared" si="1"/>
        <v/>
      </c>
      <c r="X41" s="31" t="str">
        <f t="shared" si="3"/>
        <v/>
      </c>
      <c r="Y41" s="30" t="str">
        <f>IF($W41="Cambio Calado",COUNTIF($W$14:W41,"Cambio Calado"),"")</f>
        <v/>
      </c>
      <c r="Z41" s="31" t="str">
        <f t="shared" si="4"/>
        <v/>
      </c>
      <c r="AA41" s="30" t="str">
        <f t="shared" si="5"/>
        <v/>
      </c>
      <c r="AB41" s="29">
        <f>IFERROR(LOOKUP($A41,$Z$14:$Z41,$AA$14:$AA41),$U41)</f>
        <v>49.5</v>
      </c>
      <c r="AC41" s="32">
        <f>IFERROR($A42-LOOKUP($A42,$Z$14:$Z41),"")</f>
        <v>28</v>
      </c>
      <c r="AD41" s="1" cm="1">
        <f t="array" ref="AD41">IF(B41&lt;&gt;"",80,_xludf.NA())</f>
        <v>80</v>
      </c>
    </row>
    <row r="42" spans="1:33">
      <c r="A42" s="22">
        <f t="shared" si="0"/>
        <v>46232</v>
      </c>
      <c r="B42" s="9">
        <f>+[1]Balance_Madden!A40</f>
        <v>46232</v>
      </c>
      <c r="C42" s="24">
        <f>+VLOOKUP(B42,[1]Balance_Madden!$A$12:$E$5000,2)</f>
        <v>226.75</v>
      </c>
      <c r="D42" s="25">
        <f>+VLOOKUP(B42,[1]Balance_Gatún!$A$13:$E$5087,2)</f>
        <v>84.747</v>
      </c>
      <c r="E42" s="24">
        <f>+VLOOKUP(B42,[1]Balance_Madden!$A$12:$E$5087,5)/35.32</f>
        <v>67.268346545866365</v>
      </c>
      <c r="F42" s="26">
        <f>+VLOOKUP(B42,[1]Balance_Gatún!$A$13:$E$5087,5)/35.32</f>
        <v>50.43601359003398</v>
      </c>
      <c r="G42" s="24">
        <f>+VLOOKUP(B42,[1]Balance_Madden!$A$12:$K$5087,9)/111</f>
        <v>2.6666666666666665</v>
      </c>
      <c r="H42" s="25">
        <f>+VLOOKUP(B42,[1]Balance_Gatún!$A$13:$U$5087,21)/186</f>
        <v>0</v>
      </c>
      <c r="I42" s="24">
        <f>+(VLOOKUP(B42,[1]Balance_Madden!$A$12:$K$5087,10)/35.32)+VLOOKUP(B42,[1]Balance_Madden!$A$12:$K$5087,11)/35.32</f>
        <v>0</v>
      </c>
      <c r="J42" s="25">
        <f>+VLOOKUP(B42,[1]Balance_Gatún!$A$13:$AD$5087,23)/35.32+ VLOOKUP(B42,[1]Balance_Gatún!$A$13:$AD$5087,17)/35.32</f>
        <v>0</v>
      </c>
      <c r="K42" s="24">
        <f>+VLOOKUP(B42,[1]Balance_Gatún!$A$13:$AC$5087,10)</f>
        <v>24</v>
      </c>
      <c r="L42" s="25" t="str">
        <f>+VLOOKUP(B42,[1]Balance_Gatún!$A$13:$AC$5087,11)</f>
        <v>InnerGate</v>
      </c>
      <c r="M42" s="25">
        <f>+VLOOKUP(B42,[1]Balance_Gatún!$A$13:$AC$5087,12)</f>
        <v>10</v>
      </c>
      <c r="N42" s="25" t="str">
        <f>+VLOOKUP(B42,[1]Balance_Gatún!$A$13:$AC$5087,13)</f>
        <v>TA+CCL50%</v>
      </c>
      <c r="O42" s="25">
        <f>+VLOOKUP(B42,[1]Balance_Gatún!$A$13:$AC$5087,14)/408.7</f>
        <v>7.8466332502699387</v>
      </c>
      <c r="P42" s="24">
        <f>+VLOOKUP(B42,[1]Balance_Madden!$A$12:$V$5087,12)/35.32</f>
        <v>1.2007365798434204</v>
      </c>
      <c r="Q42" s="25">
        <f>+VLOOKUP(B42,[1]Balance_Gatún!$A$13:$AD$5087,15)/35.32</f>
        <v>13.139799888590744</v>
      </c>
      <c r="R42" s="24">
        <f>+VLOOKUP(B42,[1]Balance_Madden!$A$12:$V$5087,14)/35.32</f>
        <v>21.834938165347381</v>
      </c>
      <c r="S42" s="26">
        <f>[1]Balance_Gatún!X41/35.32</f>
        <v>115.57694624717863</v>
      </c>
      <c r="T42" s="25">
        <v>25.161412824234418</v>
      </c>
      <c r="U42" s="25">
        <v>38.365702600583049</v>
      </c>
      <c r="V42" s="29">
        <f>LOOKUP(D42,[1]Parámetros!$A$7:$A$24,[1]Parámetros!$B$7:$B$24)</f>
        <v>49.5</v>
      </c>
      <c r="W42" s="30" t="str">
        <f t="shared" si="1"/>
        <v/>
      </c>
      <c r="X42" s="31" t="str">
        <f t="shared" si="3"/>
        <v/>
      </c>
      <c r="Y42" s="30" t="str">
        <f>IF($W42="Cambio Calado",COUNTIF($W$14:W42,"Cambio Calado"),"")</f>
        <v/>
      </c>
      <c r="Z42" s="31" t="str">
        <f t="shared" si="4"/>
        <v/>
      </c>
      <c r="AA42" s="30" t="str">
        <f t="shared" si="5"/>
        <v/>
      </c>
      <c r="AB42" s="29">
        <f>IFERROR(LOOKUP($A42,$Z$14:$Z42,$AA$14:$AA42),$U42)</f>
        <v>49.5</v>
      </c>
      <c r="AC42" s="32">
        <f>IFERROR($A43-LOOKUP($A43,$Z$14:$Z42),"")</f>
        <v>29</v>
      </c>
      <c r="AD42" s="1" cm="1">
        <f t="array" ref="AD42">IF(B42&lt;&gt;"",80,_xludf.NA())</f>
        <v>80</v>
      </c>
    </row>
    <row r="43" spans="1:33">
      <c r="A43" s="22">
        <f t="shared" si="0"/>
        <v>46233</v>
      </c>
      <c r="B43" s="9">
        <f>+[1]Balance_Madden!A41</f>
        <v>46233</v>
      </c>
      <c r="C43" s="24">
        <f>+VLOOKUP(B43,[1]Balance_Madden!$A$12:$E$5000,2)</f>
        <v>226.78</v>
      </c>
      <c r="D43" s="25">
        <f>+VLOOKUP(B43,[1]Balance_Gatún!$A$13:$E$5087,2)</f>
        <v>84.715999999999994</v>
      </c>
      <c r="E43" s="24">
        <f>+VLOOKUP(B43,[1]Balance_Madden!$A$12:$E$5087,5)/35.32</f>
        <v>30.020526613816536</v>
      </c>
      <c r="F43" s="26">
        <f>+VLOOKUP(B43,[1]Balance_Gatún!$A$13:$E$5087,5)/35.32</f>
        <v>44.790600226500565</v>
      </c>
      <c r="G43" s="24">
        <f>+VLOOKUP(B43,[1]Balance_Madden!$A$12:$K$5087,9)/111</f>
        <v>2.6666666666666665</v>
      </c>
      <c r="H43" s="25">
        <f>+VLOOKUP(B43,[1]Balance_Gatún!$A$13:$U$5087,21)/186</f>
        <v>0</v>
      </c>
      <c r="I43" s="24">
        <f>+(VLOOKUP(B43,[1]Balance_Madden!$A$12:$K$5087,10)/35.32)+VLOOKUP(B43,[1]Balance_Madden!$A$12:$K$5087,11)/35.32</f>
        <v>0</v>
      </c>
      <c r="J43" s="25">
        <f>+VLOOKUP(B43,[1]Balance_Gatún!$A$13:$AD$5087,23)/35.32+ VLOOKUP(B43,[1]Balance_Gatún!$A$13:$AD$5087,17)/35.32</f>
        <v>0</v>
      </c>
      <c r="K43" s="24">
        <f>+VLOOKUP(B43,[1]Balance_Gatún!$A$13:$AC$5087,10)</f>
        <v>24</v>
      </c>
      <c r="L43" s="25" t="str">
        <f>+VLOOKUP(B43,[1]Balance_Gatún!$A$13:$AC$5087,11)</f>
        <v>XFILL_PMG50%</v>
      </c>
      <c r="M43" s="25">
        <f>+VLOOKUP(B43,[1]Balance_Gatún!$A$13:$AC$5087,12)</f>
        <v>10</v>
      </c>
      <c r="N43" s="25" t="str">
        <f>+VLOOKUP(B43,[1]Balance_Gatún!$A$13:$AC$5087,13)</f>
        <v>TA+CCL50%</v>
      </c>
      <c r="O43" s="25">
        <f>+VLOOKUP(B43,[1]Balance_Gatún!$A$13:$AC$5087,14)/408.7</f>
        <v>7.2237004079063798</v>
      </c>
      <c r="P43" s="24">
        <f>+VLOOKUP(B43,[1]Balance_Madden!$A$12:$V$5087,12)/35.32</f>
        <v>1.0918644625348153</v>
      </c>
      <c r="Q43" s="25">
        <f>+VLOOKUP(B43,[1]Balance_Gatún!$A$13:$AD$5087,15)/35.32</f>
        <v>11.938527402854453</v>
      </c>
      <c r="R43" s="24">
        <f>+VLOOKUP(B43,[1]Balance_Madden!$A$12:$V$5087,14)/35.32</f>
        <v>21.726066048038778</v>
      </c>
      <c r="S43" s="26">
        <f>[1]Balance_Gatún!X42/35.32</f>
        <v>107.16750126217885</v>
      </c>
      <c r="T43" s="25">
        <v>19.899499191046402</v>
      </c>
      <c r="U43" s="25">
        <v>37.365244546661806</v>
      </c>
      <c r="V43" s="29">
        <f>LOOKUP(D43,[1]Parámetros!$A$7:$A$24,[1]Parámetros!$B$7:$B$24)</f>
        <v>49.5</v>
      </c>
      <c r="W43" s="30" t="str">
        <f t="shared" si="1"/>
        <v/>
      </c>
      <c r="X43" s="31" t="str">
        <f t="shared" si="3"/>
        <v/>
      </c>
      <c r="Y43" s="30" t="str">
        <f>IF($W43="Cambio Calado",COUNTIF($W$14:W43,"Cambio Calado"),"")</f>
        <v/>
      </c>
      <c r="Z43" s="31" t="str">
        <f t="shared" si="4"/>
        <v/>
      </c>
      <c r="AA43" s="30" t="str">
        <f t="shared" si="5"/>
        <v/>
      </c>
      <c r="AB43" s="29">
        <f>IFERROR(LOOKUP($A43,$Z$14:$Z43,$AA$14:$AA43),$U43)</f>
        <v>49.5</v>
      </c>
      <c r="AC43" s="32">
        <f>IFERROR($A44-LOOKUP($A44,$Z$14:$Z43),"")</f>
        <v>30</v>
      </c>
      <c r="AD43" s="1" cm="1">
        <f t="array" ref="AD43">IF(B43&lt;&gt;"",80,_xludf.NA())</f>
        <v>80</v>
      </c>
    </row>
    <row r="44" spans="1:33">
      <c r="A44" s="22">
        <f t="shared" si="0"/>
        <v>46234</v>
      </c>
      <c r="B44" s="9">
        <f>+[1]Balance_Madden!A42</f>
        <v>46234</v>
      </c>
      <c r="C44" s="24">
        <f>+VLOOKUP(B44,[1]Balance_Madden!$A$12:$E$5000,2)</f>
        <v>226.84</v>
      </c>
      <c r="D44" s="25">
        <f>+VLOOKUP(B44,[1]Balance_Gatún!$A$13:$E$5087,2)</f>
        <v>84.653000000000006</v>
      </c>
      <c r="E44" s="24">
        <f>+VLOOKUP(B44,[1]Balance_Madden!$A$12:$E$5087,5)/35.32</f>
        <v>24.982163080407702</v>
      </c>
      <c r="F44" s="26">
        <f>+VLOOKUP(B44,[1]Balance_Gatún!$A$13:$E$5087,5)/35.32</f>
        <v>38.269139297848241</v>
      </c>
      <c r="G44" s="24">
        <f>+VLOOKUP(B44,[1]Balance_Madden!$A$12:$K$5087,9)/111</f>
        <v>0</v>
      </c>
      <c r="H44" s="25">
        <f>+VLOOKUP(B44,[1]Balance_Gatún!$A$13:$U$5087,21)/186</f>
        <v>0</v>
      </c>
      <c r="I44" s="24">
        <f>+(VLOOKUP(B44,[1]Balance_Madden!$A$12:$K$5087,10)/35.32)+VLOOKUP(B44,[1]Balance_Madden!$A$12:$K$5087,11)/35.32</f>
        <v>0</v>
      </c>
      <c r="J44" s="25">
        <f>+VLOOKUP(B44,[1]Balance_Gatún!$A$13:$AD$5087,23)/35.32+ VLOOKUP(B44,[1]Balance_Gatún!$A$13:$AD$5087,17)/35.32</f>
        <v>0</v>
      </c>
      <c r="K44" s="24">
        <f>+VLOOKUP(B44,[1]Balance_Gatún!$A$13:$AC$5087,10)</f>
        <v>24</v>
      </c>
      <c r="L44" s="25" t="str">
        <f>+VLOOKUP(B44,[1]Balance_Gatún!$A$13:$AC$5087,11)</f>
        <v>InnerGate</v>
      </c>
      <c r="M44" s="25">
        <f>+VLOOKUP(B44,[1]Balance_Gatún!$A$13:$AC$5087,12)</f>
        <v>10</v>
      </c>
      <c r="N44" s="25" t="str">
        <f>+VLOOKUP(B44,[1]Balance_Gatún!$A$13:$AC$5087,13)</f>
        <v>TA+CCL50%</v>
      </c>
      <c r="O44" s="25">
        <f>+VLOOKUP(B44,[1]Balance_Gatún!$A$13:$AC$5087,14)/408.7</f>
        <v>7.8246642860113296</v>
      </c>
      <c r="P44" s="24">
        <f>+VLOOKUP(B44,[1]Balance_Madden!$A$12:$V$5087,12)/35.32</f>
        <v>1.6318763953452498</v>
      </c>
      <c r="Q44" s="25">
        <f>+VLOOKUP(B44,[1]Balance_Gatún!$A$13:$AD$5087,15)/35.32</f>
        <v>17.813355751869182</v>
      </c>
      <c r="R44" s="24">
        <f>+VLOOKUP(B44,[1]Balance_Madden!$A$12:$V$5087,14)/35.32</f>
        <v>13.885557029546835</v>
      </c>
      <c r="S44" s="26">
        <f>[1]Balance_Gatún!X43/35.32</f>
        <v>119.99629158688704</v>
      </c>
      <c r="T44" s="25">
        <v>30.490767667010431</v>
      </c>
      <c r="U44" s="25">
        <v>37.984085666338089</v>
      </c>
      <c r="V44" s="29">
        <f>LOOKUP(D44,[1]Parámetros!$A$7:$A$24,[1]Parámetros!$B$7:$B$24)</f>
        <v>49.5</v>
      </c>
      <c r="W44" s="30" t="str">
        <f t="shared" si="1"/>
        <v/>
      </c>
      <c r="X44" s="31" t="str">
        <f t="shared" si="3"/>
        <v/>
      </c>
      <c r="Y44" s="30" t="str">
        <f>IF($W44="Cambio Calado",COUNTIF($W$14:W44,"Cambio Calado"),"")</f>
        <v/>
      </c>
      <c r="Z44" s="31" t="str">
        <f t="shared" si="4"/>
        <v/>
      </c>
      <c r="AA44" s="30" t="str">
        <f t="shared" si="5"/>
        <v/>
      </c>
      <c r="AB44" s="29">
        <f>IFERROR(LOOKUP($A44,$Z$14:$Z44,$AA$14:$AA44),$U44)</f>
        <v>49.5</v>
      </c>
      <c r="AC44" s="32">
        <f>IFERROR($A45-LOOKUP($A45,$Z$14:$Z44),"")</f>
        <v>31</v>
      </c>
      <c r="AD44" s="1" cm="1">
        <f t="array" ref="AD44">IF(B44&lt;&gt;"",80,_xludf.NA())</f>
        <v>80</v>
      </c>
    </row>
    <row r="45" spans="1:33">
      <c r="A45" s="22">
        <f t="shared" si="0"/>
        <v>46235</v>
      </c>
      <c r="B45" s="9">
        <f>+[1]Balance_Madden!A43</f>
        <v>46235</v>
      </c>
      <c r="C45" s="24">
        <f>+VLOOKUP(B45,[1]Balance_Madden!$A$12:$E$5000,2)</f>
        <v>226.98</v>
      </c>
      <c r="D45" s="25">
        <f>+VLOOKUP(B45,[1]Balance_Gatún!$A$13:$E$5087,2)</f>
        <v>84.594999999999999</v>
      </c>
      <c r="E45" s="24">
        <f>+VLOOKUP(B45,[1]Balance_Madden!$A$12:$E$5087,5)/35.32</f>
        <v>56.673187995469988</v>
      </c>
      <c r="F45" s="26">
        <f>+VLOOKUP(B45,[1]Balance_Gatún!$A$13:$E$5087,5)/35.32</f>
        <v>66.213759909399769</v>
      </c>
      <c r="G45" s="24">
        <f>+VLOOKUP(B45,[1]Balance_Madden!$A$12:$K$5087,9)/111</f>
        <v>0</v>
      </c>
      <c r="H45" s="25">
        <f>+VLOOKUP(B45,[1]Balance_Gatún!$A$13:$U$5087,21)/186</f>
        <v>0</v>
      </c>
      <c r="I45" s="24">
        <f>+(VLOOKUP(B45,[1]Balance_Madden!$A$12:$K$5087,10)/35.32)+VLOOKUP(B45,[1]Balance_Madden!$A$12:$K$5087,11)/35.32</f>
        <v>0</v>
      </c>
      <c r="J45" s="25">
        <f>+VLOOKUP(B45,[1]Balance_Gatún!$A$13:$AD$5087,23)/35.32+ VLOOKUP(B45,[1]Balance_Gatún!$A$13:$AD$5087,17)/35.32</f>
        <v>0</v>
      </c>
      <c r="K45" s="24">
        <f>+VLOOKUP(B45,[1]Balance_Gatún!$A$13:$AC$5087,10)</f>
        <v>24</v>
      </c>
      <c r="L45" s="25" t="str">
        <f>+VLOOKUP(B45,[1]Balance_Gatún!$A$13:$AC$5087,11)</f>
        <v>XFILL_PMG100%</v>
      </c>
      <c r="M45" s="25">
        <f>+VLOOKUP(B45,[1]Balance_Gatún!$A$13:$AC$5087,12)</f>
        <v>10</v>
      </c>
      <c r="N45" s="25" t="str">
        <f>+VLOOKUP(B45,[1]Balance_Gatún!$A$13:$AC$5087,13)</f>
        <v>TA+CCL100%</v>
      </c>
      <c r="O45" s="25">
        <f>+VLOOKUP(B45,[1]Balance_Gatún!$A$13:$AC$5087,14)/408.7</f>
        <v>6.1500946505673664</v>
      </c>
      <c r="P45" s="24">
        <f>+VLOOKUP(B45,[1]Balance_Madden!$A$12:$V$5087,12)/35.32</f>
        <v>1.5376901139338528</v>
      </c>
      <c r="Q45" s="25">
        <f>+VLOOKUP(B45,[1]Balance_Gatún!$A$13:$AD$5087,15)/35.32</f>
        <v>16.739063207631908</v>
      </c>
      <c r="R45" s="24">
        <f>+VLOOKUP(B45,[1]Balance_Madden!$A$12:$V$5087,14)/35.32</f>
        <v>13.791370748135439</v>
      </c>
      <c r="S45" s="26">
        <f>[1]Balance_Gatún!X44/35.32</f>
        <v>99.544971579287704</v>
      </c>
      <c r="T45" s="25">
        <v>85.233686731835675</v>
      </c>
      <c r="U45" s="25">
        <v>103.65295957885738</v>
      </c>
      <c r="V45" s="29">
        <f>LOOKUP(D45,[1]Parámetros!$A$7:$A$24,[1]Parámetros!$B$7:$B$24)</f>
        <v>49.5</v>
      </c>
      <c r="W45" s="30" t="str">
        <f t="shared" si="1"/>
        <v/>
      </c>
      <c r="X45" s="31" t="str">
        <f t="shared" si="3"/>
        <v/>
      </c>
      <c r="Y45" s="30" t="str">
        <f>IF($W45="Cambio Calado",COUNTIF($W$14:W45,"Cambio Calado"),"")</f>
        <v/>
      </c>
      <c r="Z45" s="31" t="str">
        <f t="shared" si="4"/>
        <v/>
      </c>
      <c r="AA45" s="30" t="str">
        <f t="shared" si="5"/>
        <v/>
      </c>
      <c r="AB45" s="29">
        <f>IFERROR(LOOKUP($A45,$Z$14:$Z45,$AA$14:$AA45),$U45)</f>
        <v>49.5</v>
      </c>
      <c r="AC45" s="32">
        <f>IFERROR($A46-LOOKUP($A46,$Z$14:$Z45),"")</f>
        <v>32</v>
      </c>
      <c r="AD45" s="1" cm="1">
        <f t="array" ref="AD45">IF(B45&lt;&gt;"",80,_xludf.NA())</f>
        <v>80</v>
      </c>
    </row>
    <row r="46" spans="1:33">
      <c r="A46" s="22">
        <f t="shared" si="0"/>
        <v>46236</v>
      </c>
      <c r="B46" s="9">
        <f>+[1]Balance_Madden!A44</f>
        <v>46236</v>
      </c>
      <c r="C46" s="24">
        <f>+VLOOKUP(B46,[1]Balance_Madden!$A$12:$E$5000,2)</f>
        <v>227.1</v>
      </c>
      <c r="D46" s="25">
        <f>+VLOOKUP(B46,[1]Balance_Gatún!$A$13:$E$5087,2)</f>
        <v>84.548000000000002</v>
      </c>
      <c r="E46" s="24">
        <f>+VLOOKUP(B46,[1]Balance_Madden!$A$12:$E$5087,5)/35.32</f>
        <v>47.600877689694222</v>
      </c>
      <c r="F46" s="26">
        <f>+VLOOKUP(B46,[1]Balance_Gatún!$A$13:$E$5087,5)/35.32</f>
        <v>46.106879954699885</v>
      </c>
      <c r="G46" s="24">
        <f>+VLOOKUP(B46,[1]Balance_Madden!$A$12:$K$5087,9)/111</f>
        <v>0</v>
      </c>
      <c r="H46" s="25">
        <f>+VLOOKUP(B46,[1]Balance_Gatún!$A$13:$U$5087,21)/186</f>
        <v>0</v>
      </c>
      <c r="I46" s="24">
        <f>+(VLOOKUP(B46,[1]Balance_Madden!$A$12:$K$5087,10)/35.32)+VLOOKUP(B46,[1]Balance_Madden!$A$12:$K$5087,11)/35.32</f>
        <v>0</v>
      </c>
      <c r="J46" s="25">
        <f>+VLOOKUP(B46,[1]Balance_Gatún!$A$13:$AD$5087,23)/35.32+ VLOOKUP(B46,[1]Balance_Gatún!$A$13:$AD$5087,17)/35.32</f>
        <v>0</v>
      </c>
      <c r="K46" s="24">
        <f>+VLOOKUP(B46,[1]Balance_Gatún!$A$13:$AC$5087,10)</f>
        <v>24</v>
      </c>
      <c r="L46" s="25" t="str">
        <f>+VLOOKUP(B46,[1]Balance_Gatún!$A$13:$AC$5087,11)</f>
        <v>XFILL_PMG100%</v>
      </c>
      <c r="M46" s="25">
        <f>+VLOOKUP(B46,[1]Balance_Gatún!$A$13:$AC$5087,12)</f>
        <v>10</v>
      </c>
      <c r="N46" s="25" t="str">
        <f>+VLOOKUP(B46,[1]Balance_Gatún!$A$13:$AC$5087,13)</f>
        <v>TA+CCL100%</v>
      </c>
      <c r="O46" s="25">
        <f>+VLOOKUP(B46,[1]Balance_Gatún!$A$13:$AC$5087,14)/408.7</f>
        <v>6.1413970162542677</v>
      </c>
      <c r="P46" s="24">
        <f>+VLOOKUP(B46,[1]Balance_Madden!$A$12:$V$5087,12)/35.32</f>
        <v>1.5475585494937192</v>
      </c>
      <c r="Q46" s="25">
        <f>+VLOOKUP(B46,[1]Balance_Gatún!$A$13:$AD$5087,15)/35.32</f>
        <v>16.807370815481899</v>
      </c>
      <c r="R46" s="24">
        <f>+VLOOKUP(B46,[1]Balance_Madden!$A$12:$V$5087,14)/35.32</f>
        <v>13.801239183695305</v>
      </c>
      <c r="S46" s="26">
        <f>[1]Balance_Gatún!X45/35.32</f>
        <v>99.512635836521511</v>
      </c>
      <c r="T46" s="25">
        <v>58.717004606376541</v>
      </c>
      <c r="U46" s="25">
        <v>54.986781956069997</v>
      </c>
      <c r="V46" s="29">
        <f>LOOKUP(D46,[1]Parámetros!$A$7:$A$24,[1]Parámetros!$B$7:$B$24)</f>
        <v>49.5</v>
      </c>
      <c r="W46" s="30" t="str">
        <f t="shared" si="1"/>
        <v/>
      </c>
      <c r="X46" s="31" t="str">
        <f t="shared" si="3"/>
        <v/>
      </c>
      <c r="Y46" s="30" t="str">
        <f>IF($W46="Cambio Calado",COUNTIF($W$14:W46,"Cambio Calado"),"")</f>
        <v/>
      </c>
      <c r="Z46" s="31" t="str">
        <f t="shared" si="4"/>
        <v/>
      </c>
      <c r="AA46" s="30" t="str">
        <f t="shared" si="5"/>
        <v/>
      </c>
      <c r="AB46" s="29">
        <f>IFERROR(LOOKUP($A46,$Z$14:$Z46,$AA$14:$AA46),$U46)</f>
        <v>49.5</v>
      </c>
      <c r="AC46" s="32">
        <f>IFERROR($A47-LOOKUP($A47,$Z$14:$Z46),"")</f>
        <v>33</v>
      </c>
      <c r="AD46" s="1" cm="1">
        <f t="array" ref="AD46">IF(B46&lt;&gt;"",80,_xludf.NA())</f>
        <v>80</v>
      </c>
    </row>
    <row r="47" spans="1:33">
      <c r="A47" s="22">
        <f t="shared" si="0"/>
        <v>46237</v>
      </c>
      <c r="B47" s="9">
        <f>+[1]Balance_Madden!A45</f>
        <v>46237</v>
      </c>
      <c r="C47" s="24">
        <f>+VLOOKUP(B47,[1]Balance_Madden!$A$12:$E$5000,2)</f>
        <v>227.23</v>
      </c>
      <c r="D47" s="25">
        <f>+VLOOKUP(B47,[1]Balance_Gatún!$A$13:$E$5087,2)</f>
        <v>84.513000000000005</v>
      </c>
      <c r="E47" s="24">
        <f>+VLOOKUP(B47,[1]Balance_Madden!$A$12:$E$5087,5)/35.32</f>
        <v>41.034399773499437</v>
      </c>
      <c r="F47" s="26">
        <f>+VLOOKUP(B47,[1]Balance_Gatún!$A$13:$E$5087,5)/35.32</f>
        <v>32.460390713476784</v>
      </c>
      <c r="G47" s="24">
        <f>+VLOOKUP(B47,[1]Balance_Madden!$A$12:$K$5087,9)/111</f>
        <v>0</v>
      </c>
      <c r="H47" s="25">
        <f>+VLOOKUP(B47,[1]Balance_Gatún!$A$13:$U$5087,21)/186</f>
        <v>0</v>
      </c>
      <c r="I47" s="24">
        <f>+(VLOOKUP(B47,[1]Balance_Madden!$A$12:$K$5087,10)/35.32)+VLOOKUP(B47,[1]Balance_Madden!$A$12:$K$5087,11)/35.32</f>
        <v>0</v>
      </c>
      <c r="J47" s="25">
        <f>+VLOOKUP(B47,[1]Balance_Gatún!$A$13:$AD$5087,23)/35.32+ VLOOKUP(B47,[1]Balance_Gatún!$A$13:$AD$5087,17)/35.32</f>
        <v>0</v>
      </c>
      <c r="K47" s="24">
        <f>+VLOOKUP(B47,[1]Balance_Gatún!$A$13:$AC$5087,10)</f>
        <v>24</v>
      </c>
      <c r="L47" s="25" t="str">
        <f>+VLOOKUP(B47,[1]Balance_Gatún!$A$13:$AC$5087,11)</f>
        <v>XFILL_PMG100%</v>
      </c>
      <c r="M47" s="25">
        <f>+VLOOKUP(B47,[1]Balance_Gatún!$A$13:$AC$5087,12)</f>
        <v>10</v>
      </c>
      <c r="N47" s="25" t="str">
        <f>+VLOOKUP(B47,[1]Balance_Gatún!$A$13:$AC$5087,13)</f>
        <v>TA+CCL100%</v>
      </c>
      <c r="O47" s="25">
        <f>+VLOOKUP(B47,[1]Balance_Gatún!$A$13:$AC$5087,14)/408.7</f>
        <v>6.1349200545317508</v>
      </c>
      <c r="P47" s="24">
        <f>+VLOOKUP(B47,[1]Balance_Madden!$A$12:$V$5087,12)/35.32</f>
        <v>1.4334379703597988</v>
      </c>
      <c r="Q47" s="25">
        <f>+VLOOKUP(B47,[1]Balance_Gatún!$A$13:$AD$5087,15)/35.32</f>
        <v>15.531972697286001</v>
      </c>
      <c r="R47" s="24">
        <f>+VLOOKUP(B47,[1]Balance_Madden!$A$12:$V$5087,14)/35.32</f>
        <v>13.687118604561386</v>
      </c>
      <c r="S47" s="26">
        <f>[1]Balance_Gatún!X46/35.32</f>
        <v>98.162290542334873</v>
      </c>
      <c r="T47" s="25">
        <v>18.351077513031409</v>
      </c>
      <c r="U47" s="25">
        <v>44.789480235664691</v>
      </c>
      <c r="V47" s="29">
        <f>LOOKUP(D47,[1]Parámetros!$A$7:$A$24,[1]Parámetros!$B$7:$B$24)</f>
        <v>49.5</v>
      </c>
      <c r="W47" s="30" t="str">
        <f t="shared" si="1"/>
        <v/>
      </c>
      <c r="X47" s="31" t="str">
        <f t="shared" si="3"/>
        <v/>
      </c>
      <c r="Y47" s="30" t="str">
        <f>IF($W47="Cambio Calado",COUNTIF($W$14:W47,"Cambio Calado"),"")</f>
        <v/>
      </c>
      <c r="Z47" s="31" t="str">
        <f t="shared" si="4"/>
        <v/>
      </c>
      <c r="AA47" s="30" t="str">
        <f t="shared" si="5"/>
        <v/>
      </c>
      <c r="AB47" s="29">
        <f>IFERROR(LOOKUP($A47,$Z$14:$Z47,$AA$14:$AA47),$U47)</f>
        <v>49.5</v>
      </c>
      <c r="AC47" s="32">
        <f>IFERROR($A48-LOOKUP($A48,$Z$14:$Z47),"")</f>
        <v>34</v>
      </c>
      <c r="AD47" s="1" cm="1">
        <f t="array" ref="AD47">IF(B47&lt;&gt;"",80,_xludf.NA())</f>
        <v>80</v>
      </c>
    </row>
    <row r="48" spans="1:33">
      <c r="A48" s="22">
        <f t="shared" si="0"/>
        <v>46238</v>
      </c>
      <c r="B48" s="9">
        <f>+[1]Balance_Madden!A46</f>
        <v>46238</v>
      </c>
      <c r="C48" s="24">
        <f>+VLOOKUP(B48,[1]Balance_Madden!$A$12:$E$5000,2)</f>
        <v>227.34</v>
      </c>
      <c r="D48" s="25">
        <f>+VLOOKUP(B48,[1]Balance_Gatún!$A$13:$E$5087,2)</f>
        <v>84.492999999999995</v>
      </c>
      <c r="E48" s="24">
        <f>+VLOOKUP(B48,[1]Balance_Madden!$A$12:$E$5087,5)/35.32</f>
        <v>36.88714609286523</v>
      </c>
      <c r="F48" s="26">
        <f>+VLOOKUP(B48,[1]Balance_Gatún!$A$13:$E$5087,5)/35.32</f>
        <v>31.778057757644397</v>
      </c>
      <c r="G48" s="24">
        <f>+VLOOKUP(B48,[1]Balance_Madden!$A$12:$K$5087,9)/111</f>
        <v>0</v>
      </c>
      <c r="H48" s="25">
        <f>+VLOOKUP(B48,[1]Balance_Gatún!$A$13:$U$5087,21)/186</f>
        <v>0</v>
      </c>
      <c r="I48" s="24">
        <f>+(VLOOKUP(B48,[1]Balance_Madden!$A$12:$K$5087,10)/35.32)+VLOOKUP(B48,[1]Balance_Madden!$A$12:$K$5087,11)/35.32</f>
        <v>0</v>
      </c>
      <c r="J48" s="25">
        <f>+VLOOKUP(B48,[1]Balance_Gatún!$A$13:$AD$5087,23)/35.32+ VLOOKUP(B48,[1]Balance_Gatún!$A$13:$AD$5087,17)/35.32</f>
        <v>0</v>
      </c>
      <c r="K48" s="24">
        <f>+VLOOKUP(B48,[1]Balance_Gatún!$A$13:$AC$5087,10)</f>
        <v>24</v>
      </c>
      <c r="L48" s="25" t="str">
        <f>+VLOOKUP(B48,[1]Balance_Gatún!$A$13:$AC$5087,11)</f>
        <v>XFILL_PMG100%</v>
      </c>
      <c r="M48" s="25">
        <f>+VLOOKUP(B48,[1]Balance_Gatún!$A$13:$AC$5087,12)</f>
        <v>10</v>
      </c>
      <c r="N48" s="25" t="str">
        <f>+VLOOKUP(B48,[1]Balance_Gatún!$A$13:$AC$5087,13)</f>
        <v>TA+CCL100%</v>
      </c>
      <c r="O48" s="25">
        <f>+VLOOKUP(B48,[1]Balance_Gatún!$A$13:$AC$5087,14)/408.7</f>
        <v>6.1312189335474505</v>
      </c>
      <c r="P48" s="24">
        <f>+VLOOKUP(B48,[1]Balance_Madden!$A$12:$V$5087,12)/35.32</f>
        <v>1.351648294771407</v>
      </c>
      <c r="Q48" s="25">
        <f>+VLOOKUP(B48,[1]Balance_Gatún!$A$13:$AD$5087,15)/35.32</f>
        <v>14.618907273184323</v>
      </c>
      <c r="R48" s="24">
        <f>+VLOOKUP(B48,[1]Balance_Madden!$A$12:$V$5087,14)/35.32</f>
        <v>13.605328928972993</v>
      </c>
      <c r="S48" s="26">
        <f>[1]Balance_Gatún!X47/35.32</f>
        <v>97.206398160524159</v>
      </c>
      <c r="T48" s="25">
        <v>10.359490280310565</v>
      </c>
      <c r="U48" s="25">
        <v>39.335079689431517</v>
      </c>
      <c r="V48" s="29">
        <f>LOOKUP(D48,[1]Parámetros!$A$7:$A$24,[1]Parámetros!$B$7:$B$24)</f>
        <v>49.5</v>
      </c>
      <c r="W48" s="30" t="str">
        <f t="shared" si="1"/>
        <v/>
      </c>
      <c r="X48" s="31" t="str">
        <f t="shared" si="3"/>
        <v/>
      </c>
      <c r="Y48" s="30" t="str">
        <f>IF($W48="Cambio Calado",COUNTIF($W$14:W48,"Cambio Calado"),"")</f>
        <v/>
      </c>
      <c r="Z48" s="31" t="str">
        <f t="shared" si="4"/>
        <v/>
      </c>
      <c r="AA48" s="30" t="str">
        <f t="shared" si="5"/>
        <v/>
      </c>
      <c r="AB48" s="29">
        <f>IFERROR(LOOKUP($A48,$Z$14:$Z48,$AA$14:$AA48),$U48)</f>
        <v>49.5</v>
      </c>
      <c r="AC48" s="32">
        <f>IFERROR($A49-LOOKUP($A49,$Z$14:$Z48),"")</f>
        <v>35</v>
      </c>
      <c r="AD48" s="1" cm="1">
        <f t="array" ref="AD48">IF(B48&lt;&gt;"",80,_xludf.NA())</f>
        <v>80</v>
      </c>
    </row>
    <row r="49" spans="1:30">
      <c r="A49" s="22">
        <f t="shared" si="0"/>
        <v>46239</v>
      </c>
      <c r="B49" s="9">
        <f>+[1]Balance_Madden!A47</f>
        <v>46239</v>
      </c>
      <c r="C49" s="24">
        <f>+VLOOKUP(B49,[1]Balance_Madden!$A$12:$E$5000,2)</f>
        <v>228.11</v>
      </c>
      <c r="D49" s="25">
        <f>+VLOOKUP(B49,[1]Balance_Gatún!$A$13:$E$5087,2)</f>
        <v>84.507999999999996</v>
      </c>
      <c r="E49" s="24">
        <f>+VLOOKUP(B49,[1]Balance_Madden!$A$12:$E$5087,5)/35.32</f>
        <v>35.04391279728199</v>
      </c>
      <c r="F49" s="26">
        <f>+VLOOKUP(B49,[1]Balance_Gatún!$A$13:$E$5087,5)/35.32</f>
        <v>28.19583805209513</v>
      </c>
      <c r="G49" s="24">
        <f>+VLOOKUP(B49,[1]Balance_Madden!$A$12:$K$5087,9)/111</f>
        <v>0</v>
      </c>
      <c r="H49" s="25">
        <f>+VLOOKUP(B49,[1]Balance_Gatún!$A$13:$U$5087,21)/186</f>
        <v>0</v>
      </c>
      <c r="I49" s="24">
        <f>+(VLOOKUP(B49,[1]Balance_Madden!$A$12:$K$5087,10)/35.32)+VLOOKUP(B49,[1]Balance_Madden!$A$12:$K$5087,11)/35.32</f>
        <v>0</v>
      </c>
      <c r="J49" s="25">
        <f>+VLOOKUP(B49,[1]Balance_Gatún!$A$13:$AD$5087,23)/35.32+ VLOOKUP(B49,[1]Balance_Gatún!$A$13:$AD$5087,17)/35.32</f>
        <v>0</v>
      </c>
      <c r="K49" s="24">
        <f>+VLOOKUP(B49,[1]Balance_Gatún!$A$13:$AC$5087,10)</f>
        <v>24</v>
      </c>
      <c r="L49" s="25" t="str">
        <f>+VLOOKUP(B49,[1]Balance_Gatún!$A$13:$AC$5087,11)</f>
        <v>XFILL_PMG100%</v>
      </c>
      <c r="M49" s="25">
        <f>+VLOOKUP(B49,[1]Balance_Gatún!$A$13:$AC$5087,12)</f>
        <v>10</v>
      </c>
      <c r="N49" s="25" t="str">
        <f>+VLOOKUP(B49,[1]Balance_Gatún!$A$13:$AC$5087,13)</f>
        <v>TA+CCL100%</v>
      </c>
      <c r="O49" s="25">
        <f>+VLOOKUP(B49,[1]Balance_Gatún!$A$13:$AC$5087,14)/408.7</f>
        <v>6.1339947742856733</v>
      </c>
      <c r="P49" s="24">
        <f>+VLOOKUP(B49,[1]Balance_Madden!$A$12:$V$5087,12)/35.32</f>
        <v>1.9248387854772364</v>
      </c>
      <c r="Q49" s="25">
        <f>+VLOOKUP(B49,[1]Balance_Gatún!$A$13:$AD$5087,15)/35.32</f>
        <v>20.594234196796425</v>
      </c>
      <c r="R49" s="24">
        <f>+VLOOKUP(B49,[1]Balance_Madden!$A$12:$V$5087,14)/35.32</f>
        <v>14.178519419678821</v>
      </c>
      <c r="S49" s="26">
        <f>[1]Balance_Gatún!X48/35.32</f>
        <v>103.21384530241802</v>
      </c>
      <c r="T49" s="25">
        <v>2.3679030475897203</v>
      </c>
      <c r="U49" s="25">
        <v>37.379598388711905</v>
      </c>
      <c r="V49" s="29">
        <f>LOOKUP(D49,[1]Parámetros!$A$7:$A$24,[1]Parámetros!$B$7:$B$24)</f>
        <v>49.5</v>
      </c>
      <c r="W49" s="30" t="str">
        <f t="shared" si="1"/>
        <v/>
      </c>
      <c r="X49" s="31" t="str">
        <f t="shared" si="3"/>
        <v/>
      </c>
      <c r="Y49" s="30" t="str">
        <f>IF($W49="Cambio Calado",COUNTIF($W$14:W49,"Cambio Calado"),"")</f>
        <v/>
      </c>
      <c r="Z49" s="31" t="str">
        <f t="shared" si="4"/>
        <v/>
      </c>
      <c r="AA49" s="30" t="str">
        <f t="shared" si="5"/>
        <v/>
      </c>
      <c r="AB49" s="29">
        <f>IFERROR(LOOKUP($A49,$Z$14:$Z49,$AA$14:$AA49),$U49)</f>
        <v>49.5</v>
      </c>
      <c r="AC49" s="32">
        <f>IFERROR($A50-LOOKUP($A50,$Z$14:$Z49),"")</f>
        <v>36</v>
      </c>
      <c r="AD49" s="1" cm="1">
        <f t="array" ref="AD49">IF(B49&lt;&gt;"",80,_xludf.NA())</f>
        <v>80</v>
      </c>
    </row>
    <row r="50" spans="1:30">
      <c r="A50" s="22">
        <f t="shared" si="0"/>
        <v>46240</v>
      </c>
      <c r="B50" s="9">
        <f>+[1]Balance_Madden!A48</f>
        <v>46240</v>
      </c>
      <c r="C50" s="24">
        <f>+VLOOKUP(B50,[1]Balance_Madden!$A$12:$E$5000,2)</f>
        <v>228.67</v>
      </c>
      <c r="D50" s="25">
        <f>+VLOOKUP(B50,[1]Balance_Gatún!$A$13:$E$5087,2)</f>
        <v>84.512</v>
      </c>
      <c r="E50" s="24">
        <f>+VLOOKUP(B50,[1]Balance_Madden!$A$12:$E$5087,5)/35.32</f>
        <v>33.085503963759905</v>
      </c>
      <c r="F50" s="26">
        <f>+VLOOKUP(B50,[1]Balance_Gatún!$A$13:$E$5087,5)/35.32</f>
        <v>27.66704416761042</v>
      </c>
      <c r="G50" s="24">
        <f>+VLOOKUP(B50,[1]Balance_Madden!$A$12:$K$5087,9)/111</f>
        <v>0</v>
      </c>
      <c r="H50" s="25">
        <f>+VLOOKUP(B50,[1]Balance_Gatún!$A$13:$U$5087,21)/186</f>
        <v>0</v>
      </c>
      <c r="I50" s="24">
        <f>+(VLOOKUP(B50,[1]Balance_Madden!$A$12:$K$5087,10)/35.32)+VLOOKUP(B50,[1]Balance_Madden!$A$12:$K$5087,11)/35.32</f>
        <v>0</v>
      </c>
      <c r="J50" s="25">
        <f>+VLOOKUP(B50,[1]Balance_Gatún!$A$13:$AD$5087,23)/35.32+ VLOOKUP(B50,[1]Balance_Gatún!$A$13:$AD$5087,17)/35.32</f>
        <v>0</v>
      </c>
      <c r="K50" s="24">
        <f>+VLOOKUP(B50,[1]Balance_Gatún!$A$13:$AC$5087,10)</f>
        <v>24</v>
      </c>
      <c r="L50" s="25" t="str">
        <f>+VLOOKUP(B50,[1]Balance_Gatún!$A$13:$AC$5087,11)</f>
        <v>XFILL_PMG100%</v>
      </c>
      <c r="M50" s="25">
        <f>+VLOOKUP(B50,[1]Balance_Gatún!$A$13:$AC$5087,12)</f>
        <v>10</v>
      </c>
      <c r="N50" s="25" t="str">
        <f>+VLOOKUP(B50,[1]Balance_Gatún!$A$13:$AC$5087,13)</f>
        <v>TA+CCL100%</v>
      </c>
      <c r="O50" s="25">
        <f>+VLOOKUP(B50,[1]Balance_Gatún!$A$13:$AC$5087,14)/408.7</f>
        <v>6.134734998482533</v>
      </c>
      <c r="P50" s="24">
        <f>+VLOOKUP(B50,[1]Balance_Madden!$A$12:$V$5087,12)/35.32</f>
        <v>1.7658741569845855</v>
      </c>
      <c r="Q50" s="25">
        <f>+VLOOKUP(B50,[1]Balance_Gatún!$A$13:$AD$5087,15)/35.32</f>
        <v>18.744488283003385</v>
      </c>
      <c r="R50" s="24">
        <f>+VLOOKUP(B50,[1]Balance_Madden!$A$12:$V$5087,14)/35.32</f>
        <v>14.019554791186172</v>
      </c>
      <c r="S50" s="26">
        <f>[1]Balance_Gatún!X49/35.32</f>
        <v>101.37266478016679</v>
      </c>
      <c r="T50" s="25">
        <v>40.428391232336431</v>
      </c>
      <c r="U50" s="25">
        <v>25.718645250401529</v>
      </c>
      <c r="V50" s="29">
        <f>LOOKUP(D50,[1]Parámetros!$A$7:$A$24,[1]Parámetros!$B$7:$B$24)</f>
        <v>49.5</v>
      </c>
      <c r="W50" s="30" t="str">
        <f t="shared" si="1"/>
        <v/>
      </c>
      <c r="X50" s="31" t="str">
        <f t="shared" si="3"/>
        <v/>
      </c>
      <c r="Y50" s="30" t="str">
        <f>IF($W50="Cambio Calado",COUNTIF($W$14:W50,"Cambio Calado"),"")</f>
        <v/>
      </c>
      <c r="Z50" s="31" t="str">
        <f t="shared" si="4"/>
        <v/>
      </c>
      <c r="AA50" s="30" t="str">
        <f t="shared" si="5"/>
        <v/>
      </c>
      <c r="AB50" s="29">
        <f>IFERROR(LOOKUP($A50,$Z$14:$Z50,$AA$14:$AA50),$U50)</f>
        <v>49.5</v>
      </c>
      <c r="AC50" s="32">
        <f>IFERROR($A51-LOOKUP($A51,$Z$14:$Z50),"")</f>
        <v>37</v>
      </c>
      <c r="AD50" s="1" cm="1">
        <f t="array" ref="AD50">IF(B50&lt;&gt;"",80,_xludf.NA())</f>
        <v>80</v>
      </c>
    </row>
    <row r="51" spans="1:30">
      <c r="A51" s="22">
        <f t="shared" si="0"/>
        <v>46241</v>
      </c>
      <c r="B51" s="9">
        <f>+[1]Balance_Madden!A49</f>
        <v>46241</v>
      </c>
      <c r="C51" s="24">
        <f>+VLOOKUP(B51,[1]Balance_Madden!$A$12:$E$5000,2)</f>
        <v>228.85</v>
      </c>
      <c r="D51" s="25">
        <f>+VLOOKUP(B51,[1]Balance_Gatún!$A$13:$E$5087,2)</f>
        <v>84.483000000000004</v>
      </c>
      <c r="E51" s="24">
        <f>+VLOOKUP(B51,[1]Balance_Madden!$A$12:$E$5087,5)/35.32</f>
        <v>31.472678369195922</v>
      </c>
      <c r="F51" s="26">
        <f>+VLOOKUP(B51,[1]Balance_Gatún!$A$13:$E$5087,5)/35.32</f>
        <v>25.70537938844847</v>
      </c>
      <c r="G51" s="24">
        <f>+VLOOKUP(B51,[1]Balance_Madden!$A$12:$K$5087,9)/111</f>
        <v>0</v>
      </c>
      <c r="H51" s="25">
        <f>+VLOOKUP(B51,[1]Balance_Gatún!$A$13:$U$5087,21)/186</f>
        <v>0</v>
      </c>
      <c r="I51" s="24">
        <f>+(VLOOKUP(B51,[1]Balance_Madden!$A$12:$K$5087,10)/35.32)+VLOOKUP(B51,[1]Balance_Madden!$A$12:$K$5087,11)/35.32</f>
        <v>0</v>
      </c>
      <c r="J51" s="25">
        <f>+VLOOKUP(B51,[1]Balance_Gatún!$A$13:$AD$5087,23)/35.32+ VLOOKUP(B51,[1]Balance_Gatún!$A$13:$AD$5087,17)/35.32</f>
        <v>0</v>
      </c>
      <c r="K51" s="24">
        <f>+VLOOKUP(B51,[1]Balance_Gatún!$A$13:$AC$5087,10)</f>
        <v>24</v>
      </c>
      <c r="L51" s="25" t="str">
        <f>+VLOOKUP(B51,[1]Balance_Gatún!$A$13:$AC$5087,11)</f>
        <v>XFILL_PMG100%</v>
      </c>
      <c r="M51" s="25">
        <f>+VLOOKUP(B51,[1]Balance_Gatún!$A$13:$AC$5087,12)</f>
        <v>10</v>
      </c>
      <c r="N51" s="25" t="str">
        <f>+VLOOKUP(B51,[1]Balance_Gatún!$A$13:$AC$5087,13)</f>
        <v>TA+CCL100%</v>
      </c>
      <c r="O51" s="25">
        <f>+VLOOKUP(B51,[1]Balance_Gatún!$A$13:$AC$5087,14)/408.7</f>
        <v>6.1293683730553017</v>
      </c>
      <c r="P51" s="24">
        <f>+VLOOKUP(B51,[1]Balance_Madden!$A$12:$V$5087,12)/35.32</f>
        <v>1.4502383321749417</v>
      </c>
      <c r="Q51" s="25">
        <f>+VLOOKUP(B51,[1]Balance_Gatún!$A$13:$AD$5087,15)/35.32</f>
        <v>15.349137648807657</v>
      </c>
      <c r="R51" s="24">
        <f>+VLOOKUP(B51,[1]Balance_Madden!$A$12:$V$5087,14)/35.32</f>
        <v>13.703918966376527</v>
      </c>
      <c r="S51" s="26">
        <f>[1]Balance_Gatún!X50/35.32</f>
        <v>97.915215057292983</v>
      </c>
      <c r="T51" s="25">
        <v>58.193070855669987</v>
      </c>
      <c r="U51" s="25">
        <v>26.498298898029223</v>
      </c>
      <c r="V51" s="29">
        <f>LOOKUP(D51,[1]Parámetros!$A$7:$A$24,[1]Parámetros!$B$7:$B$24)</f>
        <v>49</v>
      </c>
      <c r="W51" s="30" t="str">
        <f t="shared" si="1"/>
        <v>Cambio Calado</v>
      </c>
      <c r="X51" s="31">
        <f t="shared" si="3"/>
        <v>46241</v>
      </c>
      <c r="Y51" s="30">
        <f>IF($W51="Cambio Calado",COUNTIF($W$14:W51,"Cambio Calado"),"")</f>
        <v>2</v>
      </c>
      <c r="Z51" s="31">
        <f t="shared" si="4"/>
        <v>46241</v>
      </c>
      <c r="AA51" s="30">
        <f t="shared" si="5"/>
        <v>49</v>
      </c>
      <c r="AB51" s="29">
        <f>IFERROR(LOOKUP($A51,$Z$14:$Z51,$AA$14:$AA51),$U51)</f>
        <v>49</v>
      </c>
      <c r="AC51" s="32">
        <f>IFERROR($A52-LOOKUP($A52,$Z$14:$Z51),"")</f>
        <v>1</v>
      </c>
      <c r="AD51" s="1" cm="1">
        <f t="array" ref="AD51">IF(B51&lt;&gt;"",80,_xludf.NA())</f>
        <v>80</v>
      </c>
    </row>
    <row r="52" spans="1:30">
      <c r="A52" s="22">
        <f t="shared" si="0"/>
        <v>46242</v>
      </c>
      <c r="B52" s="9">
        <f>+[1]Balance_Madden!A50</f>
        <v>46242</v>
      </c>
      <c r="C52" s="24">
        <f>+VLOOKUP(B52,[1]Balance_Madden!$A$12:$E$5000,2)</f>
        <v>228.97</v>
      </c>
      <c r="D52" s="25">
        <f>+VLOOKUP(B52,[1]Balance_Gatún!$A$13:$E$5087,2)</f>
        <v>84.427999999999997</v>
      </c>
      <c r="E52" s="24">
        <f>+VLOOKUP(B52,[1]Balance_Madden!$A$12:$E$5087,5)/35.32</f>
        <v>36.555294450736127</v>
      </c>
      <c r="F52" s="26">
        <f>+VLOOKUP(B52,[1]Balance_Gatún!$A$13:$E$5087,5)/35.32</f>
        <v>30.894762174405436</v>
      </c>
      <c r="G52" s="24">
        <f>+VLOOKUP(B52,[1]Balance_Madden!$A$12:$K$5087,9)/111</f>
        <v>0</v>
      </c>
      <c r="H52" s="25">
        <f>+VLOOKUP(B52,[1]Balance_Gatún!$A$13:$U$5087,21)/186</f>
        <v>0</v>
      </c>
      <c r="I52" s="24">
        <f>+(VLOOKUP(B52,[1]Balance_Madden!$A$12:$K$5087,10)/35.32)+VLOOKUP(B52,[1]Balance_Madden!$A$12:$K$5087,11)/35.32</f>
        <v>0</v>
      </c>
      <c r="J52" s="25">
        <f>+VLOOKUP(B52,[1]Balance_Gatún!$A$13:$AD$5087,23)/35.32+ VLOOKUP(B52,[1]Balance_Gatún!$A$13:$AD$5087,17)/35.32</f>
        <v>0</v>
      </c>
      <c r="K52" s="24">
        <f>+VLOOKUP(B52,[1]Balance_Gatún!$A$13:$AC$5087,10)</f>
        <v>24</v>
      </c>
      <c r="L52" s="25" t="str">
        <f>+VLOOKUP(B52,[1]Balance_Gatún!$A$13:$AC$5087,11)</f>
        <v>XFILL_PMG100%</v>
      </c>
      <c r="M52" s="25">
        <f>+VLOOKUP(B52,[1]Balance_Gatún!$A$13:$AC$5087,12)</f>
        <v>10</v>
      </c>
      <c r="N52" s="25" t="str">
        <f>+VLOOKUP(B52,[1]Balance_Gatún!$A$13:$AC$5087,13)</f>
        <v>TA+CCL100%</v>
      </c>
      <c r="O52" s="25">
        <f>+VLOOKUP(B52,[1]Balance_Gatún!$A$13:$AC$5087,14)/408.7</f>
        <v>6.1191902903484863</v>
      </c>
      <c r="P52" s="24">
        <f>+VLOOKUP(B52,[1]Balance_Madden!$A$12:$V$5087,12)/35.32</f>
        <v>1.9630022100236726</v>
      </c>
      <c r="Q52" s="25">
        <f>+VLOOKUP(B52,[1]Balance_Gatún!$A$13:$AD$5087,15)/35.32</f>
        <v>20.726333112810813</v>
      </c>
      <c r="R52" s="24">
        <f>+VLOOKUP(B52,[1]Balance_Madden!$A$12:$V$5087,14)/35.32</f>
        <v>14.216682844225257</v>
      </c>
      <c r="S52" s="26">
        <f>[1]Balance_Gatún!X51/35.32</f>
        <v>103.17463638759638</v>
      </c>
      <c r="T52" s="25">
        <v>92.899736151805513</v>
      </c>
      <c r="U52" s="25">
        <v>114.85436803089746</v>
      </c>
      <c r="V52" s="29">
        <f>LOOKUP(D52,[1]Parámetros!$A$7:$A$24,[1]Parámetros!$B$7:$B$24)</f>
        <v>49</v>
      </c>
      <c r="W52" s="30" t="str">
        <f t="shared" si="1"/>
        <v/>
      </c>
      <c r="X52" s="31" t="str">
        <f t="shared" si="3"/>
        <v/>
      </c>
      <c r="Y52" s="30" t="str">
        <f>IF($W52="Cambio Calado",COUNTIF($W$14:W52,"Cambio Calado"),"")</f>
        <v/>
      </c>
      <c r="Z52" s="31" t="str">
        <f t="shared" si="4"/>
        <v/>
      </c>
      <c r="AA52" s="30" t="str">
        <f t="shared" si="5"/>
        <v/>
      </c>
      <c r="AB52" s="29">
        <f>IFERROR(LOOKUP($A52,$Z$14:$Z52,$AA$14:$AA52),$U52)</f>
        <v>49</v>
      </c>
      <c r="AC52" s="32">
        <f>IFERROR($A53-LOOKUP($A53,$Z$14:$Z52),"")</f>
        <v>2</v>
      </c>
      <c r="AD52" s="1" cm="1">
        <f t="array" ref="AD52">IF(B52&lt;&gt;"",80,_xludf.NA())</f>
        <v>80</v>
      </c>
    </row>
    <row r="53" spans="1:30">
      <c r="A53" s="22">
        <f t="shared" si="0"/>
        <v>46243</v>
      </c>
      <c r="B53" s="9">
        <f>+[1]Balance_Madden!A51</f>
        <v>46243</v>
      </c>
      <c r="C53" s="24">
        <f>+VLOOKUP(B53,[1]Balance_Madden!$A$12:$E$5000,2)</f>
        <v>229.15</v>
      </c>
      <c r="D53" s="25">
        <f>+VLOOKUP(B53,[1]Balance_Gatún!$A$13:$E$5087,2)</f>
        <v>84.4</v>
      </c>
      <c r="E53" s="24">
        <f>+VLOOKUP(B53,[1]Balance_Madden!$A$12:$E$5087,5)/35.32</f>
        <v>64.538023782559463</v>
      </c>
      <c r="F53" s="26">
        <f>+VLOOKUP(B53,[1]Balance_Gatún!$A$13:$E$5087,5)/35.32</f>
        <v>36.518856172140431</v>
      </c>
      <c r="G53" s="24">
        <f>+VLOOKUP(B53,[1]Balance_Madden!$A$12:$K$5087,9)/111</f>
        <v>0</v>
      </c>
      <c r="H53" s="25">
        <f>+VLOOKUP(B53,[1]Balance_Gatún!$A$13:$U$5087,21)/186</f>
        <v>0</v>
      </c>
      <c r="I53" s="24">
        <f>+(VLOOKUP(B53,[1]Balance_Madden!$A$12:$K$5087,10)/35.32)+VLOOKUP(B53,[1]Balance_Madden!$A$12:$K$5087,11)/35.32</f>
        <v>0</v>
      </c>
      <c r="J53" s="25">
        <f>+VLOOKUP(B53,[1]Balance_Gatún!$A$13:$AD$5087,23)/35.32+ VLOOKUP(B53,[1]Balance_Gatún!$A$13:$AD$5087,17)/35.32</f>
        <v>0</v>
      </c>
      <c r="K53" s="24">
        <f>+VLOOKUP(B53,[1]Balance_Gatún!$A$13:$AC$5087,10)</f>
        <v>24</v>
      </c>
      <c r="L53" s="25" t="str">
        <f>+VLOOKUP(B53,[1]Balance_Gatún!$A$13:$AC$5087,11)</f>
        <v>XFILL_PMG100%</v>
      </c>
      <c r="M53" s="25">
        <f>+VLOOKUP(B53,[1]Balance_Gatún!$A$13:$AC$5087,12)</f>
        <v>10</v>
      </c>
      <c r="N53" s="25" t="str">
        <f>+VLOOKUP(B53,[1]Balance_Gatún!$A$13:$AC$5087,13)</f>
        <v>TA+CCL100%</v>
      </c>
      <c r="O53" s="25">
        <f>+VLOOKUP(B53,[1]Balance_Gatún!$A$13:$AC$5087,14)/408.7</f>
        <v>6.1140087209704719</v>
      </c>
      <c r="P53" s="24">
        <f>+VLOOKUP(B53,[1]Balance_Madden!$A$12:$V$5087,12)/35.32</f>
        <v>1.6061838943184943</v>
      </c>
      <c r="Q53" s="25">
        <f>+VLOOKUP(B53,[1]Balance_Gatún!$A$13:$AD$5087,15)/35.32</f>
        <v>16.909695626300302</v>
      </c>
      <c r="R53" s="24">
        <f>+VLOOKUP(B53,[1]Balance_Madden!$A$12:$V$5087,14)/35.32</f>
        <v>13.859864528520079</v>
      </c>
      <c r="S53" s="26">
        <f>[1]Balance_Gatún!X52/35.32</f>
        <v>99.29804116029328</v>
      </c>
      <c r="T53" s="25">
        <v>18.675206461127857</v>
      </c>
      <c r="U53" s="25">
        <v>51.205974980450591</v>
      </c>
      <c r="V53" s="29">
        <f>LOOKUP(D53,[1]Parámetros!$A$7:$A$24,[1]Parámetros!$B$7:$B$24)</f>
        <v>49</v>
      </c>
      <c r="W53" s="30" t="str">
        <f t="shared" si="1"/>
        <v/>
      </c>
      <c r="X53" s="31" t="str">
        <f t="shared" si="3"/>
        <v/>
      </c>
      <c r="Y53" s="30" t="str">
        <f>IF($W53="Cambio Calado",COUNTIF($W$14:W53,"Cambio Calado"),"")</f>
        <v/>
      </c>
      <c r="Z53" s="31" t="str">
        <f t="shared" si="4"/>
        <v/>
      </c>
      <c r="AA53" s="30" t="str">
        <f t="shared" si="5"/>
        <v/>
      </c>
      <c r="AB53" s="29">
        <f>IFERROR(LOOKUP($A53,$Z$14:$Z53,$AA$14:$AA53),$U53)</f>
        <v>49</v>
      </c>
      <c r="AC53" s="32">
        <f>IFERROR($A54-LOOKUP($A54,$Z$14:$Z53),"")</f>
        <v>3</v>
      </c>
      <c r="AD53" s="1" cm="1">
        <f t="array" ref="AD53">IF(B53&lt;&gt;"",80,_xludf.NA())</f>
        <v>80</v>
      </c>
    </row>
    <row r="54" spans="1:30">
      <c r="A54" s="22">
        <f t="shared" si="0"/>
        <v>46244</v>
      </c>
      <c r="B54" s="9">
        <f>+[1]Balance_Madden!A52</f>
        <v>46244</v>
      </c>
      <c r="C54" s="24">
        <f>+VLOOKUP(B54,[1]Balance_Madden!$A$12:$E$5000,2)</f>
        <v>229.26</v>
      </c>
      <c r="D54" s="25">
        <f>+VLOOKUP(B54,[1]Balance_Gatún!$A$13:$E$5087,2)</f>
        <v>84.328000000000003</v>
      </c>
      <c r="E54" s="24">
        <f>+VLOOKUP(B54,[1]Balance_Madden!$A$12:$E$5087,5)/35.32</f>
        <v>112.82553793884485</v>
      </c>
      <c r="F54" s="26">
        <f>+VLOOKUP(B54,[1]Balance_Gatún!$A$13:$E$5087,5)/35.32</f>
        <v>70.347706681766709</v>
      </c>
      <c r="G54" s="24">
        <f>+VLOOKUP(B54,[1]Balance_Madden!$A$12:$K$5087,9)/111</f>
        <v>0</v>
      </c>
      <c r="H54" s="25">
        <f>+VLOOKUP(B54,[1]Balance_Gatún!$A$13:$U$5087,21)/186</f>
        <v>0</v>
      </c>
      <c r="I54" s="24">
        <f>+(VLOOKUP(B54,[1]Balance_Madden!$A$12:$K$5087,10)/35.32)+VLOOKUP(B54,[1]Balance_Madden!$A$12:$K$5087,11)/35.32</f>
        <v>0</v>
      </c>
      <c r="J54" s="25">
        <f>+VLOOKUP(B54,[1]Balance_Gatún!$A$13:$AD$5087,23)/35.32+ VLOOKUP(B54,[1]Balance_Gatún!$A$13:$AD$5087,17)/35.32</f>
        <v>0</v>
      </c>
      <c r="K54" s="24">
        <f>+VLOOKUP(B54,[1]Balance_Gatún!$A$13:$AC$5087,10)</f>
        <v>24</v>
      </c>
      <c r="L54" s="25" t="str">
        <f>+VLOOKUP(B54,[1]Balance_Gatún!$A$13:$AC$5087,11)</f>
        <v>XFILL_PMG100%</v>
      </c>
      <c r="M54" s="25">
        <f>+VLOOKUP(B54,[1]Balance_Gatún!$A$13:$AC$5087,12)</f>
        <v>10</v>
      </c>
      <c r="N54" s="25" t="str">
        <f>+VLOOKUP(B54,[1]Balance_Gatún!$A$13:$AC$5087,13)</f>
        <v>TA+CCL100%</v>
      </c>
      <c r="O54" s="25">
        <f>+VLOOKUP(B54,[1]Balance_Gatún!$A$13:$AC$5087,14)/408.7</f>
        <v>6.1006846854270025</v>
      </c>
      <c r="P54" s="24">
        <f>+VLOOKUP(B54,[1]Balance_Madden!$A$12:$V$5087,12)/35.32</f>
        <v>1.422078457706194</v>
      </c>
      <c r="Q54" s="25">
        <f>+VLOOKUP(B54,[1]Balance_Gatún!$A$13:$AD$5087,15)/35.32</f>
        <v>14.934464415312565</v>
      </c>
      <c r="R54" s="24">
        <f>+VLOOKUP(B54,[1]Balance_Madden!$A$12:$V$5087,14)/35.32</f>
        <v>13.675759091907778</v>
      </c>
      <c r="S54" s="26">
        <f>[1]Balance_Gatún!X53/35.32</f>
        <v>97.168632901553096</v>
      </c>
      <c r="T54" s="25">
        <v>10.358276415385495</v>
      </c>
      <c r="U54" s="25">
        <v>43.392334190523968</v>
      </c>
      <c r="V54" s="29">
        <f>LOOKUP(D54,[1]Parámetros!$A$7:$A$24,[1]Parámetros!$B$7:$B$24)</f>
        <v>49</v>
      </c>
      <c r="W54" s="30" t="str">
        <f t="shared" si="1"/>
        <v/>
      </c>
      <c r="X54" s="31" t="str">
        <f t="shared" si="3"/>
        <v/>
      </c>
      <c r="Y54" s="30" t="str">
        <f>IF($W54="Cambio Calado",COUNTIF($W$14:W54,"Cambio Calado"),"")</f>
        <v/>
      </c>
      <c r="Z54" s="31" t="str">
        <f t="shared" si="4"/>
        <v/>
      </c>
      <c r="AA54" s="30" t="str">
        <f t="shared" si="5"/>
        <v/>
      </c>
      <c r="AB54" s="29">
        <f>IFERROR(LOOKUP($A54,$Z$14:$Z54,$AA$14:$AA54),$U54)</f>
        <v>49</v>
      </c>
      <c r="AC54" s="32">
        <f>IFERROR($A55-LOOKUP($A55,$Z$14:$Z54),"")</f>
        <v>4</v>
      </c>
      <c r="AD54" s="1" cm="1">
        <f t="array" ref="AD54">IF(B54&lt;&gt;"",80,_xludf.NA())</f>
        <v>80</v>
      </c>
    </row>
    <row r="55" spans="1:30">
      <c r="A55" s="22">
        <f t="shared" si="0"/>
        <v>46245</v>
      </c>
      <c r="B55" s="9">
        <f>+[1]Balance_Madden!A53</f>
        <v>46245</v>
      </c>
      <c r="C55" s="24">
        <f>+VLOOKUP(B55,[1]Balance_Madden!$A$12:$E$5000,2)</f>
        <v>229.35</v>
      </c>
      <c r="D55" s="25">
        <f>+VLOOKUP(B55,[1]Balance_Gatún!$A$13:$E$5087,2)</f>
        <v>84.268000000000001</v>
      </c>
      <c r="E55" s="24">
        <f>+VLOOKUP(B55,[1]Balance_Madden!$A$12:$E$5087,5)/35.32</f>
        <v>57.726698754246883</v>
      </c>
      <c r="F55" s="26">
        <f>+VLOOKUP(B55,[1]Balance_Gatún!$A$13:$E$5087,5)/35.32</f>
        <v>60.326840317100796</v>
      </c>
      <c r="G55" s="24">
        <f>+VLOOKUP(B55,[1]Balance_Madden!$A$12:$K$5087,9)/111</f>
        <v>0</v>
      </c>
      <c r="H55" s="25">
        <f>+VLOOKUP(B55,[1]Balance_Gatún!$A$13:$U$5087,21)/186</f>
        <v>0</v>
      </c>
      <c r="I55" s="24">
        <f>+(VLOOKUP(B55,[1]Balance_Madden!$A$12:$K$5087,10)/35.32)+VLOOKUP(B55,[1]Balance_Madden!$A$12:$K$5087,11)/35.32</f>
        <v>0</v>
      </c>
      <c r="J55" s="25">
        <f>+VLOOKUP(B55,[1]Balance_Gatún!$A$13:$AD$5087,23)/35.32+ VLOOKUP(B55,[1]Balance_Gatún!$A$13:$AD$5087,17)/35.32</f>
        <v>0</v>
      </c>
      <c r="K55" s="24">
        <f>+VLOOKUP(B55,[1]Balance_Gatún!$A$13:$AC$5087,10)</f>
        <v>24</v>
      </c>
      <c r="L55" s="25" t="str">
        <f>+VLOOKUP(B55,[1]Balance_Gatún!$A$13:$AC$5087,11)</f>
        <v>XFILL_PMG100%</v>
      </c>
      <c r="M55" s="25">
        <f>+VLOOKUP(B55,[1]Balance_Gatún!$A$13:$AC$5087,12)</f>
        <v>10</v>
      </c>
      <c r="N55" s="25" t="str">
        <f>+VLOOKUP(B55,[1]Balance_Gatún!$A$13:$AC$5087,13)</f>
        <v>TA+CCL100%</v>
      </c>
      <c r="O55" s="25">
        <f>+VLOOKUP(B55,[1]Balance_Gatún!$A$13:$AC$5087,14)/408.7</f>
        <v>6.0895813224741113</v>
      </c>
      <c r="P55" s="24">
        <f>+VLOOKUP(B55,[1]Balance_Madden!$A$12:$V$5087,12)/35.32</f>
        <v>1.493469524721897</v>
      </c>
      <c r="Q55" s="25">
        <f>+VLOOKUP(B55,[1]Balance_Gatún!$A$13:$AD$5087,15)/35.32</f>
        <v>15.652276017646489</v>
      </c>
      <c r="R55" s="24">
        <f>+VLOOKUP(B55,[1]Balance_Madden!$A$12:$V$5087,14)/35.32</f>
        <v>13.747150158923484</v>
      </c>
      <c r="S55" s="26">
        <f>[1]Balance_Gatún!X54/35.32</f>
        <v>97.757963630760003</v>
      </c>
      <c r="T55" s="25">
        <v>3.6448934017306791</v>
      </c>
      <c r="U55" s="25">
        <v>33.200974177585699</v>
      </c>
      <c r="V55" s="29">
        <f>LOOKUP(D55,[1]Parámetros!$A$7:$A$24,[1]Parámetros!$B$7:$B$24)</f>
        <v>49</v>
      </c>
      <c r="W55" s="30" t="str">
        <f t="shared" si="1"/>
        <v/>
      </c>
      <c r="X55" s="31" t="str">
        <f t="shared" si="3"/>
        <v/>
      </c>
      <c r="Y55" s="30" t="str">
        <f>IF($W55="Cambio Calado",COUNTIF($W$14:W55,"Cambio Calado"),"")</f>
        <v/>
      </c>
      <c r="Z55" s="31" t="str">
        <f t="shared" si="4"/>
        <v/>
      </c>
      <c r="AA55" s="30" t="str">
        <f t="shared" si="5"/>
        <v/>
      </c>
      <c r="AB55" s="29">
        <f>IFERROR(LOOKUP($A55,$Z$14:$Z55,$AA$14:$AA55),$U55)</f>
        <v>49</v>
      </c>
      <c r="AC55" s="32">
        <f>IFERROR($A56-LOOKUP($A56,$Z$14:$Z55),"")</f>
        <v>5</v>
      </c>
      <c r="AD55" s="1" cm="1">
        <f t="array" ref="AD55">IF(B55&lt;&gt;"",80,_xludf.NA())</f>
        <v>80</v>
      </c>
    </row>
    <row r="56" spans="1:30">
      <c r="A56" s="22">
        <f t="shared" si="0"/>
        <v>46246</v>
      </c>
      <c r="B56" s="9">
        <f>+[1]Balance_Madden!A54</f>
        <v>46246</v>
      </c>
      <c r="C56" s="24">
        <f>+VLOOKUP(B56,[1]Balance_Madden!$A$12:$E$5000,2)</f>
        <v>229.45</v>
      </c>
      <c r="D56" s="25">
        <f>+VLOOKUP(B56,[1]Balance_Gatún!$A$13:$E$5087,2)</f>
        <v>84.218000000000004</v>
      </c>
      <c r="E56" s="24">
        <f>+VLOOKUP(B56,[1]Balance_Madden!$A$12:$E$5087,5)/35.32</f>
        <v>46.658267270668176</v>
      </c>
      <c r="F56" s="26">
        <f>+VLOOKUP(B56,[1]Balance_Gatún!$A$13:$E$5087,5)/35.32</f>
        <v>109.48966591166479</v>
      </c>
      <c r="G56" s="24">
        <f>+VLOOKUP(B56,[1]Balance_Madden!$A$12:$K$5087,9)/111</f>
        <v>0</v>
      </c>
      <c r="H56" s="25">
        <f>+VLOOKUP(B56,[1]Balance_Gatún!$A$13:$U$5087,21)/186</f>
        <v>0</v>
      </c>
      <c r="I56" s="24">
        <f>+(VLOOKUP(B56,[1]Balance_Madden!$A$12:$K$5087,10)/35.32)+VLOOKUP(B56,[1]Balance_Madden!$A$12:$K$5087,11)/35.32</f>
        <v>0</v>
      </c>
      <c r="J56" s="25">
        <f>+VLOOKUP(B56,[1]Balance_Gatún!$A$13:$AD$5087,23)/35.32+ VLOOKUP(B56,[1]Balance_Gatún!$A$13:$AD$5087,17)/35.32</f>
        <v>0</v>
      </c>
      <c r="K56" s="24">
        <f>+VLOOKUP(B56,[1]Balance_Gatún!$A$13:$AC$5087,10)</f>
        <v>24</v>
      </c>
      <c r="L56" s="25" t="str">
        <f>+VLOOKUP(B56,[1]Balance_Gatún!$A$13:$AC$5087,11)</f>
        <v>XFILL_PMG100%</v>
      </c>
      <c r="M56" s="25">
        <f>+VLOOKUP(B56,[1]Balance_Gatún!$A$13:$AC$5087,12)</f>
        <v>10</v>
      </c>
      <c r="N56" s="25" t="str">
        <f>+VLOOKUP(B56,[1]Balance_Gatún!$A$13:$AC$5087,13)</f>
        <v>TA+CCL100%</v>
      </c>
      <c r="O56" s="25">
        <f>+VLOOKUP(B56,[1]Balance_Gatún!$A$13:$AC$5087,14)/408.7</f>
        <v>6.0803285200133681</v>
      </c>
      <c r="P56" s="24">
        <f>+VLOOKUP(B56,[1]Balance_Madden!$A$12:$V$5087,12)/35.32</f>
        <v>1.7929260186111242</v>
      </c>
      <c r="Q56" s="25">
        <f>+VLOOKUP(B56,[1]Balance_Gatún!$A$13:$AD$5087,15)/35.32</f>
        <v>18.752233903169056</v>
      </c>
      <c r="R56" s="24">
        <f>+VLOOKUP(B56,[1]Balance_Madden!$A$12:$V$5087,14)/35.32</f>
        <v>14.046606652812709</v>
      </c>
      <c r="S56" s="26">
        <f>[1]Balance_Gatún!X55/35.32</f>
        <v>100.75085412201005</v>
      </c>
      <c r="T56" s="25">
        <v>10.525511960595635</v>
      </c>
      <c r="U56" s="25">
        <v>28.387967188915965</v>
      </c>
      <c r="V56" s="29">
        <f>LOOKUP(D56,[1]Parámetros!$A$7:$A$24,[1]Parámetros!$B$7:$B$24)</f>
        <v>49</v>
      </c>
      <c r="W56" s="30" t="str">
        <f t="shared" si="1"/>
        <v/>
      </c>
      <c r="X56" s="31" t="str">
        <f t="shared" si="3"/>
        <v/>
      </c>
      <c r="Y56" s="30" t="str">
        <f>IF($W56="Cambio Calado",COUNTIF($W$14:W56,"Cambio Calado"),"")</f>
        <v/>
      </c>
      <c r="Z56" s="31" t="str">
        <f t="shared" si="4"/>
        <v/>
      </c>
      <c r="AA56" s="30" t="str">
        <f t="shared" si="5"/>
        <v/>
      </c>
      <c r="AB56" s="29">
        <f>IFERROR(LOOKUP($A56,$Z$14:$Z56,$AA$14:$AA56),$U56)</f>
        <v>49</v>
      </c>
      <c r="AC56" s="32">
        <f>IFERROR($A57-LOOKUP($A57,$Z$14:$Z56),"")</f>
        <v>6</v>
      </c>
      <c r="AD56" s="1" cm="1">
        <f t="array" ref="AD56">IF(B56&lt;&gt;"",80,_xludf.NA())</f>
        <v>80</v>
      </c>
    </row>
    <row r="57" spans="1:30">
      <c r="A57" s="22">
        <f t="shared" si="0"/>
        <v>46247</v>
      </c>
      <c r="B57" s="9">
        <f>+[1]Balance_Madden!A55</f>
        <v>46247</v>
      </c>
      <c r="C57" s="24">
        <f>+VLOOKUP(B57,[1]Balance_Madden!$A$12:$E$5000,2)</f>
        <v>229.51</v>
      </c>
      <c r="D57" s="25">
        <f>+VLOOKUP(B57,[1]Balance_Gatún!$A$13:$E$5087,2)</f>
        <v>84.168999999999997</v>
      </c>
      <c r="E57" s="24">
        <f>+VLOOKUP(B57,[1]Balance_Madden!$A$12:$E$5087,5)/35.32</f>
        <v>56.753652321630803</v>
      </c>
      <c r="F57" s="26">
        <f>+VLOOKUP(B57,[1]Balance_Gatún!$A$13:$E$5087,5)/35.32</f>
        <v>31.67655719139298</v>
      </c>
      <c r="G57" s="24">
        <f>+VLOOKUP(B57,[1]Balance_Madden!$A$12:$K$5087,9)/111</f>
        <v>0</v>
      </c>
      <c r="H57" s="25">
        <f>+VLOOKUP(B57,[1]Balance_Gatún!$A$13:$U$5087,21)/186</f>
        <v>0</v>
      </c>
      <c r="I57" s="24">
        <f>+(VLOOKUP(B57,[1]Balance_Madden!$A$12:$K$5087,10)/35.32)+VLOOKUP(B57,[1]Balance_Madden!$A$12:$K$5087,11)/35.32</f>
        <v>0</v>
      </c>
      <c r="J57" s="25">
        <f>+VLOOKUP(B57,[1]Balance_Gatún!$A$13:$AD$5087,23)/35.32+ VLOOKUP(B57,[1]Balance_Gatún!$A$13:$AD$5087,17)/35.32</f>
        <v>0</v>
      </c>
      <c r="K57" s="24">
        <f>+VLOOKUP(B57,[1]Balance_Gatún!$A$13:$AC$5087,10)</f>
        <v>24</v>
      </c>
      <c r="L57" s="25" t="str">
        <f>+VLOOKUP(B57,[1]Balance_Gatún!$A$13:$AC$5087,11)</f>
        <v>XFILL_PMG100%</v>
      </c>
      <c r="M57" s="25">
        <f>+VLOOKUP(B57,[1]Balance_Gatún!$A$13:$AC$5087,12)</f>
        <v>10</v>
      </c>
      <c r="N57" s="25" t="str">
        <f>+VLOOKUP(B57,[1]Balance_Gatún!$A$13:$AC$5087,13)</f>
        <v>TA+CCL100%</v>
      </c>
      <c r="O57" s="25">
        <f>+VLOOKUP(B57,[1]Balance_Gatún!$A$13:$AC$5087,14)/408.7</f>
        <v>6.0712607736018391</v>
      </c>
      <c r="P57" s="24">
        <f>+VLOOKUP(B57,[1]Balance_Madden!$A$12:$V$5087,12)/35.32</f>
        <v>2.3930387708907324</v>
      </c>
      <c r="Q57" s="25">
        <f>+VLOOKUP(B57,[1]Balance_Gatún!$A$13:$AD$5087,15)/35.32</f>
        <v>24.991976093083917</v>
      </c>
      <c r="R57" s="24">
        <f>+VLOOKUP(B57,[1]Balance_Madden!$A$12:$V$5087,14)/35.32</f>
        <v>14.64671940509232</v>
      </c>
      <c r="S57" s="26">
        <f>[1]Balance_Gatún!X56/35.32</f>
        <v>106.88567026553781</v>
      </c>
      <c r="T57" s="25">
        <v>5.7994564263930606</v>
      </c>
      <c r="U57" s="25">
        <v>24.346115279914549</v>
      </c>
      <c r="V57" s="29">
        <f>LOOKUP(D57,[1]Parámetros!$A$7:$A$24,[1]Parámetros!$B$7:$B$24)</f>
        <v>49</v>
      </c>
      <c r="W57" s="30" t="str">
        <f t="shared" si="1"/>
        <v/>
      </c>
      <c r="X57" s="31" t="str">
        <f t="shared" si="3"/>
        <v/>
      </c>
      <c r="Y57" s="30" t="str">
        <f>IF($W57="Cambio Calado",COUNTIF($W$14:W57,"Cambio Calado"),"")</f>
        <v/>
      </c>
      <c r="Z57" s="31" t="str">
        <f t="shared" si="4"/>
        <v/>
      </c>
      <c r="AA57" s="30" t="str">
        <f t="shared" si="5"/>
        <v/>
      </c>
      <c r="AB57" s="29">
        <f>IFERROR(LOOKUP($A57,$Z$14:$Z57,$AA$14:$AA57),$U57)</f>
        <v>49</v>
      </c>
      <c r="AC57" s="32">
        <f>IFERROR($A58-LOOKUP($A58,$Z$14:$Z57),"")</f>
        <v>7</v>
      </c>
      <c r="AD57" s="1" cm="1">
        <f t="array" ref="AD57">IF(B57&lt;&gt;"",80,_xludf.NA())</f>
        <v>80</v>
      </c>
    </row>
    <row r="58" spans="1:30">
      <c r="A58" s="22">
        <f t="shared" si="0"/>
        <v>46248</v>
      </c>
      <c r="B58" s="9">
        <f>+[1]Balance_Madden!A56</f>
        <v>46248</v>
      </c>
      <c r="C58" s="24">
        <f>+VLOOKUP(B58,[1]Balance_Madden!$A$12:$E$5000,2)</f>
        <v>229.58</v>
      </c>
      <c r="D58" s="25">
        <f>+VLOOKUP(B58,[1]Balance_Gatún!$A$13:$E$5087,2)</f>
        <v>84.123000000000005</v>
      </c>
      <c r="E58" s="24">
        <f>+VLOOKUP(B58,[1]Balance_Madden!$A$12:$E$5087,5)/35.32</f>
        <v>41.79303510758777</v>
      </c>
      <c r="F58" s="26">
        <f>+VLOOKUP(B58,[1]Balance_Gatún!$A$13:$E$5087,5)/35.32</f>
        <v>22.462740656851643</v>
      </c>
      <c r="G58" s="24">
        <f>+VLOOKUP(B58,[1]Balance_Madden!$A$12:$K$5087,9)/111</f>
        <v>0</v>
      </c>
      <c r="H58" s="25">
        <f>+VLOOKUP(B58,[1]Balance_Gatún!$A$13:$U$5087,21)/186</f>
        <v>0</v>
      </c>
      <c r="I58" s="24">
        <f>+(VLOOKUP(B58,[1]Balance_Madden!$A$12:$K$5087,10)/35.32)+VLOOKUP(B58,[1]Balance_Madden!$A$12:$K$5087,11)/35.32</f>
        <v>0</v>
      </c>
      <c r="J58" s="25">
        <f>+VLOOKUP(B58,[1]Balance_Gatún!$A$13:$AD$5087,23)/35.32+ VLOOKUP(B58,[1]Balance_Gatún!$A$13:$AD$5087,17)/35.32</f>
        <v>0</v>
      </c>
      <c r="K58" s="24">
        <f>+VLOOKUP(B58,[1]Balance_Gatún!$A$13:$AC$5087,10)</f>
        <v>24</v>
      </c>
      <c r="L58" s="25" t="str">
        <f>+VLOOKUP(B58,[1]Balance_Gatún!$A$13:$AC$5087,11)</f>
        <v>XFILL_PMG100%</v>
      </c>
      <c r="M58" s="25">
        <f>+VLOOKUP(B58,[1]Balance_Gatún!$A$13:$AC$5087,12)</f>
        <v>10</v>
      </c>
      <c r="N58" s="25" t="str">
        <f>+VLOOKUP(B58,[1]Balance_Gatún!$A$13:$AC$5087,13)</f>
        <v>TA+CCL100%</v>
      </c>
      <c r="O58" s="25">
        <f>+VLOOKUP(B58,[1]Balance_Gatún!$A$13:$AC$5087,14)/408.7</f>
        <v>6.0627481953379592</v>
      </c>
      <c r="P58" s="24">
        <f>+VLOOKUP(B58,[1]Balance_Madden!$A$12:$V$5087,12)/35.32</f>
        <v>2.2835719439769582</v>
      </c>
      <c r="Q58" s="25">
        <f>+VLOOKUP(B58,[1]Balance_Gatún!$A$13:$AD$5087,15)/35.32</f>
        <v>23.811200608264315</v>
      </c>
      <c r="R58" s="24">
        <f>+VLOOKUP(B58,[1]Balance_Madden!$A$12:$V$5087,14)/35.32</f>
        <v>14.537252578178546</v>
      </c>
      <c r="S58" s="26">
        <f>[1]Balance_Gatún!X57/35.32</f>
        <v>105.60639277798752</v>
      </c>
      <c r="T58" s="25">
        <v>37.268933085479098</v>
      </c>
      <c r="U58" s="25">
        <v>40.691595780821586</v>
      </c>
      <c r="V58" s="29">
        <f>LOOKUP(D58,[1]Parámetros!$A$7:$A$24,[1]Parámetros!$B$7:$B$24)</f>
        <v>49</v>
      </c>
      <c r="W58" s="30" t="str">
        <f t="shared" si="1"/>
        <v/>
      </c>
      <c r="X58" s="31" t="str">
        <f t="shared" si="3"/>
        <v/>
      </c>
      <c r="Y58" s="30" t="str">
        <f>IF($W58="Cambio Calado",COUNTIF($W$14:W58,"Cambio Calado"),"")</f>
        <v/>
      </c>
      <c r="Z58" s="31" t="str">
        <f t="shared" si="4"/>
        <v/>
      </c>
      <c r="AA58" s="30" t="str">
        <f t="shared" si="5"/>
        <v/>
      </c>
      <c r="AB58" s="29">
        <f>IFERROR(LOOKUP($A58,$Z$14:$Z58,$AA$14:$AA58),$U58)</f>
        <v>49</v>
      </c>
      <c r="AC58" s="32">
        <f>IFERROR($A59-LOOKUP($A59,$Z$14:$Z58),"")</f>
        <v>8</v>
      </c>
      <c r="AD58" s="1" cm="1">
        <f t="array" ref="AD58">IF(B58&lt;&gt;"",80,_xludf.NA())</f>
        <v>80</v>
      </c>
    </row>
    <row r="59" spans="1:30" s="49" customFormat="1">
      <c r="A59" s="44">
        <f t="shared" si="0"/>
        <v>46249</v>
      </c>
      <c r="B59" s="45">
        <f>+[1]Balance_Madden!A57</f>
        <v>46249</v>
      </c>
      <c r="C59" s="46">
        <f>+VLOOKUP(B59,[1]Balance_Madden!$A$12:$E$5000,2)</f>
        <v>229.67</v>
      </c>
      <c r="D59" s="47">
        <f>+VLOOKUP(B59,[1]Balance_Gatún!$A$13:$E$5087,2)</f>
        <v>84.063000000000002</v>
      </c>
      <c r="E59" s="46">
        <f>+VLOOKUP(B59,[1]Balance_Madden!$A$12:$E$5087,5)/35.32</f>
        <v>44.08454133635334</v>
      </c>
      <c r="F59" s="48">
        <f>+VLOOKUP(B59,[1]Balance_Gatún!$A$13:$E$5087,5)/35.32</f>
        <v>45.317836919592295</v>
      </c>
      <c r="G59" s="24">
        <f>+VLOOKUP(B59,[1]Balance_Madden!$A$12:$K$5087,9)/111</f>
        <v>0</v>
      </c>
      <c r="H59" s="47">
        <f>+VLOOKUP(B59,[1]Balance_Gatún!$A$13:$U$5087,21)/186</f>
        <v>0</v>
      </c>
      <c r="I59" s="46">
        <f>+(VLOOKUP(B59,[1]Balance_Madden!$A$12:$K$5087,10)/35.32)+VLOOKUP(B59,[1]Balance_Madden!$A$12:$K$5087,11)/35.32</f>
        <v>0</v>
      </c>
      <c r="J59" s="47">
        <f>+VLOOKUP(B59,[1]Balance_Gatún!$A$13:$AD$5087,23)/35.32+ VLOOKUP(B59,[1]Balance_Gatún!$A$13:$AD$5087,17)/35.32</f>
        <v>0</v>
      </c>
      <c r="K59" s="46">
        <f>+VLOOKUP(B59,[1]Balance_Gatún!$A$13:$AC$5087,10)</f>
        <v>24</v>
      </c>
      <c r="L59" s="47" t="str">
        <f>+VLOOKUP(B59,[1]Balance_Gatún!$A$13:$AC$5087,11)</f>
        <v>XFILL_PMG100%</v>
      </c>
      <c r="M59" s="47">
        <f>+VLOOKUP(B59,[1]Balance_Gatún!$A$13:$AC$5087,12)</f>
        <v>10</v>
      </c>
      <c r="N59" s="47" t="str">
        <f>+VLOOKUP(B59,[1]Balance_Gatún!$A$13:$AC$5087,13)</f>
        <v>TA+CCL100%</v>
      </c>
      <c r="O59" s="47">
        <f>+VLOOKUP(B59,[1]Balance_Gatún!$A$13:$AC$5087,14)/408.7</f>
        <v>6.0516448323850662</v>
      </c>
      <c r="P59" s="46">
        <f>+VLOOKUP(B59,[1]Balance_Madden!$A$12:$V$5087,12)/35.32</f>
        <v>2.0083825456842255</v>
      </c>
      <c r="Q59" s="47">
        <f>+VLOOKUP(B59,[1]Balance_Gatún!$A$13:$AD$5087,15)/35.32</f>
        <v>20.899150061442949</v>
      </c>
      <c r="R59" s="46">
        <f>+VLOOKUP(B59,[1]Balance_Madden!$A$12:$V$5087,14)/35.32</f>
        <v>14.262063179885811</v>
      </c>
      <c r="S59" s="48">
        <f>[1]Balance_Gatún!X58/35.32</f>
        <v>102.56586135803911</v>
      </c>
      <c r="T59" s="47">
        <v>37.127361312414592</v>
      </c>
      <c r="U59" s="25">
        <v>98.56717303898597</v>
      </c>
      <c r="V59" s="29">
        <f>LOOKUP(D59,[1]Parámetros!$A$7:$A$24,[1]Parámetros!$B$7:$B$24)</f>
        <v>49</v>
      </c>
      <c r="W59" s="30" t="str">
        <f t="shared" si="1"/>
        <v/>
      </c>
      <c r="X59" s="31" t="str">
        <f t="shared" si="3"/>
        <v/>
      </c>
      <c r="Y59" s="30" t="str">
        <f>IF($W59="Cambio Calado",COUNTIF($W$14:W59,"Cambio Calado"),"")</f>
        <v/>
      </c>
      <c r="Z59" s="31" t="str">
        <f t="shared" si="4"/>
        <v/>
      </c>
      <c r="AA59" s="30" t="str">
        <f t="shared" si="5"/>
        <v/>
      </c>
      <c r="AB59" s="29">
        <f>IFERROR(LOOKUP($A59,$Z$14:$Z59,$AA$14:$AA59),$U59)</f>
        <v>49</v>
      </c>
      <c r="AC59" s="32">
        <f>IFERROR($A60-LOOKUP($A60,$Z$14:$Z59),"")</f>
        <v>9</v>
      </c>
      <c r="AD59" s="1" cm="1">
        <f t="array" ref="AD59">IF(B59&lt;&gt;"",80,_xludf.NA())</f>
        <v>80</v>
      </c>
    </row>
    <row r="60" spans="1:30">
      <c r="A60" s="22">
        <f t="shared" si="0"/>
        <v>46250</v>
      </c>
      <c r="B60" s="9">
        <f>+[1]Balance_Madden!A58</f>
        <v>46250</v>
      </c>
      <c r="C60" s="24">
        <f>+VLOOKUP(B60,[1]Balance_Madden!$A$12:$E$5000,2)</f>
        <v>229.9</v>
      </c>
      <c r="D60" s="25">
        <f>+VLOOKUP(B60,[1]Balance_Gatún!$A$13:$E$5087,2)</f>
        <v>84.024000000000001</v>
      </c>
      <c r="E60" s="24">
        <f>+VLOOKUP(B60,[1]Balance_Madden!$A$12:$E$5087,5)/35.32</f>
        <v>37.965118912797287</v>
      </c>
      <c r="F60" s="26">
        <f>+VLOOKUP(B60,[1]Balance_Gatún!$A$13:$E$5087,5)/35.32</f>
        <v>26.603454133635335</v>
      </c>
      <c r="G60" s="24">
        <f>+VLOOKUP(B60,[1]Balance_Madden!$A$12:$K$5087,9)/111</f>
        <v>0</v>
      </c>
      <c r="H60" s="25">
        <f>+VLOOKUP(B60,[1]Balance_Gatún!$A$13:$U$5087,21)/186</f>
        <v>0</v>
      </c>
      <c r="I60" s="24">
        <f>+(VLOOKUP(B60,[1]Balance_Madden!$A$12:$K$5087,10)/35.32)+VLOOKUP(B60,[1]Balance_Madden!$A$12:$K$5087,11)/35.32</f>
        <v>0</v>
      </c>
      <c r="J60" s="25">
        <f>+VLOOKUP(B60,[1]Balance_Gatún!$A$13:$AD$5087,23)/35.32+ VLOOKUP(B60,[1]Balance_Gatún!$A$13:$AD$5087,17)/35.32</f>
        <v>0</v>
      </c>
      <c r="K60" s="24">
        <f>+VLOOKUP(B60,[1]Balance_Gatún!$A$13:$AC$5087,10)</f>
        <v>24</v>
      </c>
      <c r="L60" s="25" t="str">
        <f>+VLOOKUP(B60,[1]Balance_Gatún!$A$13:$AC$5087,11)</f>
        <v>XFILL_PMG100%</v>
      </c>
      <c r="M60" s="25">
        <f>+VLOOKUP(B60,[1]Balance_Gatún!$A$13:$AC$5087,12)</f>
        <v>10</v>
      </c>
      <c r="N60" s="25" t="str">
        <f>+VLOOKUP(B60,[1]Balance_Gatún!$A$13:$AC$5087,13)</f>
        <v>TA+CCL100%</v>
      </c>
      <c r="O60" s="25">
        <f>+VLOOKUP(B60,[1]Balance_Gatún!$A$13:$AC$5087,14)/408.7</f>
        <v>6.0444276464656861</v>
      </c>
      <c r="P60" s="24">
        <f>+VLOOKUP(B60,[1]Balance_Madden!$A$12:$V$5087,12)/35.32</f>
        <v>2.1755871648941327</v>
      </c>
      <c r="Q60" s="25">
        <f>+VLOOKUP(B60,[1]Balance_Gatún!$A$13:$AD$5087,15)/35.32</f>
        <v>22.554674997725048</v>
      </c>
      <c r="R60" s="24">
        <f>+VLOOKUP(B60,[1]Balance_Madden!$A$12:$V$5087,14)/35.32</f>
        <v>14.429267799095719</v>
      </c>
      <c r="S60" s="26">
        <f>[1]Balance_Gatún!X59/35.32</f>
        <v>104.13787372678864</v>
      </c>
      <c r="T60" s="25">
        <v>45.68697864979255</v>
      </c>
      <c r="U60" s="25">
        <v>52.568903625425115</v>
      </c>
      <c r="V60" s="29">
        <f>LOOKUP(D60,[1]Parámetros!$A$7:$A$24,[1]Parámetros!$B$7:$B$24)</f>
        <v>49</v>
      </c>
      <c r="W60" s="30" t="str">
        <f t="shared" si="1"/>
        <v/>
      </c>
      <c r="X60" s="31" t="str">
        <f t="shared" si="3"/>
        <v/>
      </c>
      <c r="Y60" s="30" t="str">
        <f>IF($W60="Cambio Calado",COUNTIF($W$14:W60,"Cambio Calado"),"")</f>
        <v/>
      </c>
      <c r="Z60" s="31" t="str">
        <f t="shared" si="4"/>
        <v/>
      </c>
      <c r="AA60" s="30" t="str">
        <f t="shared" si="5"/>
        <v/>
      </c>
      <c r="AB60" s="29">
        <f>IFERROR(LOOKUP($A60,$Z$14:$Z60,$AA$14:$AA60),$U60)</f>
        <v>49</v>
      </c>
      <c r="AC60" s="32">
        <f>IFERROR($A61-LOOKUP($A61,$Z$14:$Z60),"")</f>
        <v>10</v>
      </c>
      <c r="AD60" s="1" cm="1">
        <f t="array" ref="AD60">IF(B60&lt;&gt;"",80,_xludf.NA())</f>
        <v>80</v>
      </c>
    </row>
    <row r="61" spans="1:30">
      <c r="A61" s="22">
        <f t="shared" si="0"/>
        <v>46251</v>
      </c>
      <c r="B61" s="9">
        <f>+[1]Balance_Madden!A59</f>
        <v>46251</v>
      </c>
      <c r="C61" s="24">
        <f>+VLOOKUP(B61,[1]Balance_Madden!$A$12:$E$5000,2)</f>
        <v>230.11</v>
      </c>
      <c r="D61" s="25">
        <f>+VLOOKUP(B61,[1]Balance_Gatún!$A$13:$E$5087,2)</f>
        <v>84.138000000000005</v>
      </c>
      <c r="E61" s="24">
        <f>+VLOOKUP(B61,[1]Balance_Madden!$A$12:$E$5087,5)/35.32</f>
        <v>51.756625141562857</v>
      </c>
      <c r="F61" s="26">
        <f>+VLOOKUP(B61,[1]Balance_Gatún!$A$13:$E$5087,5)/35.32</f>
        <v>94.992950169875414</v>
      </c>
      <c r="G61" s="24">
        <f>+VLOOKUP(B61,[1]Balance_Madden!$A$12:$K$5087,9)/111</f>
        <v>0</v>
      </c>
      <c r="H61" s="25">
        <f>+VLOOKUP(B61,[1]Balance_Gatún!$A$13:$U$5087,21)/186</f>
        <v>0</v>
      </c>
      <c r="I61" s="24">
        <f>+(VLOOKUP(B61,[1]Balance_Madden!$A$12:$K$5087,10)/35.32)+VLOOKUP(B61,[1]Balance_Madden!$A$12:$K$5087,11)/35.32</f>
        <v>0</v>
      </c>
      <c r="J61" s="25">
        <f>+VLOOKUP(B61,[1]Balance_Gatún!$A$13:$AD$5087,23)/35.32+ VLOOKUP(B61,[1]Balance_Gatún!$A$13:$AD$5087,17)/35.32</f>
        <v>0</v>
      </c>
      <c r="K61" s="24">
        <f>+VLOOKUP(B61,[1]Balance_Gatún!$A$13:$AC$5087,10)</f>
        <v>24</v>
      </c>
      <c r="L61" s="25" t="str">
        <f>+VLOOKUP(B61,[1]Balance_Gatún!$A$13:$AC$5087,11)</f>
        <v>XFILL_PMG100%</v>
      </c>
      <c r="M61" s="25">
        <f>+VLOOKUP(B61,[1]Balance_Gatún!$A$13:$AC$5087,12)</f>
        <v>10</v>
      </c>
      <c r="N61" s="25" t="str">
        <f>+VLOOKUP(B61,[1]Balance_Gatún!$A$13:$AC$5087,13)</f>
        <v>TA+CCL100%</v>
      </c>
      <c r="O61" s="25">
        <f>+VLOOKUP(B61,[1]Balance_Gatún!$A$13:$AC$5087,14)/408.7</f>
        <v>6.0655240360761811</v>
      </c>
      <c r="P61" s="24">
        <f>+VLOOKUP(B61,[1]Balance_Madden!$A$12:$V$5087,12)/35.32</f>
        <v>1.6855129113256277</v>
      </c>
      <c r="Q61" s="25">
        <f>+VLOOKUP(B61,[1]Balance_Gatún!$A$13:$AD$5087,15)/35.32</f>
        <v>17.448027549851965</v>
      </c>
      <c r="R61" s="24">
        <f>+VLOOKUP(B61,[1]Balance_Madden!$A$12:$V$5087,14)/35.32</f>
        <v>13.939193545527214</v>
      </c>
      <c r="S61" s="26">
        <f>[1]Balance_Gatún!X60/35.32</f>
        <v>99.275339937856927</v>
      </c>
      <c r="T61" s="25">
        <v>28.440556233597405</v>
      </c>
      <c r="U61" s="25">
        <v>32.07815716283465</v>
      </c>
      <c r="V61" s="29">
        <f>LOOKUP(D61,[1]Parámetros!$A$7:$A$24,[1]Parámetros!$B$7:$B$24)</f>
        <v>49</v>
      </c>
      <c r="W61" s="30" t="str">
        <f t="shared" si="1"/>
        <v/>
      </c>
      <c r="X61" s="31" t="str">
        <f t="shared" si="3"/>
        <v/>
      </c>
      <c r="Y61" s="30" t="str">
        <f>IF($W61="Cambio Calado",COUNTIF($W$14:W61,"Cambio Calado"),"")</f>
        <v/>
      </c>
      <c r="Z61" s="31" t="str">
        <f t="shared" si="4"/>
        <v/>
      </c>
      <c r="AA61" s="30" t="str">
        <f t="shared" si="5"/>
        <v/>
      </c>
      <c r="AB61" s="29">
        <f>IFERROR(LOOKUP($A61,$Z$14:$Z61,$AA$14:$AA61),$U61)</f>
        <v>49</v>
      </c>
      <c r="AC61" s="32">
        <f>IFERROR($A62-LOOKUP($A62,$Z$14:$Z61),"")</f>
        <v>11</v>
      </c>
      <c r="AD61" s="1" cm="1">
        <f t="array" ref="AD61">IF(B61&lt;&gt;"",80,_xludf.NA())</f>
        <v>80</v>
      </c>
    </row>
    <row r="62" spans="1:30">
      <c r="A62" s="22">
        <f t="shared" si="0"/>
        <v>46252</v>
      </c>
      <c r="B62" s="9">
        <f>+[1]Balance_Madden!A60</f>
        <v>46252</v>
      </c>
      <c r="C62" s="24">
        <f>+VLOOKUP(B62,[1]Balance_Madden!$A$12:$E$5000,2)</f>
        <v>230.23</v>
      </c>
      <c r="D62" s="25">
        <f>+VLOOKUP(B62,[1]Balance_Gatún!$A$13:$E$5087,2)</f>
        <v>84.135999999999996</v>
      </c>
      <c r="E62" s="24">
        <f>+VLOOKUP(B62,[1]Balance_Madden!$A$12:$E$5087,5)/35.32</f>
        <v>109.57882219705549</v>
      </c>
      <c r="F62" s="26">
        <f>+VLOOKUP(B62,[1]Balance_Gatún!$A$13:$E$5087,5)/35.32</f>
        <v>97.232785956964904</v>
      </c>
      <c r="G62" s="24">
        <f>+VLOOKUP(B62,[1]Balance_Madden!$A$12:$K$5087,9)/111</f>
        <v>0</v>
      </c>
      <c r="H62" s="25">
        <f>+VLOOKUP(B62,[1]Balance_Gatún!$A$13:$U$5087,21)/186</f>
        <v>0</v>
      </c>
      <c r="I62" s="24">
        <f>+(VLOOKUP(B62,[1]Balance_Madden!$A$12:$K$5087,10)/35.32)+VLOOKUP(B62,[1]Balance_Madden!$A$12:$K$5087,11)/35.32</f>
        <v>0</v>
      </c>
      <c r="J62" s="25">
        <f>+VLOOKUP(B62,[1]Balance_Gatún!$A$13:$AD$5087,23)/35.32+ VLOOKUP(B62,[1]Balance_Gatún!$A$13:$AD$5087,17)/35.32</f>
        <v>0</v>
      </c>
      <c r="K62" s="24">
        <f>+VLOOKUP(B62,[1]Balance_Gatún!$A$13:$AC$5087,10)</f>
        <v>24</v>
      </c>
      <c r="L62" s="25" t="str">
        <f>+VLOOKUP(B62,[1]Balance_Gatún!$A$13:$AC$5087,11)</f>
        <v>XFILL_PMG100%</v>
      </c>
      <c r="M62" s="25">
        <f>+VLOOKUP(B62,[1]Balance_Gatún!$A$13:$AC$5087,12)</f>
        <v>10</v>
      </c>
      <c r="N62" s="25" t="str">
        <f>+VLOOKUP(B62,[1]Balance_Gatún!$A$13:$AC$5087,13)</f>
        <v>TA+CCL100%</v>
      </c>
      <c r="O62" s="25">
        <f>+VLOOKUP(B62,[1]Balance_Gatún!$A$13:$AC$5087,14)/408.7</f>
        <v>6.0651539239777517</v>
      </c>
      <c r="P62" s="24">
        <f>+VLOOKUP(B62,[1]Balance_Madden!$A$12:$V$5087,12)/35.32</f>
        <v>0.95740920059586365</v>
      </c>
      <c r="Q62" s="25">
        <f>+VLOOKUP(B62,[1]Balance_Gatún!$A$13:$AD$5087,15)/35.32</f>
        <v>9.8939568029652634</v>
      </c>
      <c r="R62" s="24">
        <f>+VLOOKUP(B62,[1]Balance_Madden!$A$12:$V$5087,14)/35.32</f>
        <v>13.21108983479745</v>
      </c>
      <c r="S62" s="26">
        <f>[1]Balance_Gatún!X61/35.32</f>
        <v>91.716986495199322</v>
      </c>
      <c r="T62" s="25">
        <v>15.347160410749455</v>
      </c>
      <c r="U62" s="25">
        <v>28.119303976807981</v>
      </c>
      <c r="V62" s="29">
        <f>LOOKUP(D62,[1]Parámetros!$A$7:$A$24,[1]Parámetros!$B$7:$B$24)</f>
        <v>49</v>
      </c>
      <c r="W62" s="30" t="str">
        <f t="shared" si="1"/>
        <v/>
      </c>
      <c r="X62" s="31" t="str">
        <f t="shared" si="3"/>
        <v/>
      </c>
      <c r="Y62" s="30" t="str">
        <f>IF($W62="Cambio Calado",COUNTIF($W$14:W62,"Cambio Calado"),"")</f>
        <v/>
      </c>
      <c r="Z62" s="31" t="str">
        <f t="shared" si="4"/>
        <v/>
      </c>
      <c r="AA62" s="30" t="str">
        <f t="shared" si="5"/>
        <v/>
      </c>
      <c r="AB62" s="29">
        <f>IFERROR(LOOKUP($A62,$Z$14:$Z62,$AA$14:$AA62),$U62)</f>
        <v>49</v>
      </c>
      <c r="AC62" s="32">
        <f>IFERROR($A63-LOOKUP($A63,$Z$14:$Z62),"")</f>
        <v>12</v>
      </c>
      <c r="AD62" s="1" cm="1">
        <f t="array" ref="AD62">IF(B62&lt;&gt;"",80,_xludf.NA())</f>
        <v>80</v>
      </c>
    </row>
    <row r="63" spans="1:30">
      <c r="A63" s="22">
        <f t="shared" si="0"/>
        <v>46253</v>
      </c>
      <c r="B63" s="9">
        <f>+[1]Balance_Madden!A61</f>
        <v>46253</v>
      </c>
      <c r="C63" s="24">
        <f>+VLOOKUP(B63,[1]Balance_Madden!$A$12:$E$5000,2)</f>
        <v>230.33</v>
      </c>
      <c r="D63" s="25">
        <f>+VLOOKUP(B63,[1]Balance_Gatún!$A$13:$E$5087,2)</f>
        <v>84.094999999999999</v>
      </c>
      <c r="E63" s="24">
        <f>+VLOOKUP(B63,[1]Balance_Madden!$A$12:$E$5087,5)/35.32</f>
        <v>45.116279728199324</v>
      </c>
      <c r="F63" s="26">
        <f>+VLOOKUP(B63,[1]Balance_Gatún!$A$13:$E$5087,5)/35.32</f>
        <v>36.682701019252548</v>
      </c>
      <c r="G63" s="24">
        <f>+VLOOKUP(B63,[1]Balance_Madden!$A$12:$K$5087,9)/111</f>
        <v>0</v>
      </c>
      <c r="H63" s="25">
        <f>+VLOOKUP(B63,[1]Balance_Gatún!$A$13:$U$5087,21)/186</f>
        <v>0</v>
      </c>
      <c r="I63" s="24">
        <f>+(VLOOKUP(B63,[1]Balance_Madden!$A$12:$K$5087,10)/35.32)+VLOOKUP(B63,[1]Balance_Madden!$A$12:$K$5087,11)/35.32</f>
        <v>0</v>
      </c>
      <c r="J63" s="25">
        <f>+VLOOKUP(B63,[1]Balance_Gatún!$A$13:$AD$5087,23)/35.32+ VLOOKUP(B63,[1]Balance_Gatún!$A$13:$AD$5087,17)/35.32</f>
        <v>0</v>
      </c>
      <c r="K63" s="24">
        <f>+VLOOKUP(B63,[1]Balance_Gatún!$A$13:$AC$5087,10)</f>
        <v>24</v>
      </c>
      <c r="L63" s="25" t="str">
        <f>+VLOOKUP(B63,[1]Balance_Gatún!$A$13:$AC$5087,11)</f>
        <v>XFILL_PMG100%</v>
      </c>
      <c r="M63" s="25">
        <f>+VLOOKUP(B63,[1]Balance_Gatún!$A$13:$AC$5087,12)</f>
        <v>10</v>
      </c>
      <c r="N63" s="25" t="str">
        <f>+VLOOKUP(B63,[1]Balance_Gatún!$A$13:$AC$5087,13)</f>
        <v>TA+CCL100%</v>
      </c>
      <c r="O63" s="25">
        <f>+VLOOKUP(B63,[1]Balance_Gatún!$A$13:$AC$5087,14)/408.7</f>
        <v>6.0575666259599421</v>
      </c>
      <c r="P63" s="24">
        <f>+VLOOKUP(B63,[1]Balance_Madden!$A$12:$V$5087,12)/35.32</f>
        <v>1.8950918869482938</v>
      </c>
      <c r="Q63" s="25">
        <f>+VLOOKUP(B63,[1]Balance_Gatún!$A$13:$AD$5087,15)/35.32</f>
        <v>19.54637173365434</v>
      </c>
      <c r="R63" s="24">
        <f>+VLOOKUP(B63,[1]Balance_Madden!$A$12:$V$5087,14)/35.32</f>
        <v>14.14877252114988</v>
      </c>
      <c r="S63" s="26">
        <f>[1]Balance_Gatún!X62/35.32</f>
        <v>101.28160616258492</v>
      </c>
      <c r="T63" s="25">
        <v>34.549242665960321</v>
      </c>
      <c r="U63" s="25">
        <v>21.891225596659709</v>
      </c>
      <c r="V63" s="29">
        <f>LOOKUP(D63,[1]Parámetros!$A$7:$A$24,[1]Parámetros!$B$7:$B$24)</f>
        <v>49</v>
      </c>
      <c r="W63" s="30" t="str">
        <f t="shared" si="1"/>
        <v/>
      </c>
      <c r="X63" s="31" t="str">
        <f t="shared" si="3"/>
        <v/>
      </c>
      <c r="Y63" s="30" t="str">
        <f>IF($W63="Cambio Calado",COUNTIF($W$14:W63,"Cambio Calado"),"")</f>
        <v/>
      </c>
      <c r="Z63" s="31" t="str">
        <f t="shared" si="4"/>
        <v/>
      </c>
      <c r="AA63" s="30" t="str">
        <f t="shared" si="5"/>
        <v/>
      </c>
      <c r="AB63" s="29">
        <f>IFERROR(LOOKUP($A63,$Z$14:$Z63,$AA$14:$AA63),$U63)</f>
        <v>49</v>
      </c>
      <c r="AC63" s="32">
        <f>IFERROR($A64-LOOKUP($A64,$Z$14:$Z63),"")</f>
        <v>13</v>
      </c>
      <c r="AD63" s="1" cm="1">
        <f t="array" ref="AD63">IF(B63&lt;&gt;"",80,_xludf.NA())</f>
        <v>80</v>
      </c>
    </row>
    <row r="64" spans="1:30">
      <c r="A64" s="22">
        <f t="shared" si="0"/>
        <v>46254</v>
      </c>
      <c r="B64" s="9">
        <f>+[1]Balance_Madden!A62</f>
        <v>46254</v>
      </c>
      <c r="C64" s="24">
        <f>+VLOOKUP(B64,[1]Balance_Madden!$A$12:$E$5000,2)</f>
        <v>230.44</v>
      </c>
      <c r="D64" s="25">
        <f>+VLOOKUP(B64,[1]Balance_Gatún!$A$13:$E$5087,2)</f>
        <v>84.051000000000002</v>
      </c>
      <c r="E64" s="24">
        <f>+VLOOKUP(B64,[1]Balance_Madden!$A$12:$E$5087,5)/35.32</f>
        <v>37.147848244620612</v>
      </c>
      <c r="F64" s="26">
        <f>+VLOOKUP(B64,[1]Balance_Gatún!$A$13:$E$5087,5)/35.32</f>
        <v>25.632870894677236</v>
      </c>
      <c r="G64" s="24">
        <f>+VLOOKUP(B64,[1]Balance_Madden!$A$12:$K$5087,9)/111</f>
        <v>0</v>
      </c>
      <c r="H64" s="25">
        <f>+VLOOKUP(B64,[1]Balance_Gatún!$A$13:$U$5087,21)/186</f>
        <v>0</v>
      </c>
      <c r="I64" s="24">
        <f>+(VLOOKUP(B64,[1]Balance_Madden!$A$12:$K$5087,10)/35.32)+VLOOKUP(B64,[1]Balance_Madden!$A$12:$K$5087,11)/35.32</f>
        <v>0</v>
      </c>
      <c r="J64" s="25">
        <f>+VLOOKUP(B64,[1]Balance_Gatún!$A$13:$AD$5087,23)/35.32+ VLOOKUP(B64,[1]Balance_Gatún!$A$13:$AD$5087,17)/35.32</f>
        <v>0</v>
      </c>
      <c r="K64" s="24">
        <f>+VLOOKUP(B64,[1]Balance_Gatún!$A$13:$AC$5087,10)</f>
        <v>24</v>
      </c>
      <c r="L64" s="25" t="str">
        <f>+VLOOKUP(B64,[1]Balance_Gatún!$A$13:$AC$5087,11)</f>
        <v>XFILL_PMG100%</v>
      </c>
      <c r="M64" s="25">
        <f>+VLOOKUP(B64,[1]Balance_Gatún!$A$13:$AC$5087,12)</f>
        <v>10</v>
      </c>
      <c r="N64" s="25" t="str">
        <f>+VLOOKUP(B64,[1]Balance_Gatún!$A$13:$AC$5087,13)</f>
        <v>TA+CCL100%</v>
      </c>
      <c r="O64" s="25">
        <f>+VLOOKUP(B64,[1]Balance_Gatún!$A$13:$AC$5087,14)/408.7</f>
        <v>6.0494241597944898</v>
      </c>
      <c r="P64" s="24">
        <f>+VLOOKUP(B64,[1]Balance_Madden!$A$12:$V$5087,12)/35.32</f>
        <v>2.6199438364051546</v>
      </c>
      <c r="Q64" s="25">
        <f>+VLOOKUP(B64,[1]Balance_Gatún!$A$13:$AD$5087,15)/35.32</f>
        <v>26.965857149859396</v>
      </c>
      <c r="R64" s="24">
        <f>+VLOOKUP(B64,[1]Balance_Madden!$A$12:$V$5087,14)/35.32</f>
        <v>14.873624470606739</v>
      </c>
      <c r="S64" s="26">
        <f>[1]Balance_Gatún!X63/35.32</f>
        <v>108.60687227183017</v>
      </c>
      <c r="T64" s="25">
        <v>27.938002018965356</v>
      </c>
      <c r="U64" s="25">
        <v>25.308225591594827</v>
      </c>
      <c r="V64" s="29">
        <f>LOOKUP(D64,[1]Parámetros!$A$7:$A$24,[1]Parámetros!$B$7:$B$24)</f>
        <v>49</v>
      </c>
      <c r="W64" s="30" t="str">
        <f t="shared" si="1"/>
        <v/>
      </c>
      <c r="X64" s="31" t="str">
        <f t="shared" si="3"/>
        <v/>
      </c>
      <c r="Y64" s="30" t="str">
        <f>IF($W64="Cambio Calado",COUNTIF($W$14:W64,"Cambio Calado"),"")</f>
        <v/>
      </c>
      <c r="Z64" s="31" t="str">
        <f t="shared" si="4"/>
        <v/>
      </c>
      <c r="AA64" s="30" t="str">
        <f t="shared" si="5"/>
        <v/>
      </c>
      <c r="AB64" s="29">
        <f>IFERROR(LOOKUP($A64,$Z$14:$Z64,$AA$14:$AA64),$U64)</f>
        <v>49</v>
      </c>
      <c r="AC64" s="32">
        <f>IFERROR($A65-LOOKUP($A65,$Z$14:$Z64),"")</f>
        <v>14</v>
      </c>
      <c r="AD64" s="1" cm="1">
        <f t="array" ref="AD64">IF(B64&lt;&gt;"",80,_xludf.NA())</f>
        <v>80</v>
      </c>
    </row>
    <row r="65" spans="1:30">
      <c r="A65" s="22">
        <f t="shared" si="0"/>
        <v>46255</v>
      </c>
      <c r="B65" s="9">
        <f>+[1]Balance_Madden!A63</f>
        <v>46255</v>
      </c>
      <c r="C65" s="24">
        <f>+VLOOKUP(B65,[1]Balance_Madden!$A$12:$E$5000,2)</f>
        <v>230.58</v>
      </c>
      <c r="D65" s="25">
        <f>+VLOOKUP(B65,[1]Balance_Gatún!$A$13:$E$5087,2)</f>
        <v>83.991</v>
      </c>
      <c r="E65" s="24">
        <f>+VLOOKUP(B65,[1]Balance_Madden!$A$12:$E$5087,5)/35.32</f>
        <v>33.776585503963759</v>
      </c>
      <c r="F65" s="26">
        <f>+VLOOKUP(B65,[1]Balance_Gatún!$A$13:$E$5087,5)/35.32</f>
        <v>26.454133635334088</v>
      </c>
      <c r="G65" s="24">
        <f>+VLOOKUP(B65,[1]Balance_Madden!$A$12:$K$5087,9)/111</f>
        <v>2.7027027027027026</v>
      </c>
      <c r="H65" s="25">
        <f>+VLOOKUP(B65,[1]Balance_Gatún!$A$13:$U$5087,21)/186</f>
        <v>0</v>
      </c>
      <c r="I65" s="24">
        <f>+(VLOOKUP(B65,[1]Balance_Madden!$A$12:$K$5087,10)/35.32)+VLOOKUP(B65,[1]Balance_Madden!$A$12:$K$5087,11)/35.32</f>
        <v>0</v>
      </c>
      <c r="J65" s="25">
        <f>+VLOOKUP(B65,[1]Balance_Gatún!$A$13:$AD$5087,23)/35.32+ VLOOKUP(B65,[1]Balance_Gatún!$A$13:$AD$5087,17)/35.32</f>
        <v>0</v>
      </c>
      <c r="K65" s="24">
        <f>+VLOOKUP(B65,[1]Balance_Gatún!$A$13:$AC$5087,10)</f>
        <v>24</v>
      </c>
      <c r="L65" s="25" t="str">
        <f>+VLOOKUP(B65,[1]Balance_Gatún!$A$13:$AC$5087,11)</f>
        <v>XFILL_PMG100%</v>
      </c>
      <c r="M65" s="25">
        <f>+VLOOKUP(B65,[1]Balance_Gatún!$A$13:$AC$5087,12)</f>
        <v>10</v>
      </c>
      <c r="N65" s="25" t="str">
        <f>+VLOOKUP(B65,[1]Balance_Gatún!$A$13:$AC$5087,13)</f>
        <v>TA+CCL100%</v>
      </c>
      <c r="O65" s="25">
        <f>+VLOOKUP(B65,[1]Balance_Gatún!$A$13:$AC$5087,14)/408.7</f>
        <v>6.0383207968415968</v>
      </c>
      <c r="P65" s="24">
        <f>+VLOOKUP(B65,[1]Balance_Madden!$A$12:$V$5087,12)/35.32</f>
        <v>2.2875373419826119</v>
      </c>
      <c r="Q65" s="25">
        <f>+VLOOKUP(B65,[1]Balance_Gatún!$A$13:$AD$5087,15)/35.32</f>
        <v>23.480427198173576</v>
      </c>
      <c r="R65" s="24">
        <f>+VLOOKUP(B65,[1]Balance_Madden!$A$12:$V$5087,14)/35.32</f>
        <v>23.034989210612281</v>
      </c>
      <c r="S65" s="26">
        <f>[1]Balance_Gatún!X64/35.32</f>
        <v>104.99296144701731</v>
      </c>
      <c r="T65" s="25">
        <v>43.116805062479528</v>
      </c>
      <c r="U65" s="25">
        <v>19.103404318615215</v>
      </c>
      <c r="V65" s="29">
        <f>LOOKUP(D65,[1]Parámetros!$A$7:$A$24,[1]Parámetros!$B$7:$B$24)</f>
        <v>48.5</v>
      </c>
      <c r="W65" s="30" t="str">
        <f t="shared" si="1"/>
        <v>Cambio Calado</v>
      </c>
      <c r="X65" s="31">
        <f t="shared" si="3"/>
        <v>46255</v>
      </c>
      <c r="Y65" s="30">
        <f>IF($W65="Cambio Calado",COUNTIF($W$14:W65,"Cambio Calado"),"")</f>
        <v>3</v>
      </c>
      <c r="Z65" s="31">
        <f t="shared" si="4"/>
        <v>46255</v>
      </c>
      <c r="AA65" s="30">
        <f t="shared" si="5"/>
        <v>48.5</v>
      </c>
      <c r="AB65" s="29">
        <f>IFERROR(LOOKUP($A65,$Z$14:$Z65,$AA$14:$AA65),$U65)</f>
        <v>48.5</v>
      </c>
      <c r="AC65" s="32">
        <f>IFERROR($A66-LOOKUP($A66,$Z$14:$Z65),"")</f>
        <v>1</v>
      </c>
      <c r="AD65" s="1" cm="1">
        <f t="array" ref="AD65">IF(B65&lt;&gt;"",80,_xludf.NA())</f>
        <v>80</v>
      </c>
    </row>
    <row r="66" spans="1:30">
      <c r="A66" s="22">
        <f t="shared" si="0"/>
        <v>46256</v>
      </c>
      <c r="B66" s="9">
        <f>+[1]Balance_Madden!A64</f>
        <v>46256</v>
      </c>
      <c r="C66" s="24">
        <f>+VLOOKUP(B66,[1]Balance_Madden!$A$12:$E$5000,2)</f>
        <v>230.79</v>
      </c>
      <c r="D66" s="25">
        <f>+VLOOKUP(B66,[1]Balance_Gatún!$A$13:$E$5087,2)</f>
        <v>83.971000000000004</v>
      </c>
      <c r="E66" s="24">
        <f>+VLOOKUP(B66,[1]Balance_Madden!$A$12:$E$5087,5)/35.32</f>
        <v>48.344762174405439</v>
      </c>
      <c r="F66" s="26">
        <f>+VLOOKUP(B66,[1]Balance_Gatún!$A$13:$E$5087,5)/35.32</f>
        <v>32.026840317100799</v>
      </c>
      <c r="G66" s="24">
        <f>+VLOOKUP(B66,[1]Balance_Madden!$A$12:$K$5087,9)/111</f>
        <v>2.7027027027027026</v>
      </c>
      <c r="H66" s="25">
        <f>+VLOOKUP(B66,[1]Balance_Gatún!$A$13:$U$5087,21)/186</f>
        <v>0</v>
      </c>
      <c r="I66" s="24">
        <f>+(VLOOKUP(B66,[1]Balance_Madden!$A$12:$K$5087,10)/35.32)+VLOOKUP(B66,[1]Balance_Madden!$A$12:$K$5087,11)/35.32</f>
        <v>0</v>
      </c>
      <c r="J66" s="25">
        <f>+VLOOKUP(B66,[1]Balance_Gatún!$A$13:$AD$5087,23)/35.32+ VLOOKUP(B66,[1]Balance_Gatún!$A$13:$AD$5087,17)/35.32</f>
        <v>0</v>
      </c>
      <c r="K66" s="24">
        <f>+VLOOKUP(B66,[1]Balance_Gatún!$A$13:$AC$5087,10)</f>
        <v>24</v>
      </c>
      <c r="L66" s="25" t="str">
        <f>+VLOOKUP(B66,[1]Balance_Gatún!$A$13:$AC$5087,11)</f>
        <v>XFILL_PMG100%</v>
      </c>
      <c r="M66" s="25">
        <f>+VLOOKUP(B66,[1]Balance_Gatún!$A$13:$AC$5087,12)</f>
        <v>10</v>
      </c>
      <c r="N66" s="25" t="str">
        <f>+VLOOKUP(B66,[1]Balance_Gatún!$A$13:$AC$5087,13)</f>
        <v>TA+CCL100%</v>
      </c>
      <c r="O66" s="25">
        <f>+VLOOKUP(B66,[1]Balance_Gatún!$A$13:$AC$5087,14)/408.7</f>
        <v>6.034619675857301</v>
      </c>
      <c r="P66" s="24">
        <f>+VLOOKUP(B66,[1]Balance_Madden!$A$12:$V$5087,12)/35.32</f>
        <v>2.3581417076675275</v>
      </c>
      <c r="Q66" s="25">
        <f>+VLOOKUP(B66,[1]Balance_Gatún!$A$13:$AD$5087,15)/35.32</f>
        <v>24.128078650099226</v>
      </c>
      <c r="R66" s="24">
        <f>+VLOOKUP(B66,[1]Balance_Madden!$A$12:$V$5087,14)/35.32</f>
        <v>23.105593576297196</v>
      </c>
      <c r="S66" s="26">
        <f>[1]Balance_Gatún!X65/35.32</f>
        <v>105.59778594123397</v>
      </c>
      <c r="T66" s="25">
        <v>32.629790076573506</v>
      </c>
      <c r="U66" s="25">
        <v>27.198264263303258</v>
      </c>
      <c r="V66" s="29">
        <f>LOOKUP(D66,[1]Parámetros!$A$7:$A$24,[1]Parámetros!$B$7:$B$24)</f>
        <v>48.5</v>
      </c>
      <c r="W66" s="30" t="str">
        <f t="shared" si="1"/>
        <v/>
      </c>
      <c r="X66" s="31" t="str">
        <f t="shared" si="3"/>
        <v/>
      </c>
      <c r="Y66" s="30" t="str">
        <f>IF($W66="Cambio Calado",COUNTIF($W$14:W66,"Cambio Calado"),"")</f>
        <v/>
      </c>
      <c r="Z66" s="31" t="str">
        <f t="shared" si="4"/>
        <v/>
      </c>
      <c r="AA66" s="30" t="str">
        <f t="shared" si="5"/>
        <v/>
      </c>
      <c r="AB66" s="29">
        <f>IFERROR(LOOKUP($A66,$Z$14:$Z66,$AA$14:$AA66),$U66)</f>
        <v>48.5</v>
      </c>
      <c r="AC66" s="32">
        <f>IFERROR($A67-LOOKUP($A67,$Z$14:$Z66),"")</f>
        <v>2</v>
      </c>
      <c r="AD66" s="1" cm="1">
        <f t="array" ref="AD66">IF(B66&lt;&gt;"",80,_xludf.NA())</f>
        <v>80</v>
      </c>
    </row>
    <row r="67" spans="1:30">
      <c r="A67" s="22">
        <f t="shared" si="0"/>
        <v>46257</v>
      </c>
      <c r="B67" s="9">
        <f>+[1]Balance_Madden!A65</f>
        <v>46257</v>
      </c>
      <c r="C67" s="24">
        <f>+VLOOKUP(B67,[1]Balance_Madden!$A$12:$E$5000,2)</f>
        <v>231.52</v>
      </c>
      <c r="D67" s="25">
        <f>+VLOOKUP(B67,[1]Balance_Gatún!$A$13:$E$5087,2)</f>
        <v>83.929000000000002</v>
      </c>
      <c r="E67" s="24">
        <f>+VLOOKUP(B67,[1]Balance_Madden!$A$12:$E$5087,5)/35.32</f>
        <v>37.167921857304641</v>
      </c>
      <c r="F67" s="26">
        <f>+VLOOKUP(B67,[1]Balance_Gatún!$A$13:$E$5087,5)/35.32</f>
        <v>30.062740656851641</v>
      </c>
      <c r="G67" s="24">
        <f>+VLOOKUP(B67,[1]Balance_Madden!$A$12:$K$5087,9)/111</f>
        <v>2.7027027027027026</v>
      </c>
      <c r="H67" s="25">
        <f>+VLOOKUP(B67,[1]Balance_Gatún!$A$13:$U$5087,21)/186</f>
        <v>0</v>
      </c>
      <c r="I67" s="24">
        <f>+(VLOOKUP(B67,[1]Balance_Madden!$A$12:$K$5087,10)/35.32)+VLOOKUP(B67,[1]Balance_Madden!$A$12:$K$5087,11)/35.32</f>
        <v>0</v>
      </c>
      <c r="J67" s="25">
        <f>+VLOOKUP(B67,[1]Balance_Gatún!$A$13:$AD$5087,23)/35.32+ VLOOKUP(B67,[1]Balance_Gatún!$A$13:$AD$5087,17)/35.32</f>
        <v>0</v>
      </c>
      <c r="K67" s="24">
        <f>+VLOOKUP(B67,[1]Balance_Gatún!$A$13:$AC$5087,10)</f>
        <v>24</v>
      </c>
      <c r="L67" s="25" t="str">
        <f>+VLOOKUP(B67,[1]Balance_Gatún!$A$13:$AC$5087,11)</f>
        <v>XFILL_PMG100%</v>
      </c>
      <c r="M67" s="25">
        <f>+VLOOKUP(B67,[1]Balance_Gatún!$A$13:$AC$5087,12)</f>
        <v>10</v>
      </c>
      <c r="N67" s="25" t="str">
        <f>+VLOOKUP(B67,[1]Balance_Gatún!$A$13:$AC$5087,13)</f>
        <v>TA+CCL100%</v>
      </c>
      <c r="O67" s="25">
        <f>+VLOOKUP(B67,[1]Balance_Gatún!$A$13:$AC$5087,14)/408.7</f>
        <v>6.026847321790278</v>
      </c>
      <c r="P67" s="24">
        <f>+VLOOKUP(B67,[1]Balance_Madden!$A$12:$V$5087,12)/35.32</f>
        <v>2.1232837186108946</v>
      </c>
      <c r="Q67" s="25">
        <f>+VLOOKUP(B67,[1]Balance_Gatún!$A$13:$AD$5087,15)/35.32</f>
        <v>21.493956716813653</v>
      </c>
      <c r="R67" s="24">
        <f>+VLOOKUP(B67,[1]Balance_Madden!$A$12:$V$5087,14)/35.32</f>
        <v>22.870735587240564</v>
      </c>
      <c r="S67" s="26">
        <f>[1]Balance_Gatún!X66/35.32</f>
        <v>102.87372739675948</v>
      </c>
      <c r="T67" s="25">
        <v>30.806257871366842</v>
      </c>
      <c r="U67" s="25">
        <v>22.56107787988439</v>
      </c>
      <c r="V67" s="29">
        <f>LOOKUP(D67,[1]Parámetros!$A$7:$A$24,[1]Parámetros!$B$7:$B$24)</f>
        <v>48.5</v>
      </c>
      <c r="W67" s="30" t="str">
        <f t="shared" si="1"/>
        <v/>
      </c>
      <c r="X67" s="31" t="str">
        <f t="shared" si="3"/>
        <v/>
      </c>
      <c r="Y67" s="30" t="str">
        <f>IF($W67="Cambio Calado",COUNTIF($W$14:W67,"Cambio Calado"),"")</f>
        <v/>
      </c>
      <c r="Z67" s="31" t="str">
        <f t="shared" si="4"/>
        <v/>
      </c>
      <c r="AA67" s="30" t="str">
        <f t="shared" si="5"/>
        <v/>
      </c>
      <c r="AB67" s="29">
        <f>IFERROR(LOOKUP($A67,$Z$14:$Z67,$AA$14:$AA67),$U67)</f>
        <v>48.5</v>
      </c>
      <c r="AC67" s="32">
        <f>IFERROR($A68-LOOKUP($A68,$Z$14:$Z67),"")</f>
        <v>3</v>
      </c>
      <c r="AD67" s="1" cm="1">
        <f t="array" ref="AD67">IF(B67&lt;&gt;"",80,_xludf.NA())</f>
        <v>80</v>
      </c>
    </row>
    <row r="68" spans="1:30">
      <c r="A68" s="22">
        <f t="shared" si="0"/>
        <v>46258</v>
      </c>
      <c r="B68" s="9">
        <f>+[1]Balance_Madden!A66</f>
        <v>46258</v>
      </c>
      <c r="C68" s="24">
        <f>+VLOOKUP(B68,[1]Balance_Madden!$A$12:$E$5000,2)</f>
        <v>231.75</v>
      </c>
      <c r="D68" s="25">
        <f>+VLOOKUP(B68,[1]Balance_Gatún!$A$13:$E$5087,2)</f>
        <v>83.869</v>
      </c>
      <c r="E68" s="24">
        <f>+VLOOKUP(B68,[1]Balance_Madden!$A$12:$E$5087,5)/35.32</f>
        <v>32.604898074745186</v>
      </c>
      <c r="F68" s="26">
        <f>+VLOOKUP(B68,[1]Balance_Gatún!$A$13:$E$5087,5)/35.32</f>
        <v>23.551896942242355</v>
      </c>
      <c r="G68" s="24">
        <f>+VLOOKUP(B68,[1]Balance_Madden!$A$12:$K$5087,9)/111</f>
        <v>2.7027027027027026</v>
      </c>
      <c r="H68" s="25">
        <f>+VLOOKUP(B68,[1]Balance_Gatún!$A$13:$U$5087,21)/186</f>
        <v>0</v>
      </c>
      <c r="I68" s="24">
        <f>+(VLOOKUP(B68,[1]Balance_Madden!$A$12:$K$5087,10)/35.32)+VLOOKUP(B68,[1]Balance_Madden!$A$12:$K$5087,11)/35.32</f>
        <v>0</v>
      </c>
      <c r="J68" s="25">
        <f>+VLOOKUP(B68,[1]Balance_Gatún!$A$13:$AD$5087,23)/35.32+ VLOOKUP(B68,[1]Balance_Gatún!$A$13:$AD$5087,17)/35.32</f>
        <v>0</v>
      </c>
      <c r="K68" s="24">
        <f>+VLOOKUP(B68,[1]Balance_Gatún!$A$13:$AC$5087,10)</f>
        <v>24</v>
      </c>
      <c r="L68" s="25" t="str">
        <f>+VLOOKUP(B68,[1]Balance_Gatún!$A$13:$AC$5087,11)</f>
        <v>XFILL_PMG100%</v>
      </c>
      <c r="M68" s="25">
        <f>+VLOOKUP(B68,[1]Balance_Gatún!$A$13:$AC$5087,12)</f>
        <v>10</v>
      </c>
      <c r="N68" s="25" t="str">
        <f>+VLOOKUP(B68,[1]Balance_Gatún!$A$13:$AC$5087,13)</f>
        <v>TA+CCL100%</v>
      </c>
      <c r="O68" s="25">
        <f>+VLOOKUP(B68,[1]Balance_Gatún!$A$13:$AC$5087,14)/408.7</f>
        <v>6.015743958837386</v>
      </c>
      <c r="P68" s="24">
        <f>+VLOOKUP(B68,[1]Balance_Madden!$A$12:$V$5087,12)/35.32</f>
        <v>1.8989934002273319</v>
      </c>
      <c r="Q68" s="25">
        <f>+VLOOKUP(B68,[1]Balance_Gatún!$A$13:$AD$5087,15)/35.32</f>
        <v>19.147529703997733</v>
      </c>
      <c r="R68" s="24">
        <f>+VLOOKUP(B68,[1]Balance_Madden!$A$12:$V$5087,14)/35.32</f>
        <v>22.646445268857001</v>
      </c>
      <c r="S68" s="26">
        <f>[1]Balance_Gatún!X67/35.32</f>
        <v>100.39881951081652</v>
      </c>
      <c r="T68" s="25">
        <v>43.836846218050006</v>
      </c>
      <c r="U68" s="25">
        <v>21.870665446627079</v>
      </c>
      <c r="V68" s="29">
        <f>LOOKUP(D68,[1]Parámetros!$A$7:$A$24,[1]Parámetros!$B$7:$B$24)</f>
        <v>48.5</v>
      </c>
      <c r="W68" s="30" t="str">
        <f t="shared" si="1"/>
        <v/>
      </c>
      <c r="X68" s="31" t="str">
        <f t="shared" si="3"/>
        <v/>
      </c>
      <c r="Y68" s="30" t="str">
        <f>IF($W68="Cambio Calado",COUNTIF($W$14:W68,"Cambio Calado"),"")</f>
        <v/>
      </c>
      <c r="Z68" s="31" t="str">
        <f t="shared" si="4"/>
        <v/>
      </c>
      <c r="AA68" s="30" t="str">
        <f t="shared" si="5"/>
        <v/>
      </c>
      <c r="AB68" s="29">
        <f>IFERROR(LOOKUP($A68,$Z$14:$Z68,$AA$14:$AA68),$U68)</f>
        <v>48.5</v>
      </c>
      <c r="AC68" s="32">
        <f>IFERROR($A69-LOOKUP($A69,$Z$14:$Z68),"")</f>
        <v>4</v>
      </c>
      <c r="AD68" s="1" cm="1">
        <f t="array" ref="AD68">IF(B68&lt;&gt;"",80,_xludf.NA())</f>
        <v>80</v>
      </c>
    </row>
    <row r="69" spans="1:30">
      <c r="A69" s="22">
        <f t="shared" si="0"/>
        <v>46259</v>
      </c>
      <c r="B69" s="9">
        <f>+[1]Balance_Madden!A67</f>
        <v>46259</v>
      </c>
      <c r="C69" s="24">
        <f>+VLOOKUP(B69,[1]Balance_Madden!$A$12:$E$5000,2)</f>
        <v>231.88</v>
      </c>
      <c r="D69" s="25">
        <f>+VLOOKUP(B69,[1]Balance_Gatún!$A$13:$E$5087,2)</f>
        <v>83.844999999999999</v>
      </c>
      <c r="E69" s="24">
        <f>+VLOOKUP(B69,[1]Balance_Madden!$A$12:$E$5087,5)/35.32</f>
        <v>32.336466591166477</v>
      </c>
      <c r="F69" s="26">
        <f>+VLOOKUP(B69,[1]Balance_Gatún!$A$13:$E$5087,5)/35.32</f>
        <v>76.021489241223108</v>
      </c>
      <c r="G69" s="24">
        <f>+VLOOKUP(B69,[1]Balance_Madden!$A$12:$K$5087,9)/111</f>
        <v>2.7027027027027026</v>
      </c>
      <c r="H69" s="25">
        <f>+VLOOKUP(B69,[1]Balance_Gatún!$A$13:$U$5087,21)/186</f>
        <v>0</v>
      </c>
      <c r="I69" s="24">
        <f>+(VLOOKUP(B69,[1]Balance_Madden!$A$12:$K$5087,10)/35.32)+VLOOKUP(B69,[1]Balance_Madden!$A$12:$K$5087,11)/35.32</f>
        <v>0</v>
      </c>
      <c r="J69" s="25">
        <f>+VLOOKUP(B69,[1]Balance_Gatún!$A$13:$AD$5087,23)/35.32+ VLOOKUP(B69,[1]Balance_Gatún!$A$13:$AD$5087,17)/35.32</f>
        <v>0</v>
      </c>
      <c r="K69" s="24">
        <f>+VLOOKUP(B69,[1]Balance_Gatún!$A$13:$AC$5087,10)</f>
        <v>24</v>
      </c>
      <c r="L69" s="25" t="str">
        <f>+VLOOKUP(B69,[1]Balance_Gatún!$A$13:$AC$5087,11)</f>
        <v>XFILL_PMG100%</v>
      </c>
      <c r="M69" s="25">
        <f>+VLOOKUP(B69,[1]Balance_Gatún!$A$13:$AC$5087,12)</f>
        <v>10</v>
      </c>
      <c r="N69" s="25" t="str">
        <f>+VLOOKUP(B69,[1]Balance_Gatún!$A$13:$AC$5087,13)</f>
        <v>TA+CCL100%</v>
      </c>
      <c r="O69" s="25">
        <f>+VLOOKUP(B69,[1]Balance_Gatún!$A$13:$AC$5087,14)/408.7</f>
        <v>6.0113026136562304</v>
      </c>
      <c r="P69" s="24">
        <f>+VLOOKUP(B69,[1]Balance_Madden!$A$12:$V$5087,12)/35.32</f>
        <v>1.4996919651508314</v>
      </c>
      <c r="Q69" s="25">
        <f>+VLOOKUP(B69,[1]Balance_Gatún!$A$13:$AD$5087,15)/35.32</f>
        <v>15.089542895543737</v>
      </c>
      <c r="R69" s="24">
        <f>+VLOOKUP(B69,[1]Balance_Madden!$A$12:$V$5087,14)/35.32</f>
        <v>22.247143833780502</v>
      </c>
      <c r="S69" s="26">
        <f>[1]Balance_Gatún!X68/35.32</f>
        <v>96.289440353111729</v>
      </c>
      <c r="T69" s="25">
        <v>35.299781612116988</v>
      </c>
      <c r="U69" s="25">
        <v>29.358718025440297</v>
      </c>
      <c r="V69" s="29">
        <f>LOOKUP(D69,[1]Parámetros!$A$7:$A$24,[1]Parámetros!$B$7:$B$24)</f>
        <v>48.5</v>
      </c>
      <c r="W69" s="30" t="str">
        <f t="shared" si="1"/>
        <v/>
      </c>
      <c r="X69" s="31" t="str">
        <f t="shared" si="3"/>
        <v/>
      </c>
      <c r="Y69" s="30" t="str">
        <f>IF($W69="Cambio Calado",COUNTIF($W$14:W69,"Cambio Calado"),"")</f>
        <v/>
      </c>
      <c r="Z69" s="31" t="str">
        <f t="shared" si="4"/>
        <v/>
      </c>
      <c r="AA69" s="30" t="str">
        <f t="shared" si="5"/>
        <v/>
      </c>
      <c r="AB69" s="29">
        <f>IFERROR(LOOKUP($A69,$Z$14:$Z69,$AA$14:$AA69),$U69)</f>
        <v>48.5</v>
      </c>
      <c r="AC69" s="32">
        <f>IFERROR($A70-LOOKUP($A70,$Z$14:$Z69),"")</f>
        <v>5</v>
      </c>
      <c r="AD69" s="1" cm="1">
        <f t="array" ref="AD69">IF(B69&lt;&gt;"",80,_xludf.NA())</f>
        <v>80</v>
      </c>
    </row>
    <row r="70" spans="1:30">
      <c r="A70" s="22">
        <f t="shared" si="0"/>
        <v>46260</v>
      </c>
      <c r="B70" s="9">
        <f>+[1]Balance_Madden!A68</f>
        <v>46260</v>
      </c>
      <c r="C70" s="24">
        <f>+VLOOKUP(B70,[1]Balance_Madden!$A$12:$E$5000,2)</f>
        <v>232.04</v>
      </c>
      <c r="D70" s="25">
        <f>+VLOOKUP(B70,[1]Balance_Gatún!$A$13:$E$5087,2)</f>
        <v>83.8</v>
      </c>
      <c r="E70" s="24">
        <f>+VLOOKUP(B70,[1]Balance_Madden!$A$12:$E$5087,5)/35.32</f>
        <v>99.708408833522086</v>
      </c>
      <c r="F70" s="26">
        <f>+VLOOKUP(B70,[1]Balance_Gatún!$A$13:$E$5087,5)/35.32</f>
        <v>49.786693091732722</v>
      </c>
      <c r="G70" s="24">
        <f>+VLOOKUP(B70,[1]Balance_Madden!$A$12:$K$5087,9)/111</f>
        <v>2.7027027027027026</v>
      </c>
      <c r="H70" s="25">
        <f>+VLOOKUP(B70,[1]Balance_Gatún!$A$13:$U$5087,21)/186</f>
        <v>0</v>
      </c>
      <c r="I70" s="24">
        <f>+(VLOOKUP(B70,[1]Balance_Madden!$A$12:$K$5087,10)/35.32)+VLOOKUP(B70,[1]Balance_Madden!$A$12:$K$5087,11)/35.32</f>
        <v>0</v>
      </c>
      <c r="J70" s="25">
        <f>+VLOOKUP(B70,[1]Balance_Gatún!$A$13:$AD$5087,23)/35.32+ VLOOKUP(B70,[1]Balance_Gatún!$A$13:$AD$5087,17)/35.32</f>
        <v>0</v>
      </c>
      <c r="K70" s="24">
        <f>+VLOOKUP(B70,[1]Balance_Gatún!$A$13:$AC$5087,10)</f>
        <v>24</v>
      </c>
      <c r="L70" s="25" t="str">
        <f>+VLOOKUP(B70,[1]Balance_Gatún!$A$13:$AC$5087,11)</f>
        <v>XFILL_PMG100%</v>
      </c>
      <c r="M70" s="25">
        <f>+VLOOKUP(B70,[1]Balance_Gatún!$A$13:$AC$5087,12)</f>
        <v>10</v>
      </c>
      <c r="N70" s="25" t="str">
        <f>+VLOOKUP(B70,[1]Balance_Gatún!$A$13:$AC$5087,13)</f>
        <v>TA+CCL100%</v>
      </c>
      <c r="O70" s="25">
        <f>+VLOOKUP(B70,[1]Balance_Gatún!$A$13:$AC$5087,14)/408.7</f>
        <v>6.002975091441562</v>
      </c>
      <c r="P70" s="24">
        <f>+VLOOKUP(B70,[1]Balance_Madden!$A$12:$V$5087,12)/35.32</f>
        <v>0.61638233560019806</v>
      </c>
      <c r="Q70" s="25">
        <f>+VLOOKUP(B70,[1]Balance_Gatún!$A$13:$AD$5087,15)/35.32</f>
        <v>6.1846108680145395</v>
      </c>
      <c r="R70" s="24">
        <f>+VLOOKUP(B70,[1]Balance_Madden!$A$12:$V$5087,14)/35.32</f>
        <v>21.363834204229867</v>
      </c>
      <c r="S70" s="26">
        <f>[1]Balance_Gatún!X69/35.32</f>
        <v>87.28814767073726</v>
      </c>
      <c r="T70" s="25">
        <v>136.38732333840935</v>
      </c>
      <c r="U70" s="25">
        <v>29.047012019575938</v>
      </c>
      <c r="V70" s="29">
        <f>LOOKUP(D70,[1]Parámetros!$A$7:$A$24,[1]Parámetros!$B$7:$B$24)</f>
        <v>48.5</v>
      </c>
      <c r="W70" s="30" t="str">
        <f t="shared" si="1"/>
        <v/>
      </c>
      <c r="X70" s="31" t="str">
        <f t="shared" si="3"/>
        <v/>
      </c>
      <c r="Y70" s="30" t="str">
        <f>IF($W70="Cambio Calado",COUNTIF($W$14:W70,"Cambio Calado"),"")</f>
        <v/>
      </c>
      <c r="Z70" s="31" t="str">
        <f t="shared" si="4"/>
        <v/>
      </c>
      <c r="AA70" s="30" t="str">
        <f t="shared" si="5"/>
        <v/>
      </c>
      <c r="AB70" s="29">
        <f>IFERROR(LOOKUP($A70,$Z$14:$Z70,$AA$14:$AA70),$U70)</f>
        <v>48.5</v>
      </c>
      <c r="AC70" s="32">
        <f>IFERROR($A71-LOOKUP($A71,$Z$14:$Z70),"")</f>
        <v>6</v>
      </c>
      <c r="AD70" s="1" cm="1">
        <f t="array" ref="AD70">IF(B70&lt;&gt;"",80,_xludf.NA())</f>
        <v>80</v>
      </c>
    </row>
    <row r="71" spans="1:30">
      <c r="A71" s="22">
        <f t="shared" si="0"/>
        <v>46261</v>
      </c>
      <c r="B71" s="9">
        <f>+[1]Balance_Madden!A69</f>
        <v>46261</v>
      </c>
      <c r="C71" s="24">
        <f>+VLOOKUP(B71,[1]Balance_Madden!$A$12:$E$5000,2)</f>
        <v>232.27</v>
      </c>
      <c r="D71" s="25">
        <f>+VLOOKUP(B71,[1]Balance_Gatún!$A$13:$E$5087,2)</f>
        <v>83.843000000000004</v>
      </c>
      <c r="E71" s="24">
        <f>+VLOOKUP(B71,[1]Balance_Madden!$A$12:$E$5087,5)/35.32</f>
        <v>44.146687429218574</v>
      </c>
      <c r="F71" s="26">
        <f>+VLOOKUP(B71,[1]Balance_Gatún!$A$13:$E$5087,5)/35.32</f>
        <v>44.233352208380516</v>
      </c>
      <c r="G71" s="24">
        <f>+VLOOKUP(B71,[1]Balance_Madden!$A$12:$K$5087,9)/111</f>
        <v>2.7027027027027026</v>
      </c>
      <c r="H71" s="25">
        <f>+VLOOKUP(B71,[1]Balance_Gatún!$A$13:$U$5087,21)/186</f>
        <v>0</v>
      </c>
      <c r="I71" s="24">
        <f>+(VLOOKUP(B71,[1]Balance_Madden!$A$12:$K$5087,10)/35.32)+VLOOKUP(B71,[1]Balance_Madden!$A$12:$K$5087,11)/35.32</f>
        <v>0</v>
      </c>
      <c r="J71" s="25">
        <f>+VLOOKUP(B71,[1]Balance_Gatún!$A$13:$AD$5087,23)/35.32+ VLOOKUP(B71,[1]Balance_Gatún!$A$13:$AD$5087,17)/35.32</f>
        <v>0</v>
      </c>
      <c r="K71" s="24">
        <f>+VLOOKUP(B71,[1]Balance_Gatún!$A$13:$AC$5087,10)</f>
        <v>24</v>
      </c>
      <c r="L71" s="25" t="str">
        <f>+VLOOKUP(B71,[1]Balance_Gatún!$A$13:$AC$5087,11)</f>
        <v>XFILL_PMG100%</v>
      </c>
      <c r="M71" s="25">
        <f>+VLOOKUP(B71,[1]Balance_Gatún!$A$13:$AC$5087,12)</f>
        <v>10</v>
      </c>
      <c r="N71" s="25" t="str">
        <f>+VLOOKUP(B71,[1]Balance_Gatún!$A$13:$AC$5087,13)</f>
        <v>TA+CCL100%</v>
      </c>
      <c r="O71" s="25">
        <f>+VLOOKUP(B71,[1]Balance_Gatún!$A$13:$AC$5087,14)/408.7</f>
        <v>6.010932501557801</v>
      </c>
      <c r="P71" s="24">
        <f>+VLOOKUP(B71,[1]Balance_Madden!$A$12:$V$5087,12)/35.32</f>
        <v>0.51360923009249959</v>
      </c>
      <c r="Q71" s="25">
        <f>+VLOOKUP(B71,[1]Balance_Gatún!$A$13:$AD$5087,15)/35.32</f>
        <v>5.1399230633559378</v>
      </c>
      <c r="R71" s="24">
        <f>+VLOOKUP(B71,[1]Balance_Madden!$A$12:$V$5087,14)/35.32</f>
        <v>21.26106109872217</v>
      </c>
      <c r="S71" s="26">
        <f>[1]Balance_Gatún!X70/35.32</f>
        <v>86.335537825153025</v>
      </c>
      <c r="T71" s="25">
        <v>62.622801902766405</v>
      </c>
      <c r="U71" s="25">
        <v>30.440860926161371</v>
      </c>
      <c r="V71" s="29">
        <f>LOOKUP(D71,[1]Parámetros!$A$7:$A$24,[1]Parámetros!$B$7:$B$24)</f>
        <v>48.5</v>
      </c>
      <c r="W71" s="30" t="str">
        <f t="shared" si="1"/>
        <v/>
      </c>
      <c r="X71" s="31" t="str">
        <f t="shared" si="3"/>
        <v/>
      </c>
      <c r="Y71" s="30" t="str">
        <f>IF($W71="Cambio Calado",COUNTIF($W$14:W71,"Cambio Calado"),"")</f>
        <v/>
      </c>
      <c r="Z71" s="31" t="str">
        <f t="shared" si="4"/>
        <v/>
      </c>
      <c r="AA71" s="30" t="str">
        <f t="shared" si="5"/>
        <v/>
      </c>
      <c r="AB71" s="29">
        <f>IFERROR(LOOKUP($A71,$Z$14:$Z71,$AA$14:$AA71),$U71)</f>
        <v>48.5</v>
      </c>
      <c r="AC71" s="32">
        <f>IFERROR($A72-LOOKUP($A72,$Z$14:$Z71),"")</f>
        <v>7</v>
      </c>
      <c r="AD71" s="1" cm="1">
        <f t="array" ref="AD71">IF(B71&lt;&gt;"",80,_xludf.NA())</f>
        <v>80</v>
      </c>
    </row>
    <row r="72" spans="1:30">
      <c r="A72" s="22">
        <f t="shared" si="0"/>
        <v>46262</v>
      </c>
      <c r="B72" s="9">
        <f>+[1]Balance_Madden!A70</f>
        <v>46262</v>
      </c>
      <c r="C72" s="24">
        <f>+VLOOKUP(B72,[1]Balance_Madden!$A$12:$E$5000,2)</f>
        <v>232.97</v>
      </c>
      <c r="D72" s="25">
        <f>+VLOOKUP(B72,[1]Balance_Gatún!$A$13:$E$5087,2)</f>
        <v>83.882000000000005</v>
      </c>
      <c r="E72" s="24">
        <f>+VLOOKUP(B72,[1]Balance_Madden!$A$12:$E$5087,5)/35.32</f>
        <v>36.631087202718007</v>
      </c>
      <c r="F72" s="26">
        <f>+VLOOKUP(B72,[1]Balance_Gatún!$A$13:$E$5087,5)/35.32</f>
        <v>37.818261608154017</v>
      </c>
      <c r="G72" s="24">
        <f>+VLOOKUP(B72,[1]Balance_Madden!$A$12:$K$5087,9)/111</f>
        <v>2.7027027027027026</v>
      </c>
      <c r="H72" s="25">
        <f>+VLOOKUP(B72,[1]Balance_Gatún!$A$13:$U$5087,21)/186</f>
        <v>0</v>
      </c>
      <c r="I72" s="24">
        <f>+(VLOOKUP(B72,[1]Balance_Madden!$A$12:$K$5087,10)/35.32)+VLOOKUP(B72,[1]Balance_Madden!$A$12:$K$5087,11)/35.32</f>
        <v>0</v>
      </c>
      <c r="J72" s="25">
        <f>+VLOOKUP(B72,[1]Balance_Gatún!$A$13:$AD$5087,23)/35.32+ VLOOKUP(B72,[1]Balance_Gatún!$A$13:$AD$5087,17)/35.32</f>
        <v>0</v>
      </c>
      <c r="K72" s="24">
        <f>+VLOOKUP(B72,[1]Balance_Gatún!$A$13:$AC$5087,10)</f>
        <v>24</v>
      </c>
      <c r="L72" s="25" t="str">
        <f>+VLOOKUP(B72,[1]Balance_Gatún!$A$13:$AC$5087,11)</f>
        <v>XFILL_PMG100%</v>
      </c>
      <c r="M72" s="25">
        <f>+VLOOKUP(B72,[1]Balance_Gatún!$A$13:$AC$5087,12)</f>
        <v>10</v>
      </c>
      <c r="N72" s="25" t="str">
        <f>+VLOOKUP(B72,[1]Balance_Gatún!$A$13:$AC$5087,13)</f>
        <v>TA+CCL100%</v>
      </c>
      <c r="O72" s="25">
        <f>+VLOOKUP(B72,[1]Balance_Gatún!$A$13:$AC$5087,14)/408.7</f>
        <v>6.0181496874771812</v>
      </c>
      <c r="P72" s="24">
        <f>+VLOOKUP(B72,[1]Balance_Madden!$A$12:$V$5087,12)/35.32</f>
        <v>1.4435622163737518</v>
      </c>
      <c r="Q72" s="25">
        <f>+VLOOKUP(B72,[1]Balance_Gatún!$A$13:$AD$5087,15)/35.32</f>
        <v>14.315176138165613</v>
      </c>
      <c r="R72" s="24">
        <f>+VLOOKUP(B72,[1]Balance_Madden!$A$12:$V$5087,14)/35.32</f>
        <v>22.19101408500342</v>
      </c>
      <c r="S72" s="26">
        <f>[1]Balance_Gatún!X71/35.32</f>
        <v>95.59430346749528</v>
      </c>
      <c r="T72" s="25">
        <v>96.045098294117167</v>
      </c>
      <c r="U72" s="25">
        <v>33.113790895568194</v>
      </c>
      <c r="V72" s="29">
        <f>LOOKUP(D72,[1]Parámetros!$A$7:$A$24,[1]Parámetros!$B$7:$B$24)</f>
        <v>48.5</v>
      </c>
      <c r="W72" s="30" t="str">
        <f t="shared" si="1"/>
        <v/>
      </c>
      <c r="X72" s="31" t="str">
        <f t="shared" si="3"/>
        <v/>
      </c>
      <c r="Y72" s="30" t="str">
        <f>IF($W72="Cambio Calado",COUNTIF($W$14:W72,"Cambio Calado"),"")</f>
        <v/>
      </c>
      <c r="Z72" s="31" t="str">
        <f t="shared" si="4"/>
        <v/>
      </c>
      <c r="AA72" s="30" t="str">
        <f t="shared" si="5"/>
        <v/>
      </c>
      <c r="AB72" s="29">
        <f>IFERROR(LOOKUP($A72,$Z$14:$Z72,$AA$14:$AA72),$U72)</f>
        <v>48.5</v>
      </c>
      <c r="AC72" s="32">
        <f>IFERROR($A73-LOOKUP($A73,$Z$14:$Z72),"")</f>
        <v>8</v>
      </c>
      <c r="AD72" s="1" cm="1">
        <f t="array" ref="AD72">IF(B72&lt;&gt;"",80,_xludf.NA())</f>
        <v>80</v>
      </c>
    </row>
    <row r="73" spans="1:30">
      <c r="A73" s="22">
        <f t="shared" si="0"/>
        <v>46263</v>
      </c>
      <c r="B73" s="9">
        <f>+[1]Balance_Madden!A71</f>
        <v>46263</v>
      </c>
      <c r="C73" s="24">
        <f>+VLOOKUP(B73,[1]Balance_Madden!$A$12:$E$5000,2)</f>
        <v>233.24</v>
      </c>
      <c r="D73" s="25">
        <f>+VLOOKUP(B73,[1]Balance_Gatún!$A$13:$E$5087,2)</f>
        <v>84.01</v>
      </c>
      <c r="E73" s="24">
        <f>+VLOOKUP(B73,[1]Balance_Madden!$A$12:$E$5087,5)/35.32</f>
        <v>63.744450736126844</v>
      </c>
      <c r="F73" s="26">
        <f>+VLOOKUP(B73,[1]Balance_Gatún!$A$13:$E$5087,5)/35.32</f>
        <v>80.93131370328426</v>
      </c>
      <c r="G73" s="24">
        <f>+VLOOKUP(B73,[1]Balance_Madden!$A$12:$K$5087,9)/111</f>
        <v>2.7027027027027026</v>
      </c>
      <c r="H73" s="25">
        <f>+VLOOKUP(B73,[1]Balance_Gatún!$A$13:$U$5087,21)/186</f>
        <v>0</v>
      </c>
      <c r="I73" s="24">
        <f>+(VLOOKUP(B73,[1]Balance_Madden!$A$12:$K$5087,10)/35.32)+VLOOKUP(B73,[1]Balance_Madden!$A$12:$K$5087,11)/35.32</f>
        <v>0</v>
      </c>
      <c r="J73" s="25">
        <f>+VLOOKUP(B73,[1]Balance_Gatún!$A$13:$AD$5087,23)/35.32+ VLOOKUP(B73,[1]Balance_Gatún!$A$13:$AD$5087,17)/35.32</f>
        <v>0</v>
      </c>
      <c r="K73" s="24">
        <f>+VLOOKUP(B73,[1]Balance_Gatún!$A$13:$AC$5087,10)</f>
        <v>24</v>
      </c>
      <c r="L73" s="25" t="str">
        <f>+VLOOKUP(B73,[1]Balance_Gatún!$A$13:$AC$5087,11)</f>
        <v>XFILL_PMG100%</v>
      </c>
      <c r="M73" s="25">
        <f>+VLOOKUP(B73,[1]Balance_Gatún!$A$13:$AC$5087,12)</f>
        <v>10</v>
      </c>
      <c r="N73" s="25" t="str">
        <f>+VLOOKUP(B73,[1]Balance_Gatún!$A$13:$AC$5087,13)</f>
        <v>TA+CCL100%</v>
      </c>
      <c r="O73" s="25">
        <f>+VLOOKUP(B73,[1]Balance_Gatún!$A$13:$AC$5087,14)/408.7</f>
        <v>6.0418368617766811</v>
      </c>
      <c r="P73" s="24">
        <f>+VLOOKUP(B73,[1]Balance_Madden!$A$12:$V$5087,12)/35.32</f>
        <v>1.307588577725721</v>
      </c>
      <c r="Q73" s="25">
        <f>+VLOOKUP(B73,[1]Balance_Gatún!$A$13:$AD$5087,15)/35.32</f>
        <v>12.940164896009987</v>
      </c>
      <c r="R73" s="24">
        <f>+VLOOKUP(B73,[1]Balance_Madden!$A$12:$V$5087,14)/35.32</f>
        <v>22.055040446355392</v>
      </c>
      <c r="S73" s="26">
        <f>[1]Balance_Gatún!X72/35.32</f>
        <v>94.493384754677308</v>
      </c>
      <c r="T73" s="25">
        <v>52.305411226169149</v>
      </c>
      <c r="U73" s="25">
        <v>34.022432854390715</v>
      </c>
      <c r="V73" s="29">
        <f>LOOKUP(D73,[1]Parámetros!$A$7:$A$24,[1]Parámetros!$B$7:$B$24)</f>
        <v>49</v>
      </c>
      <c r="W73" s="30" t="str">
        <f t="shared" si="1"/>
        <v>Cambio Calado</v>
      </c>
      <c r="X73" s="31">
        <f t="shared" si="3"/>
        <v>46263</v>
      </c>
      <c r="Y73" s="30">
        <f>IF($W73="Cambio Calado",COUNTIF($W$14:W73,"Cambio Calado"),"")</f>
        <v>4</v>
      </c>
      <c r="Z73" s="31">
        <f t="shared" si="4"/>
        <v>46263</v>
      </c>
      <c r="AA73" s="30">
        <f t="shared" si="5"/>
        <v>49</v>
      </c>
      <c r="AB73" s="29">
        <f>IFERROR(LOOKUP($A73,$Z$14:$Z73,$AA$14:$AA73),$U73)</f>
        <v>49</v>
      </c>
      <c r="AC73" s="32">
        <f>IFERROR($A74-LOOKUP($A74,$Z$14:$Z73),"")</f>
        <v>1</v>
      </c>
      <c r="AD73" s="1" cm="1">
        <f t="array" ref="AD73">IF(B73&lt;&gt;"",80,_xludf.NA())</f>
        <v>80</v>
      </c>
    </row>
    <row r="74" spans="1:30">
      <c r="A74" s="22">
        <f t="shared" si="0"/>
        <v>46264</v>
      </c>
      <c r="B74" s="9">
        <f>+[1]Balance_Madden!A72</f>
        <v>46264</v>
      </c>
      <c r="C74" s="24">
        <f>+VLOOKUP(B74,[1]Balance_Madden!$A$12:$E$5000,2)</f>
        <v>236.1</v>
      </c>
      <c r="D74" s="25">
        <f>+VLOOKUP(B74,[1]Balance_Gatún!$A$13:$E$5087,2)</f>
        <v>84.087999999999994</v>
      </c>
      <c r="E74" s="24">
        <f>+VLOOKUP(B74,[1]Balance_Madden!$A$12:$E$5087,5)/35.32</f>
        <v>52.936636466591168</v>
      </c>
      <c r="F74" s="26">
        <f>+VLOOKUP(B74,[1]Balance_Gatún!$A$13:$E$5087,5)/35.32</f>
        <v>56.026075877689692</v>
      </c>
      <c r="G74" s="24">
        <f>+VLOOKUP(B74,[1]Balance_Madden!$A$12:$K$5087,9)/111</f>
        <v>2.7027027027027026</v>
      </c>
      <c r="H74" s="25">
        <f>+VLOOKUP(B74,[1]Balance_Gatún!$A$13:$U$5087,21)/186</f>
        <v>0</v>
      </c>
      <c r="I74" s="24">
        <f>+(VLOOKUP(B74,[1]Balance_Madden!$A$12:$K$5087,10)/35.32)+VLOOKUP(B74,[1]Balance_Madden!$A$12:$K$5087,11)/35.32</f>
        <v>0</v>
      </c>
      <c r="J74" s="25">
        <f>+VLOOKUP(B74,[1]Balance_Gatún!$A$13:$AD$5087,23)/35.32+ VLOOKUP(B74,[1]Balance_Gatún!$A$13:$AD$5087,17)/35.32</f>
        <v>0</v>
      </c>
      <c r="K74" s="24">
        <f>+VLOOKUP(B74,[1]Balance_Gatún!$A$13:$AC$5087,10)</f>
        <v>24</v>
      </c>
      <c r="L74" s="25" t="str">
        <f>+VLOOKUP(B74,[1]Balance_Gatún!$A$13:$AC$5087,11)</f>
        <v>XFILL_PMG100%</v>
      </c>
      <c r="M74" s="25">
        <f>+VLOOKUP(B74,[1]Balance_Gatún!$A$13:$AC$5087,12)</f>
        <v>10</v>
      </c>
      <c r="N74" s="25" t="str">
        <f>+VLOOKUP(B74,[1]Balance_Gatún!$A$13:$AC$5087,13)</f>
        <v>TA+CCL100%</v>
      </c>
      <c r="O74" s="25">
        <f>+VLOOKUP(B74,[1]Balance_Gatún!$A$13:$AC$5087,14)/408.7</f>
        <v>6.0562712336154378</v>
      </c>
      <c r="P74" s="24">
        <f>+VLOOKUP(B74,[1]Balance_Madden!$A$12:$V$5087,12)/35.32</f>
        <v>1.2411714341936917</v>
      </c>
      <c r="Q74" s="25">
        <f>+VLOOKUP(B74,[1]Balance_Gatún!$A$13:$AD$5087,15)/35.32</f>
        <v>11.828368828204178</v>
      </c>
      <c r="R74" s="24">
        <f>+VLOOKUP(B74,[1]Balance_Madden!$A$12:$V$5087,14)/35.32</f>
        <v>21.988623302823363</v>
      </c>
      <c r="S74" s="26">
        <f>[1]Balance_Gatún!X73/35.32</f>
        <v>93.548613821936613</v>
      </c>
      <c r="T74" s="25">
        <v>57.900335015474653</v>
      </c>
      <c r="U74" s="25">
        <v>23.61187492162292</v>
      </c>
      <c r="V74" s="29">
        <f>LOOKUP(D74,[1]Parámetros!$A$7:$A$24,[1]Parámetros!$B$7:$B$24)</f>
        <v>49</v>
      </c>
      <c r="W74" s="30" t="str">
        <f t="shared" si="1"/>
        <v/>
      </c>
      <c r="X74" s="31" t="str">
        <f t="shared" si="3"/>
        <v/>
      </c>
      <c r="Y74" s="30" t="str">
        <f>IF($W74="Cambio Calado",COUNTIF($W$14:W74,"Cambio Calado"),"")</f>
        <v/>
      </c>
      <c r="Z74" s="31" t="str">
        <f t="shared" si="4"/>
        <v/>
      </c>
      <c r="AA74" s="30" t="str">
        <f t="shared" si="5"/>
        <v/>
      </c>
      <c r="AB74" s="29">
        <f>IFERROR(LOOKUP($A74,$Z$14:$Z74,$AA$14:$AA74),$U74)</f>
        <v>49</v>
      </c>
      <c r="AC74" s="32">
        <f>IFERROR($A75-LOOKUP($A75,$Z$14:$Z74),"")</f>
        <v>2</v>
      </c>
      <c r="AD74" s="1" cm="1">
        <f t="array" ref="AD74">IF(B74&lt;&gt;"",80,_xludf.NA())</f>
        <v>80</v>
      </c>
    </row>
    <row r="75" spans="1:30">
      <c r="A75" s="22">
        <f t="shared" si="0"/>
        <v>46265</v>
      </c>
      <c r="B75" s="9">
        <f>+[1]Balance_Madden!A73</f>
        <v>46265</v>
      </c>
      <c r="C75" s="24">
        <f>+VLOOKUP(B75,[1]Balance_Madden!$A$12:$E$5000,2)</f>
        <v>236.59</v>
      </c>
      <c r="D75" s="25">
        <f>+VLOOKUP(B75,[1]Balance_Gatún!$A$13:$E$5087,2)</f>
        <v>84.075000000000003</v>
      </c>
      <c r="E75" s="24">
        <f>+VLOOKUP(B75,[1]Balance_Madden!$A$12:$E$5087,5)/35.32</f>
        <v>45.613590033975079</v>
      </c>
      <c r="F75" s="26">
        <f>+VLOOKUP(B75,[1]Balance_Gatún!$A$13:$E$5087,5)/35.32</f>
        <v>38.564496036240087</v>
      </c>
      <c r="G75" s="24">
        <f>+VLOOKUP(B75,[1]Balance_Madden!$A$12:$K$5087,9)/111</f>
        <v>2.7027027027027026</v>
      </c>
      <c r="H75" s="25">
        <f>+VLOOKUP(B75,[1]Balance_Gatún!$A$13:$U$5087,21)/186</f>
        <v>0</v>
      </c>
      <c r="I75" s="24">
        <f>+(VLOOKUP(B75,[1]Balance_Madden!$A$12:$K$5087,10)/35.32)+VLOOKUP(B75,[1]Balance_Madden!$A$12:$K$5087,11)/35.32</f>
        <v>0</v>
      </c>
      <c r="J75" s="25">
        <f>+VLOOKUP(B75,[1]Balance_Gatún!$A$13:$AD$5087,23)/35.32+ VLOOKUP(B75,[1]Balance_Gatún!$A$13:$AD$5087,17)/35.32</f>
        <v>0</v>
      </c>
      <c r="K75" s="24">
        <f>+VLOOKUP(B75,[1]Balance_Gatún!$A$13:$AC$5087,10)</f>
        <v>24</v>
      </c>
      <c r="L75" s="25" t="str">
        <f>+VLOOKUP(B75,[1]Balance_Gatún!$A$13:$AC$5087,11)</f>
        <v>XFILL_PMG100%</v>
      </c>
      <c r="M75" s="25">
        <f>+VLOOKUP(B75,[1]Balance_Gatún!$A$13:$AC$5087,12)</f>
        <v>10</v>
      </c>
      <c r="N75" s="25" t="str">
        <f>+VLOOKUP(B75,[1]Balance_Gatún!$A$13:$AC$5087,13)</f>
        <v>TA+CCL100%</v>
      </c>
      <c r="O75" s="25">
        <f>+VLOOKUP(B75,[1]Balance_Gatún!$A$13:$AC$5087,14)/408.7</f>
        <v>6.0538655049756462</v>
      </c>
      <c r="P75" s="24">
        <f>+VLOOKUP(B75,[1]Balance_Madden!$A$12:$V$5087,12)/35.32</f>
        <v>1.28108995382197</v>
      </c>
      <c r="Q75" s="25">
        <f>+VLOOKUP(B75,[1]Balance_Gatún!$A$13:$AD$5087,15)/35.32</f>
        <v>12.127104018698361</v>
      </c>
      <c r="R75" s="24">
        <f>+VLOOKUP(B75,[1]Balance_Madden!$A$12:$V$5087,14)/35.32</f>
        <v>22.02854182245164</v>
      </c>
      <c r="S75" s="26">
        <f>[1]Balance_Gatún!X74/35.32</f>
        <v>93.819511489919961</v>
      </c>
      <c r="T75" s="25">
        <v>59.697825154719006</v>
      </c>
      <c r="U75" s="25">
        <v>25.497506041491771</v>
      </c>
      <c r="V75" s="29">
        <f>LOOKUP(D75,[1]Parámetros!$A$7:$A$24,[1]Parámetros!$B$7:$B$24)</f>
        <v>49</v>
      </c>
      <c r="W75" s="30" t="str">
        <f t="shared" si="1"/>
        <v/>
      </c>
      <c r="X75" s="31" t="str">
        <f t="shared" si="3"/>
        <v/>
      </c>
      <c r="Y75" s="30" t="str">
        <f>IF($W75="Cambio Calado",COUNTIF($W$14:W75,"Cambio Calado"),"")</f>
        <v/>
      </c>
      <c r="Z75" s="31" t="str">
        <f t="shared" si="4"/>
        <v/>
      </c>
      <c r="AA75" s="30" t="str">
        <f t="shared" si="5"/>
        <v/>
      </c>
      <c r="AB75" s="29">
        <f>IFERROR(LOOKUP($A75,$Z$14:$Z75,$AA$14:$AA75),$U75)</f>
        <v>49</v>
      </c>
      <c r="AC75" s="32">
        <f>IFERROR($A76-LOOKUP($A76,$Z$14:$Z75),"")</f>
        <v>3</v>
      </c>
      <c r="AD75" s="1" cm="1">
        <f t="array" ref="AD75">IF(B75&lt;&gt;"",80,_xludf.NA())</f>
        <v>80</v>
      </c>
    </row>
    <row r="76" spans="1:30">
      <c r="A76" s="22">
        <f t="shared" si="0"/>
        <v>46266</v>
      </c>
      <c r="B76" s="9">
        <f>+[1]Balance_Madden!A74</f>
        <v>46266</v>
      </c>
      <c r="C76" s="24">
        <f>+VLOOKUP(B76,[1]Balance_Madden!$A$12:$E$5000,2)</f>
        <v>236.87</v>
      </c>
      <c r="D76" s="25">
        <f>+VLOOKUP(B76,[1]Balance_Gatún!$A$13:$E$5087,2)</f>
        <v>84.042000000000002</v>
      </c>
      <c r="E76" s="24">
        <f>+VLOOKUP(B76,[1]Balance_Madden!$A$12:$E$5087,5)/35.32</f>
        <v>40.988505096262742</v>
      </c>
      <c r="F76" s="26">
        <f>+VLOOKUP(B76,[1]Balance_Gatún!$A$13:$E$5087,5)/35.32</f>
        <v>37.691421291053224</v>
      </c>
      <c r="G76" s="24">
        <f>+VLOOKUP(B76,[1]Balance_Madden!$A$12:$K$5087,9)/111</f>
        <v>2.7027027027027026</v>
      </c>
      <c r="H76" s="25">
        <f>+VLOOKUP(B76,[1]Balance_Gatún!$A$13:$U$5087,21)/186</f>
        <v>0</v>
      </c>
      <c r="I76" s="24">
        <f>+(VLOOKUP(B76,[1]Balance_Madden!$A$12:$K$5087,10)/35.32)+VLOOKUP(B76,[1]Balance_Madden!$A$12:$K$5087,11)/35.32</f>
        <v>0</v>
      </c>
      <c r="J76" s="25">
        <f>+VLOOKUP(B76,[1]Balance_Gatún!$A$13:$AD$5087,23)/35.32+ VLOOKUP(B76,[1]Balance_Gatún!$A$13:$AD$5087,17)/35.32</f>
        <v>0</v>
      </c>
      <c r="K76" s="24">
        <f>+VLOOKUP(B76,[1]Balance_Gatún!$A$13:$AC$5087,10)</f>
        <v>24</v>
      </c>
      <c r="L76" s="25" t="str">
        <f>+VLOOKUP(B76,[1]Balance_Gatún!$A$13:$AC$5087,11)</f>
        <v>XFILL_PMG100%</v>
      </c>
      <c r="M76" s="25">
        <f>+VLOOKUP(B76,[1]Balance_Gatún!$A$13:$AC$5087,12)</f>
        <v>10</v>
      </c>
      <c r="N76" s="25" t="str">
        <f>+VLOOKUP(B76,[1]Balance_Gatún!$A$13:$AC$5087,13)</f>
        <v>TA+CCL100%</v>
      </c>
      <c r="O76" s="25">
        <f>+VLOOKUP(B76,[1]Balance_Gatún!$A$13:$AC$5087,14)/408.7</f>
        <v>6.0477586553515543</v>
      </c>
      <c r="P76" s="24">
        <f>+VLOOKUP(B76,[1]Balance_Madden!$A$12:$V$5087,12)/35.32</f>
        <v>2.0621212208577657</v>
      </c>
      <c r="Q76" s="25">
        <f>+VLOOKUP(B76,[1]Balance_Gatún!$A$13:$AD$5087,15)/35.32</f>
        <v>19.439627397602568</v>
      </c>
      <c r="R76" s="24">
        <f>+VLOOKUP(B76,[1]Balance_Madden!$A$12:$V$5087,14)/35.32</f>
        <v>22.809573089487436</v>
      </c>
      <c r="S76" s="26">
        <f>[1]Balance_Gatún!X75/35.32</f>
        <v>101.06137038860427</v>
      </c>
      <c r="T76" s="25">
        <v>37.998584185008561</v>
      </c>
      <c r="U76" s="25">
        <v>24.871109839943596</v>
      </c>
      <c r="V76" s="29">
        <f>LOOKUP(D76,[1]Parámetros!$A$7:$A$24,[1]Parámetros!$B$7:$B$24)</f>
        <v>49</v>
      </c>
      <c r="W76" s="30" t="str">
        <f t="shared" si="1"/>
        <v/>
      </c>
      <c r="X76" s="31" t="str">
        <f t="shared" si="3"/>
        <v/>
      </c>
      <c r="Y76" s="30" t="str">
        <f>IF($W76="Cambio Calado",COUNTIF($W$14:W76,"Cambio Calado"),"")</f>
        <v/>
      </c>
      <c r="Z76" s="31" t="str">
        <f t="shared" si="4"/>
        <v/>
      </c>
      <c r="AA76" s="30" t="str">
        <f t="shared" si="5"/>
        <v/>
      </c>
      <c r="AB76" s="29">
        <f>IFERROR(LOOKUP($A76,$Z$14:$Z76,$AA$14:$AA76),$U76)</f>
        <v>49</v>
      </c>
      <c r="AC76" s="32">
        <f>IFERROR($A77-LOOKUP($A77,$Z$14:$Z76),"")</f>
        <v>4</v>
      </c>
      <c r="AD76" s="1" cm="1">
        <f t="array" ref="AD76">IF(B76&lt;&gt;"",80,_xludf.NA())</f>
        <v>80</v>
      </c>
    </row>
    <row r="77" spans="1:30">
      <c r="A77" s="22">
        <f t="shared" si="0"/>
        <v>46267</v>
      </c>
      <c r="B77" s="9">
        <f>+[1]Balance_Madden!A75</f>
        <v>46267</v>
      </c>
      <c r="C77" s="24">
        <f>+VLOOKUP(B77,[1]Balance_Madden!$A$12:$E$5000,2)</f>
        <v>237.06</v>
      </c>
      <c r="D77" s="25">
        <f>+VLOOKUP(B77,[1]Balance_Gatún!$A$13:$E$5087,2)</f>
        <v>84.006</v>
      </c>
      <c r="E77" s="24">
        <f>+VLOOKUP(B77,[1]Balance_Madden!$A$12:$E$5087,5)/35.32</f>
        <v>38.932927519818804</v>
      </c>
      <c r="F77" s="26">
        <f>+VLOOKUP(B77,[1]Balance_Gatún!$A$13:$E$5087,5)/35.32</f>
        <v>33.107757644394113</v>
      </c>
      <c r="G77" s="24">
        <f>+VLOOKUP(B77,[1]Balance_Madden!$A$12:$K$5087,9)/111</f>
        <v>2.7027027027027026</v>
      </c>
      <c r="H77" s="25">
        <f>+VLOOKUP(B77,[1]Balance_Gatún!$A$13:$U$5087,21)/186</f>
        <v>0</v>
      </c>
      <c r="I77" s="24">
        <f>+(VLOOKUP(B77,[1]Balance_Madden!$A$12:$K$5087,10)/35.32)+VLOOKUP(B77,[1]Balance_Madden!$A$12:$K$5087,11)/35.32</f>
        <v>0</v>
      </c>
      <c r="J77" s="25">
        <f>+VLOOKUP(B77,[1]Balance_Gatún!$A$13:$AD$5087,23)/35.32+ VLOOKUP(B77,[1]Balance_Gatún!$A$13:$AD$5087,17)/35.32</f>
        <v>0</v>
      </c>
      <c r="K77" s="24">
        <f>+VLOOKUP(B77,[1]Balance_Gatún!$A$13:$AC$5087,10)</f>
        <v>24</v>
      </c>
      <c r="L77" s="25" t="str">
        <f>+VLOOKUP(B77,[1]Balance_Gatún!$A$13:$AC$5087,11)</f>
        <v>XFILL_PMG100%</v>
      </c>
      <c r="M77" s="25">
        <f>+VLOOKUP(B77,[1]Balance_Gatún!$A$13:$AC$5087,12)</f>
        <v>10</v>
      </c>
      <c r="N77" s="25" t="str">
        <f>+VLOOKUP(B77,[1]Balance_Gatún!$A$13:$AC$5087,13)</f>
        <v>TA+CCL100%</v>
      </c>
      <c r="O77" s="25">
        <f>+VLOOKUP(B77,[1]Balance_Gatún!$A$13:$AC$5087,14)/408.7</f>
        <v>6.0410966375798214</v>
      </c>
      <c r="P77" s="24">
        <f>+VLOOKUP(B77,[1]Balance_Madden!$A$12:$V$5087,12)/35.32</f>
        <v>2.2604449553582304</v>
      </c>
      <c r="Q77" s="25">
        <f>+VLOOKUP(B77,[1]Balance_Gatún!$A$13:$AD$5087,15)/35.32</f>
        <v>21.24563966701113</v>
      </c>
      <c r="R77" s="24">
        <f>+VLOOKUP(B77,[1]Balance_Madden!$A$12:$V$5087,14)/35.32</f>
        <v>23.007896823987902</v>
      </c>
      <c r="S77" s="26">
        <f>[1]Balance_Gatún!X76/35.32</f>
        <v>102.79029413413664</v>
      </c>
      <c r="T77" s="25">
        <v>52.634280014108285</v>
      </c>
      <c r="U77" s="25">
        <v>24.085584621298647</v>
      </c>
      <c r="V77" s="29">
        <f>LOOKUP(D77,[1]Parámetros!$A$7:$A$24,[1]Parámetros!$B$7:$B$24)</f>
        <v>49</v>
      </c>
      <c r="W77" s="30" t="str">
        <f t="shared" si="1"/>
        <v/>
      </c>
      <c r="X77" s="31" t="str">
        <f t="shared" si="3"/>
        <v/>
      </c>
      <c r="Y77" s="30" t="str">
        <f>IF($W77="Cambio Calado",COUNTIF($W$14:W77,"Cambio Calado"),"")</f>
        <v/>
      </c>
      <c r="Z77" s="31" t="str">
        <f t="shared" si="4"/>
        <v/>
      </c>
      <c r="AA77" s="30" t="str">
        <f t="shared" si="5"/>
        <v/>
      </c>
      <c r="AB77" s="29">
        <f>IFERROR(LOOKUP($A77,$Z$14:$Z77,$AA$14:$AA77),$U77)</f>
        <v>49</v>
      </c>
      <c r="AC77" s="32">
        <f>IFERROR($A78-LOOKUP($A78,$Z$14:$Z77),"")</f>
        <v>5</v>
      </c>
      <c r="AD77" s="1" cm="1">
        <f t="array" ref="AD77">IF(B77&lt;&gt;"",80,_xludf.NA())</f>
        <v>80</v>
      </c>
    </row>
    <row r="78" spans="1:30">
      <c r="A78" s="22">
        <f t="shared" ref="A78:A141" si="6">+INT(B78)</f>
        <v>46268</v>
      </c>
      <c r="B78" s="9">
        <f>+[1]Balance_Madden!A76</f>
        <v>46268</v>
      </c>
      <c r="C78" s="24">
        <f>+VLOOKUP(B78,[1]Balance_Madden!$A$12:$E$5000,2)</f>
        <v>237.24</v>
      </c>
      <c r="D78" s="25">
        <f>+VLOOKUP(B78,[1]Balance_Gatún!$A$13:$E$5087,2)</f>
        <v>84.028000000000006</v>
      </c>
      <c r="E78" s="24">
        <f>+VLOOKUP(B78,[1]Balance_Madden!$A$12:$E$5087,5)/35.32</f>
        <v>36.748839184597962</v>
      </c>
      <c r="F78" s="26">
        <f>+VLOOKUP(B78,[1]Balance_Gatún!$A$13:$E$5087,5)/35.32</f>
        <v>32.431143827859572</v>
      </c>
      <c r="G78" s="24">
        <f>+VLOOKUP(B78,[1]Balance_Madden!$A$12:$K$5087,9)/111</f>
        <v>2.7027027027027026</v>
      </c>
      <c r="H78" s="25">
        <f>+VLOOKUP(B78,[1]Balance_Gatún!$A$13:$U$5087,21)/186</f>
        <v>0</v>
      </c>
      <c r="I78" s="24">
        <f>+(VLOOKUP(B78,[1]Balance_Madden!$A$12:$K$5087,10)/35.32)+VLOOKUP(B78,[1]Balance_Madden!$A$12:$K$5087,11)/35.32</f>
        <v>0</v>
      </c>
      <c r="J78" s="25">
        <f>+VLOOKUP(B78,[1]Balance_Gatún!$A$13:$AD$5087,23)/35.32+ VLOOKUP(B78,[1]Balance_Gatún!$A$13:$AD$5087,17)/35.32</f>
        <v>0</v>
      </c>
      <c r="K78" s="24">
        <f>+VLOOKUP(B78,[1]Balance_Gatún!$A$13:$AC$5087,10)</f>
        <v>24</v>
      </c>
      <c r="L78" s="25" t="str">
        <f>+VLOOKUP(B78,[1]Balance_Gatún!$A$13:$AC$5087,11)</f>
        <v>XFILL_PMG100%</v>
      </c>
      <c r="M78" s="25">
        <f>+VLOOKUP(B78,[1]Balance_Gatún!$A$13:$AC$5087,12)</f>
        <v>10</v>
      </c>
      <c r="N78" s="25" t="str">
        <f>+VLOOKUP(B78,[1]Balance_Gatún!$A$13:$AC$5087,13)</f>
        <v>TA+CCL100%</v>
      </c>
      <c r="O78" s="25">
        <f>+VLOOKUP(B78,[1]Balance_Gatún!$A$13:$AC$5087,14)/408.7</f>
        <v>6.0451678706625493</v>
      </c>
      <c r="P78" s="24">
        <f>+VLOOKUP(B78,[1]Balance_Madden!$A$12:$V$5087,12)/35.32</f>
        <v>1.3247844964363999</v>
      </c>
      <c r="Q78" s="25">
        <f>+VLOOKUP(B78,[1]Balance_Gatún!$A$13:$AD$5087,15)/35.32</f>
        <v>12.425262454042546</v>
      </c>
      <c r="R78" s="24">
        <f>+VLOOKUP(B78,[1]Balance_Madden!$A$12:$V$5087,14)/35.32</f>
        <v>22.072236365066068</v>
      </c>
      <c r="S78" s="26">
        <f>[1]Balance_Gatún!X77/35.32</f>
        <v>94.017026574647986</v>
      </c>
      <c r="T78" s="25">
        <v>28.772576361785138</v>
      </c>
      <c r="U78" s="25">
        <v>19.451824900617922</v>
      </c>
      <c r="V78" s="29">
        <f>LOOKUP(D78,[1]Parámetros!$A$7:$A$24,[1]Parámetros!$B$7:$B$24)</f>
        <v>49</v>
      </c>
      <c r="W78" s="30" t="str">
        <f t="shared" ref="W78:W141" si="7">IF(V78&lt;&gt;V77,"Cambio Calado","")</f>
        <v/>
      </c>
      <c r="X78" s="31" t="str">
        <f t="shared" si="3"/>
        <v/>
      </c>
      <c r="Y78" s="30" t="str">
        <f>IF($W78="Cambio Calado",COUNTIF($W$14:W78,"Cambio Calado"),"")</f>
        <v/>
      </c>
      <c r="Z78" s="31" t="str">
        <f t="shared" si="4"/>
        <v/>
      </c>
      <c r="AA78" s="30" t="str">
        <f t="shared" si="5"/>
        <v/>
      </c>
      <c r="AB78" s="29">
        <f>IFERROR(LOOKUP($A78,$Z$14:$Z78,$AA$14:$AA78),$U78)</f>
        <v>49</v>
      </c>
      <c r="AC78" s="32">
        <f>IFERROR($A79-LOOKUP($A79,$Z$14:$Z78),"")</f>
        <v>6</v>
      </c>
      <c r="AD78" s="1" cm="1">
        <f t="array" ref="AD78">IF(B78&lt;&gt;"",80,_xludf.NA())</f>
        <v>80</v>
      </c>
    </row>
    <row r="79" spans="1:30">
      <c r="A79" s="22">
        <f t="shared" si="6"/>
        <v>46269</v>
      </c>
      <c r="B79" s="9">
        <f>+[1]Balance_Madden!A77</f>
        <v>46269</v>
      </c>
      <c r="C79" s="24">
        <f>+VLOOKUP(B79,[1]Balance_Madden!$A$12:$E$5000,2)</f>
        <v>237.54</v>
      </c>
      <c r="D79" s="25">
        <f>+VLOOKUP(B79,[1]Balance_Gatún!$A$13:$E$5087,2)</f>
        <v>84.001000000000005</v>
      </c>
      <c r="E79" s="24">
        <f>+VLOOKUP(B79,[1]Balance_Madden!$A$12:$E$5087,5)/35.32</f>
        <v>34.950198187995468</v>
      </c>
      <c r="F79" s="26">
        <f>+VLOOKUP(B79,[1]Balance_Gatún!$A$13:$E$5087,5)/35.32</f>
        <v>29.921036240090597</v>
      </c>
      <c r="G79" s="24">
        <f>+VLOOKUP(B79,[1]Balance_Madden!$A$12:$K$5087,9)/111</f>
        <v>2.7027027027027026</v>
      </c>
      <c r="H79" s="25">
        <f>+VLOOKUP(B79,[1]Balance_Gatún!$A$13:$U$5087,21)/186</f>
        <v>0</v>
      </c>
      <c r="I79" s="24">
        <f>+(VLOOKUP(B79,[1]Balance_Madden!$A$12:$K$5087,10)/35.32)+VLOOKUP(B79,[1]Balance_Madden!$A$12:$K$5087,11)/35.32</f>
        <v>0</v>
      </c>
      <c r="J79" s="25">
        <f>+VLOOKUP(B79,[1]Balance_Gatún!$A$13:$AD$5087,23)/35.32+ VLOOKUP(B79,[1]Balance_Gatún!$A$13:$AD$5087,17)/35.32</f>
        <v>0</v>
      </c>
      <c r="K79" s="24">
        <f>+VLOOKUP(B79,[1]Balance_Gatún!$A$13:$AC$5087,10)</f>
        <v>24</v>
      </c>
      <c r="L79" s="25" t="str">
        <f>+VLOOKUP(B79,[1]Balance_Gatún!$A$13:$AC$5087,11)</f>
        <v>XFILL_PMG100%</v>
      </c>
      <c r="M79" s="25">
        <f>+VLOOKUP(B79,[1]Balance_Gatún!$A$13:$AC$5087,12)</f>
        <v>10</v>
      </c>
      <c r="N79" s="25" t="str">
        <f>+VLOOKUP(B79,[1]Balance_Gatún!$A$13:$AC$5087,13)</f>
        <v>TA+CCL100%</v>
      </c>
      <c r="O79" s="25">
        <f>+VLOOKUP(B79,[1]Balance_Gatún!$A$13:$AC$5087,14)/408.7</f>
        <v>6.0401713573337465</v>
      </c>
      <c r="P79" s="24">
        <f>+VLOOKUP(B79,[1]Balance_Madden!$A$12:$V$5087,12)/35.32</f>
        <v>1.6252313801382259</v>
      </c>
      <c r="Q79" s="25">
        <f>+VLOOKUP(B79,[1]Balance_Gatún!$A$13:$AD$5087,15)/35.32</f>
        <v>15.177422901314053</v>
      </c>
      <c r="R79" s="24">
        <f>+VLOOKUP(B79,[1]Balance_Madden!$A$12:$V$5087,14)/35.32</f>
        <v>22.372683248767895</v>
      </c>
      <c r="S79" s="26">
        <f>[1]Balance_Gatún!X78/35.32</f>
        <v>96.711370629012308</v>
      </c>
      <c r="T79" s="25">
        <v>31.227806991970528</v>
      </c>
      <c r="U79" s="25">
        <v>18.754835386152774</v>
      </c>
      <c r="V79" s="29">
        <f>LOOKUP(D79,[1]Parámetros!$A$7:$A$24,[1]Parámetros!$B$7:$B$24)</f>
        <v>49</v>
      </c>
      <c r="W79" s="30" t="str">
        <f t="shared" si="7"/>
        <v/>
      </c>
      <c r="X79" s="31" t="str">
        <f t="shared" ref="X79:X142" si="8">IF(W79&lt;&gt;"",INT(A79),"")</f>
        <v/>
      </c>
      <c r="Y79" s="30" t="str">
        <f>IF($W79="Cambio Calado",COUNTIF($W$14:W79,"Cambio Calado"),"")</f>
        <v/>
      </c>
      <c r="Z79" s="31" t="str">
        <f t="shared" ref="Z79:Z142" si="9">IF($W79="Cambio Calado",$X79,"")</f>
        <v/>
      </c>
      <c r="AA79" s="30" t="str">
        <f t="shared" ref="AA79:AA142" si="10">IF($W79="Cambio Calado",$V79,"")</f>
        <v/>
      </c>
      <c r="AB79" s="29">
        <f>IFERROR(LOOKUP($A79,$Z$14:$Z79,$AA$14:$AA79),$U79)</f>
        <v>49</v>
      </c>
      <c r="AC79" s="32">
        <f>IFERROR($A80-LOOKUP($A80,$Z$14:$Z79),"")</f>
        <v>7</v>
      </c>
      <c r="AD79" s="1" cm="1">
        <f t="array" ref="AD79">IF(B79&lt;&gt;"",80,_xludf.NA())</f>
        <v>80</v>
      </c>
    </row>
    <row r="80" spans="1:30">
      <c r="A80" s="22">
        <f t="shared" si="6"/>
        <v>46270</v>
      </c>
      <c r="B80" s="9">
        <f>+[1]Balance_Madden!A78</f>
        <v>46270</v>
      </c>
      <c r="C80" s="24">
        <f>+VLOOKUP(B80,[1]Balance_Madden!$A$12:$E$5000,2)</f>
        <v>237.64</v>
      </c>
      <c r="D80" s="25">
        <f>+VLOOKUP(B80,[1]Balance_Gatún!$A$13:$E$5087,2)</f>
        <v>84.001000000000005</v>
      </c>
      <c r="E80" s="24">
        <f>+VLOOKUP(B80,[1]Balance_Madden!$A$12:$E$5087,5)/35.32</f>
        <v>32.698301245753115</v>
      </c>
      <c r="F80" s="26">
        <f>+VLOOKUP(B80,[1]Balance_Gatún!$A$13:$E$5087,5)/35.32</f>
        <v>30.941421291053231</v>
      </c>
      <c r="G80" s="24">
        <f>+VLOOKUP(B80,[1]Balance_Madden!$A$12:$K$5087,9)/111</f>
        <v>2.7027027027027026</v>
      </c>
      <c r="H80" s="25">
        <f>+VLOOKUP(B80,[1]Balance_Gatún!$A$13:$U$5087,21)/186</f>
        <v>0</v>
      </c>
      <c r="I80" s="24">
        <f>+(VLOOKUP(B80,[1]Balance_Madden!$A$12:$K$5087,10)/35.32)+VLOOKUP(B80,[1]Balance_Madden!$A$12:$K$5087,11)/35.32</f>
        <v>0</v>
      </c>
      <c r="J80" s="25">
        <f>+VLOOKUP(B80,[1]Balance_Gatún!$A$13:$AD$5087,23)/35.32+ VLOOKUP(B80,[1]Balance_Gatún!$A$13:$AD$5087,17)/35.32</f>
        <v>0</v>
      </c>
      <c r="K80" s="24">
        <f>+VLOOKUP(B80,[1]Balance_Gatún!$A$13:$AC$5087,10)</f>
        <v>24</v>
      </c>
      <c r="L80" s="25" t="str">
        <f>+VLOOKUP(B80,[1]Balance_Gatún!$A$13:$AC$5087,11)</f>
        <v>XFILL_PMG100%</v>
      </c>
      <c r="M80" s="25">
        <f>+VLOOKUP(B80,[1]Balance_Gatún!$A$13:$AC$5087,12)</f>
        <v>10</v>
      </c>
      <c r="N80" s="25" t="str">
        <f>+VLOOKUP(B80,[1]Balance_Gatún!$A$13:$AC$5087,13)</f>
        <v>TA+CCL100%</v>
      </c>
      <c r="O80" s="25">
        <f>+VLOOKUP(B80,[1]Balance_Gatún!$A$13:$AC$5087,14)/408.7</f>
        <v>6.0401713573337465</v>
      </c>
      <c r="P80" s="24">
        <f>+VLOOKUP(B80,[1]Balance_Madden!$A$12:$V$5087,12)/35.32</f>
        <v>1.3357080117772056</v>
      </c>
      <c r="Q80" s="25">
        <f>+VLOOKUP(B80,[1]Balance_Gatún!$A$13:$AD$5087,15)/35.32</f>
        <v>12.457174382396746</v>
      </c>
      <c r="R80" s="24">
        <f>+VLOOKUP(B80,[1]Balance_Madden!$A$12:$V$5087,14)/35.32</f>
        <v>22.083159880406875</v>
      </c>
      <c r="S80" s="26">
        <f>[1]Balance_Gatún!X79/35.32</f>
        <v>93.991122110094992</v>
      </c>
      <c r="T80" s="25">
        <v>25.407716808397296</v>
      </c>
      <c r="U80" s="25">
        <v>17.207083965648565</v>
      </c>
      <c r="V80" s="29">
        <f>LOOKUP(D80,[1]Parámetros!$A$7:$A$24,[1]Parámetros!$B$7:$B$24)</f>
        <v>49</v>
      </c>
      <c r="W80" s="30" t="str">
        <f t="shared" si="7"/>
        <v/>
      </c>
      <c r="X80" s="31" t="str">
        <f t="shared" si="8"/>
        <v/>
      </c>
      <c r="Y80" s="30" t="str">
        <f>IF($W80="Cambio Calado",COUNTIF($W$14:W80,"Cambio Calado"),"")</f>
        <v/>
      </c>
      <c r="Z80" s="31" t="str">
        <f t="shared" si="9"/>
        <v/>
      </c>
      <c r="AA80" s="30" t="str">
        <f t="shared" si="10"/>
        <v/>
      </c>
      <c r="AB80" s="29">
        <f>IFERROR(LOOKUP($A80,$Z$14:$Z80,$AA$14:$AA80),$U80)</f>
        <v>49</v>
      </c>
      <c r="AC80" s="32">
        <f>IFERROR($A81-LOOKUP($A81,$Z$14:$Z80),"")</f>
        <v>8</v>
      </c>
      <c r="AD80" s="1" cm="1">
        <f t="array" ref="AD80">IF(B80&lt;&gt;"",80,_xludf.NA())</f>
        <v>80</v>
      </c>
    </row>
    <row r="81" spans="1:30">
      <c r="A81" s="22">
        <f t="shared" si="6"/>
        <v>46271</v>
      </c>
      <c r="B81" s="9">
        <f>+[1]Balance_Madden!A79</f>
        <v>46271</v>
      </c>
      <c r="C81" s="24">
        <f>+VLOOKUP(B81,[1]Balance_Madden!$A$12:$E$5000,2)</f>
        <v>238.33</v>
      </c>
      <c r="D81" s="25">
        <f>+VLOOKUP(B81,[1]Balance_Gatún!$A$13:$E$5087,2)</f>
        <v>84.100999999999999</v>
      </c>
      <c r="E81" s="24">
        <f>+VLOOKUP(B81,[1]Balance_Madden!$A$12:$E$5087,5)/35.32</f>
        <v>57.205577576443943</v>
      </c>
      <c r="F81" s="26">
        <f>+VLOOKUP(B81,[1]Balance_Gatún!$A$13:$E$5087,5)/35.32</f>
        <v>36.380719139297852</v>
      </c>
      <c r="G81" s="24">
        <f>+VLOOKUP(B81,[1]Balance_Madden!$A$12:$K$5087,9)/111</f>
        <v>2.7027027027027026</v>
      </c>
      <c r="H81" s="25">
        <f>+VLOOKUP(B81,[1]Balance_Gatún!$A$13:$U$5087,21)/186</f>
        <v>0</v>
      </c>
      <c r="I81" s="24">
        <f>+(VLOOKUP(B81,[1]Balance_Madden!$A$12:$K$5087,10)/35.32)+VLOOKUP(B81,[1]Balance_Madden!$A$12:$K$5087,11)/35.32</f>
        <v>0</v>
      </c>
      <c r="J81" s="25">
        <f>+VLOOKUP(B81,[1]Balance_Gatún!$A$13:$AD$5087,23)/35.32+ VLOOKUP(B81,[1]Balance_Gatún!$A$13:$AD$5087,17)/35.32</f>
        <v>0</v>
      </c>
      <c r="K81" s="24">
        <f>+VLOOKUP(B81,[1]Balance_Gatún!$A$13:$AC$5087,10)</f>
        <v>24</v>
      </c>
      <c r="L81" s="25" t="str">
        <f>+VLOOKUP(B81,[1]Balance_Gatún!$A$13:$AC$5087,11)</f>
        <v>XFILL_PMG100%</v>
      </c>
      <c r="M81" s="25">
        <f>+VLOOKUP(B81,[1]Balance_Gatún!$A$13:$AC$5087,12)</f>
        <v>10</v>
      </c>
      <c r="N81" s="25" t="str">
        <f>+VLOOKUP(B81,[1]Balance_Gatún!$A$13:$AC$5087,13)</f>
        <v>TA+CCL100%</v>
      </c>
      <c r="O81" s="25">
        <f>+VLOOKUP(B81,[1]Balance_Gatún!$A$13:$AC$5087,14)/408.7</f>
        <v>6.0586769622552303</v>
      </c>
      <c r="P81" s="24">
        <f>+VLOOKUP(B81,[1]Balance_Madden!$A$12:$V$5087,12)/35.32</f>
        <v>0.84277667816951496</v>
      </c>
      <c r="Q81" s="25">
        <f>+VLOOKUP(B81,[1]Balance_Gatún!$A$13:$AD$5087,15)/35.32</f>
        <v>7.7987115574686765</v>
      </c>
      <c r="R81" s="24">
        <f>+VLOOKUP(B81,[1]Balance_Madden!$A$12:$V$5087,14)/35.32</f>
        <v>21.590228546799185</v>
      </c>
      <c r="S81" s="26">
        <f>[1]Balance_Gatún!X80/35.32</f>
        <v>89.546794073711951</v>
      </c>
      <c r="T81" s="25">
        <v>61.487595438029231</v>
      </c>
      <c r="U81" s="25">
        <v>28.464518269144584</v>
      </c>
      <c r="V81" s="29">
        <f>LOOKUP(D81,[1]Parámetros!$A$7:$A$24,[1]Parámetros!$B$7:$B$24)</f>
        <v>49</v>
      </c>
      <c r="W81" s="30" t="str">
        <f t="shared" si="7"/>
        <v/>
      </c>
      <c r="X81" s="31" t="str">
        <f t="shared" si="8"/>
        <v/>
      </c>
      <c r="Y81" s="30" t="str">
        <f>IF($W81="Cambio Calado",COUNTIF($W$14:W81,"Cambio Calado"),"")</f>
        <v/>
      </c>
      <c r="Z81" s="31" t="str">
        <f t="shared" si="9"/>
        <v/>
      </c>
      <c r="AA81" s="30" t="str">
        <f t="shared" si="10"/>
        <v/>
      </c>
      <c r="AB81" s="29">
        <f>IFERROR(LOOKUP($A81,$Z$14:$Z81,$AA$14:$AA81),$U81)</f>
        <v>49</v>
      </c>
      <c r="AC81" s="32">
        <f>IFERROR($A82-LOOKUP($A82,$Z$14:$Z81),"")</f>
        <v>9</v>
      </c>
      <c r="AD81" s="1" cm="1">
        <f t="array" ref="AD81">IF(B81&lt;&gt;"",80,_xludf.NA())</f>
        <v>80</v>
      </c>
    </row>
    <row r="82" spans="1:30">
      <c r="A82" s="22">
        <f t="shared" si="6"/>
        <v>46272</v>
      </c>
      <c r="B82" s="9">
        <f>+[1]Balance_Madden!A80</f>
        <v>46272</v>
      </c>
      <c r="C82" s="24">
        <f>+VLOOKUP(B82,[1]Balance_Madden!$A$12:$E$5000,2)</f>
        <v>238.52</v>
      </c>
      <c r="D82" s="25">
        <f>+VLOOKUP(B82,[1]Balance_Gatún!$A$13:$E$5087,2)</f>
        <v>84.091999999999999</v>
      </c>
      <c r="E82" s="24">
        <f>+VLOOKUP(B82,[1]Balance_Madden!$A$12:$E$5087,5)/35.32</f>
        <v>99.895045300113253</v>
      </c>
      <c r="F82" s="26">
        <f>+VLOOKUP(B82,[1]Balance_Gatún!$A$13:$E$5087,5)/35.32</f>
        <v>70.029133635334091</v>
      </c>
      <c r="G82" s="24">
        <f>+VLOOKUP(B82,[1]Balance_Madden!$A$12:$K$5087,9)/111</f>
        <v>2.7027027027027026</v>
      </c>
      <c r="H82" s="25">
        <f>+VLOOKUP(B82,[1]Balance_Gatún!$A$13:$U$5087,21)/186</f>
        <v>0</v>
      </c>
      <c r="I82" s="24">
        <f>+(VLOOKUP(B82,[1]Balance_Madden!$A$12:$K$5087,10)/35.32)+VLOOKUP(B82,[1]Balance_Madden!$A$12:$K$5087,11)/35.32</f>
        <v>0</v>
      </c>
      <c r="J82" s="25">
        <f>+VLOOKUP(B82,[1]Balance_Gatún!$A$13:$AD$5087,23)/35.32+ VLOOKUP(B82,[1]Balance_Gatún!$A$13:$AD$5087,17)/35.32</f>
        <v>0</v>
      </c>
      <c r="K82" s="24">
        <f>+VLOOKUP(B82,[1]Balance_Gatún!$A$13:$AC$5087,10)</f>
        <v>24</v>
      </c>
      <c r="L82" s="25" t="str">
        <f>+VLOOKUP(B82,[1]Balance_Gatún!$A$13:$AC$5087,11)</f>
        <v>XFILL_PMG100%</v>
      </c>
      <c r="M82" s="25">
        <f>+VLOOKUP(B82,[1]Balance_Gatún!$A$13:$AC$5087,12)</f>
        <v>10</v>
      </c>
      <c r="N82" s="25" t="str">
        <f>+VLOOKUP(B82,[1]Balance_Gatún!$A$13:$AC$5087,13)</f>
        <v>TA+CCL100%</v>
      </c>
      <c r="O82" s="25">
        <f>+VLOOKUP(B82,[1]Balance_Gatún!$A$13:$AC$5087,14)/408.7</f>
        <v>6.0570114578122993</v>
      </c>
      <c r="P82" s="24">
        <f>+VLOOKUP(B82,[1]Balance_Madden!$A$12:$V$5087,12)/35.32</f>
        <v>0.9281866177098641</v>
      </c>
      <c r="Q82" s="25">
        <f>+VLOOKUP(B82,[1]Balance_Gatún!$A$13:$AD$5087,15)/35.32</f>
        <v>8.5666336916315871</v>
      </c>
      <c r="R82" s="24">
        <f>+VLOOKUP(B82,[1]Balance_Madden!$A$12:$V$5087,14)/35.32</f>
        <v>21.675638486339537</v>
      </c>
      <c r="S82" s="26">
        <f>[1]Balance_Gatún!X81/35.32</f>
        <v>90.295444076905838</v>
      </c>
      <c r="T82" s="25">
        <v>38.389779908224725</v>
      </c>
      <c r="U82" s="25">
        <v>21.043888227808537</v>
      </c>
      <c r="V82" s="29">
        <f>LOOKUP(D82,[1]Parámetros!$A$7:$A$24,[1]Parámetros!$B$7:$B$24)</f>
        <v>49</v>
      </c>
      <c r="W82" s="30" t="str">
        <f t="shared" si="7"/>
        <v/>
      </c>
      <c r="X82" s="31" t="str">
        <f t="shared" si="8"/>
        <v/>
      </c>
      <c r="Y82" s="30" t="str">
        <f>IF($W82="Cambio Calado",COUNTIF($W$14:W82,"Cambio Calado"),"")</f>
        <v/>
      </c>
      <c r="Z82" s="31" t="str">
        <f t="shared" si="9"/>
        <v/>
      </c>
      <c r="AA82" s="30" t="str">
        <f t="shared" si="10"/>
        <v/>
      </c>
      <c r="AB82" s="29">
        <f>IFERROR(LOOKUP($A82,$Z$14:$Z82,$AA$14:$AA82),$U82)</f>
        <v>49</v>
      </c>
      <c r="AC82" s="32">
        <f>IFERROR($A83-LOOKUP($A83,$Z$14:$Z82),"")</f>
        <v>10</v>
      </c>
      <c r="AD82" s="1" cm="1">
        <f t="array" ref="AD82">IF(B82&lt;&gt;"",80,_xludf.NA())</f>
        <v>80</v>
      </c>
    </row>
    <row r="83" spans="1:30">
      <c r="A83" s="22">
        <f t="shared" si="6"/>
        <v>46273</v>
      </c>
      <c r="B83" s="9">
        <f>+[1]Balance_Madden!A81</f>
        <v>46273</v>
      </c>
      <c r="C83" s="24">
        <f>+VLOOKUP(B83,[1]Balance_Madden!$A$12:$E$5000,2)</f>
        <v>238.59</v>
      </c>
      <c r="D83" s="25">
        <f>+VLOOKUP(B83,[1]Balance_Gatún!$A$13:$E$5087,2)</f>
        <v>84.066999999999993</v>
      </c>
      <c r="E83" s="24">
        <f>+VLOOKUP(B83,[1]Balance_Madden!$A$12:$E$5087,5)/35.32</f>
        <v>51.18389014722537</v>
      </c>
      <c r="F83" s="26">
        <f>+VLOOKUP(B83,[1]Balance_Gatún!$A$13:$E$5087,5)/35.32</f>
        <v>60.061693091732728</v>
      </c>
      <c r="G83" s="24">
        <f>+VLOOKUP(B83,[1]Balance_Madden!$A$12:$K$5087,9)/111</f>
        <v>2.7027027027027026</v>
      </c>
      <c r="H83" s="25">
        <f>+VLOOKUP(B83,[1]Balance_Gatún!$A$13:$U$5087,21)/186</f>
        <v>0</v>
      </c>
      <c r="I83" s="24">
        <f>+(VLOOKUP(B83,[1]Balance_Madden!$A$12:$K$5087,10)/35.32)+VLOOKUP(B83,[1]Balance_Madden!$A$12:$K$5087,11)/35.32</f>
        <v>0</v>
      </c>
      <c r="J83" s="25">
        <f>+VLOOKUP(B83,[1]Balance_Gatún!$A$13:$AD$5087,23)/35.32+ VLOOKUP(B83,[1]Balance_Gatún!$A$13:$AD$5087,17)/35.32</f>
        <v>0</v>
      </c>
      <c r="K83" s="24">
        <f>+VLOOKUP(B83,[1]Balance_Gatún!$A$13:$AC$5087,10)</f>
        <v>24</v>
      </c>
      <c r="L83" s="25" t="str">
        <f>+VLOOKUP(B83,[1]Balance_Gatún!$A$13:$AC$5087,11)</f>
        <v>XFILL_PMG100%</v>
      </c>
      <c r="M83" s="25">
        <f>+VLOOKUP(B83,[1]Balance_Gatún!$A$13:$AC$5087,12)</f>
        <v>10</v>
      </c>
      <c r="N83" s="25" t="str">
        <f>+VLOOKUP(B83,[1]Balance_Gatún!$A$13:$AC$5087,13)</f>
        <v>TA+CCL100%</v>
      </c>
      <c r="O83" s="25">
        <f>+VLOOKUP(B83,[1]Balance_Gatún!$A$13:$AC$5087,14)/408.7</f>
        <v>6.052385056581925</v>
      </c>
      <c r="P83" s="24">
        <f>+VLOOKUP(B83,[1]Balance_Madden!$A$12:$V$5087,12)/35.32</f>
        <v>0.8857761173750055</v>
      </c>
      <c r="Q83" s="25">
        <f>+VLOOKUP(B83,[1]Balance_Gatún!$A$13:$AD$5087,15)/35.32</f>
        <v>8.1650754743870042</v>
      </c>
      <c r="R83" s="24">
        <f>+VLOOKUP(B83,[1]Balance_Madden!$A$12:$V$5087,14)/35.32</f>
        <v>21.633227986004677</v>
      </c>
      <c r="S83" s="26">
        <f>[1]Balance_Gatún!X82/35.32</f>
        <v>89.840352162524965</v>
      </c>
      <c r="T83" s="25">
        <v>78.11855316117628</v>
      </c>
      <c r="U83" s="25">
        <v>215.95760409284713</v>
      </c>
      <c r="V83" s="29">
        <f>LOOKUP(D83,[1]Parámetros!$A$7:$A$24,[1]Parámetros!$B$7:$B$24)</f>
        <v>49</v>
      </c>
      <c r="W83" s="30" t="str">
        <f t="shared" si="7"/>
        <v/>
      </c>
      <c r="X83" s="31" t="str">
        <f t="shared" si="8"/>
        <v/>
      </c>
      <c r="Y83" s="30" t="str">
        <f>IF($W83="Cambio Calado",COUNTIF($W$14:W83,"Cambio Calado"),"")</f>
        <v/>
      </c>
      <c r="Z83" s="31" t="str">
        <f t="shared" si="9"/>
        <v/>
      </c>
      <c r="AA83" s="30" t="str">
        <f t="shared" si="10"/>
        <v/>
      </c>
      <c r="AB83" s="29">
        <f>IFERROR(LOOKUP($A83,$Z$14:$Z83,$AA$14:$AA83),$U83)</f>
        <v>49</v>
      </c>
      <c r="AC83" s="32">
        <f>IFERROR($A84-LOOKUP($A84,$Z$14:$Z83),"")</f>
        <v>11</v>
      </c>
      <c r="AD83" s="1" cm="1">
        <f t="array" ref="AD83">IF(B83&lt;&gt;"",80,_xludf.NA())</f>
        <v>80</v>
      </c>
    </row>
    <row r="84" spans="1:30">
      <c r="A84" s="22">
        <f t="shared" si="6"/>
        <v>46274</v>
      </c>
      <c r="B84" s="9">
        <f>+[1]Balance_Madden!A82</f>
        <v>46274</v>
      </c>
      <c r="C84" s="24">
        <f>+VLOOKUP(B84,[1]Balance_Madden!$A$12:$E$5000,2)</f>
        <v>238.71</v>
      </c>
      <c r="D84" s="25">
        <f>+VLOOKUP(B84,[1]Balance_Gatún!$A$13:$E$5087,2)</f>
        <v>84.091999999999999</v>
      </c>
      <c r="E84" s="24">
        <f>+VLOOKUP(B84,[1]Balance_Madden!$A$12:$E$5087,5)/35.32</f>
        <v>41.398640996602495</v>
      </c>
      <c r="F84" s="26">
        <f>+VLOOKUP(B84,[1]Balance_Gatún!$A$13:$E$5087,5)/35.32</f>
        <v>108.96225934314836</v>
      </c>
      <c r="G84" s="24">
        <f>+VLOOKUP(B84,[1]Balance_Madden!$A$12:$K$5087,9)/111</f>
        <v>2.7027027027027026</v>
      </c>
      <c r="H84" s="25">
        <f>+VLOOKUP(B84,[1]Balance_Gatún!$A$13:$U$5087,21)/186</f>
        <v>0</v>
      </c>
      <c r="I84" s="24">
        <f>+(VLOOKUP(B84,[1]Balance_Madden!$A$12:$K$5087,10)/35.32)+VLOOKUP(B84,[1]Balance_Madden!$A$12:$K$5087,11)/35.32</f>
        <v>0</v>
      </c>
      <c r="J84" s="25">
        <f>+VLOOKUP(B84,[1]Balance_Gatún!$A$13:$AD$5087,23)/35.32+ VLOOKUP(B84,[1]Balance_Gatún!$A$13:$AD$5087,17)/35.32</f>
        <v>0</v>
      </c>
      <c r="K84" s="24">
        <f>+VLOOKUP(B84,[1]Balance_Gatún!$A$13:$AC$5087,10)</f>
        <v>24</v>
      </c>
      <c r="L84" s="25" t="str">
        <f>+VLOOKUP(B84,[1]Balance_Gatún!$A$13:$AC$5087,11)</f>
        <v>XFILL_PMG100%</v>
      </c>
      <c r="M84" s="25">
        <f>+VLOOKUP(B84,[1]Balance_Gatún!$A$13:$AC$5087,12)</f>
        <v>10</v>
      </c>
      <c r="N84" s="25" t="str">
        <f>+VLOOKUP(B84,[1]Balance_Gatún!$A$13:$AC$5087,13)</f>
        <v>TA+CCL100%</v>
      </c>
      <c r="O84" s="25">
        <f>+VLOOKUP(B84,[1]Balance_Gatún!$A$13:$AC$5087,14)/408.7</f>
        <v>6.0570114578122993</v>
      </c>
      <c r="P84" s="24">
        <f>+VLOOKUP(B84,[1]Balance_Madden!$A$12:$V$5087,12)/35.32</f>
        <v>1.358837562980898</v>
      </c>
      <c r="Q84" s="25">
        <f>+VLOOKUP(B84,[1]Balance_Gatún!$A$13:$AD$5087,15)/35.32</f>
        <v>12.510037455705064</v>
      </c>
      <c r="R84" s="24">
        <f>+VLOOKUP(B84,[1]Balance_Madden!$A$12:$V$5087,14)/35.32</f>
        <v>22.106289431610566</v>
      </c>
      <c r="S84" s="26">
        <f>[1]Balance_Gatún!X83/35.32</f>
        <v>94.238847840979318</v>
      </c>
      <c r="T84" s="25">
        <v>35.715572560368528</v>
      </c>
      <c r="U84" s="25">
        <v>51.776497186311381</v>
      </c>
      <c r="V84" s="29">
        <f>LOOKUP(D84,[1]Parámetros!$A$7:$A$24,[1]Parámetros!$B$7:$B$24)</f>
        <v>49</v>
      </c>
      <c r="W84" s="30" t="str">
        <f t="shared" si="7"/>
        <v/>
      </c>
      <c r="X84" s="31" t="str">
        <f t="shared" si="8"/>
        <v/>
      </c>
      <c r="Y84" s="30" t="str">
        <f>IF($W84="Cambio Calado",COUNTIF($W$14:W84,"Cambio Calado"),"")</f>
        <v/>
      </c>
      <c r="Z84" s="31" t="str">
        <f t="shared" si="9"/>
        <v/>
      </c>
      <c r="AA84" s="30" t="str">
        <f t="shared" si="10"/>
        <v/>
      </c>
      <c r="AB84" s="29">
        <f>IFERROR(LOOKUP($A84,$Z$14:$Z84,$AA$14:$AA84),$U84)</f>
        <v>49</v>
      </c>
      <c r="AC84" s="32">
        <f>IFERROR($A85-LOOKUP($A85,$Z$14:$Z84),"")</f>
        <v>12</v>
      </c>
      <c r="AD84" s="1" cm="1">
        <f t="array" ref="AD84">IF(B84&lt;&gt;"",80,_xludf.NA())</f>
        <v>80</v>
      </c>
    </row>
    <row r="85" spans="1:30">
      <c r="A85" s="22">
        <f t="shared" si="6"/>
        <v>46275</v>
      </c>
      <c r="B85" s="9">
        <f>+[1]Balance_Madden!A83</f>
        <v>46275</v>
      </c>
      <c r="C85" s="24">
        <f>+VLOOKUP(B85,[1]Balance_Madden!$A$12:$E$5000,2)</f>
        <v>238.92</v>
      </c>
      <c r="D85" s="25">
        <f>+VLOOKUP(B85,[1]Balance_Gatún!$A$13:$E$5087,2)</f>
        <v>84.046999999999997</v>
      </c>
      <c r="E85" s="24">
        <f>+VLOOKUP(B85,[1]Balance_Madden!$A$12:$E$5087,5)/35.32</f>
        <v>50.323640996602492</v>
      </c>
      <c r="F85" s="26">
        <f>+VLOOKUP(B85,[1]Balance_Gatún!$A$13:$E$5087,5)/35.32</f>
        <v>31.564269535673837</v>
      </c>
      <c r="G85" s="24">
        <f>+VLOOKUP(B85,[1]Balance_Madden!$A$12:$K$5087,9)/111</f>
        <v>2.7027027027027026</v>
      </c>
      <c r="H85" s="25">
        <f>+VLOOKUP(B85,[1]Balance_Gatún!$A$13:$U$5087,21)/186</f>
        <v>0</v>
      </c>
      <c r="I85" s="24">
        <f>+(VLOOKUP(B85,[1]Balance_Madden!$A$12:$K$5087,10)/35.32)+VLOOKUP(B85,[1]Balance_Madden!$A$12:$K$5087,11)/35.32</f>
        <v>0</v>
      </c>
      <c r="J85" s="25">
        <f>+VLOOKUP(B85,[1]Balance_Gatún!$A$13:$AD$5087,23)/35.32+ VLOOKUP(B85,[1]Balance_Gatún!$A$13:$AD$5087,17)/35.32</f>
        <v>0</v>
      </c>
      <c r="K85" s="24">
        <f>+VLOOKUP(B85,[1]Balance_Gatún!$A$13:$AC$5087,10)</f>
        <v>24</v>
      </c>
      <c r="L85" s="25" t="str">
        <f>+VLOOKUP(B85,[1]Balance_Gatún!$A$13:$AC$5087,11)</f>
        <v>XFILL_PMG100%</v>
      </c>
      <c r="M85" s="25">
        <f>+VLOOKUP(B85,[1]Balance_Gatún!$A$13:$AC$5087,12)</f>
        <v>10</v>
      </c>
      <c r="N85" s="25" t="str">
        <f>+VLOOKUP(B85,[1]Balance_Gatún!$A$13:$AC$5087,13)</f>
        <v>TA+CCL100%</v>
      </c>
      <c r="O85" s="25">
        <f>+VLOOKUP(B85,[1]Balance_Gatún!$A$13:$AC$5087,14)/408.7</f>
        <v>6.0486839355976283</v>
      </c>
      <c r="P85" s="24">
        <f>+VLOOKUP(B85,[1]Balance_Madden!$A$12:$V$5087,12)/35.32</f>
        <v>1.0246651749116165</v>
      </c>
      <c r="Q85" s="25">
        <f>+VLOOKUP(B85,[1]Balance_Gatún!$A$13:$AD$5087,15)/35.32</f>
        <v>9.4021323863034016</v>
      </c>
      <c r="R85" s="24">
        <f>+VLOOKUP(B85,[1]Balance_Madden!$A$12:$V$5087,14)/35.32</f>
        <v>21.772117043541286</v>
      </c>
      <c r="S85" s="26">
        <f>[1]Balance_Gatún!X84/35.32</f>
        <v>91.034582116732352</v>
      </c>
      <c r="T85" s="25">
        <v>42.290543146477667</v>
      </c>
      <c r="U85" s="25">
        <v>37.199709277309118</v>
      </c>
      <c r="V85" s="29">
        <f>LOOKUP(D85,[1]Parámetros!$A$7:$A$24,[1]Parámetros!$B$7:$B$24)</f>
        <v>49</v>
      </c>
      <c r="W85" s="30" t="str">
        <f t="shared" si="7"/>
        <v/>
      </c>
      <c r="X85" s="31" t="str">
        <f t="shared" si="8"/>
        <v/>
      </c>
      <c r="Y85" s="30" t="str">
        <f>IF($W85="Cambio Calado",COUNTIF($W$14:W85,"Cambio Calado"),"")</f>
        <v/>
      </c>
      <c r="Z85" s="31" t="str">
        <f t="shared" si="9"/>
        <v/>
      </c>
      <c r="AA85" s="30" t="str">
        <f t="shared" si="10"/>
        <v/>
      </c>
      <c r="AB85" s="29">
        <f>IFERROR(LOOKUP($A85,$Z$14:$Z85,$AA$14:$AA85),$U85)</f>
        <v>49</v>
      </c>
      <c r="AC85" s="32">
        <f>IFERROR($A86-LOOKUP($A86,$Z$14:$Z85),"")</f>
        <v>13</v>
      </c>
      <c r="AD85" s="1" cm="1">
        <f t="array" ref="AD85">IF(B85&lt;&gt;"",80,_xludf.NA())</f>
        <v>80</v>
      </c>
    </row>
    <row r="86" spans="1:30">
      <c r="A86" s="22">
        <f t="shared" si="6"/>
        <v>46276</v>
      </c>
      <c r="B86" s="9">
        <f>+[1]Balance_Madden!A84</f>
        <v>46276</v>
      </c>
      <c r="C86" s="24">
        <f>+VLOOKUP(B86,[1]Balance_Madden!$A$12:$E$5000,2)</f>
        <v>238.96</v>
      </c>
      <c r="D86" s="25">
        <f>+VLOOKUP(B86,[1]Balance_Gatún!$A$13:$E$5087,2)</f>
        <v>84.076999999999998</v>
      </c>
      <c r="E86" s="24">
        <f>+VLOOKUP(B86,[1]Balance_Madden!$A$12:$E$5087,5)/35.32</f>
        <v>37.097451868629669</v>
      </c>
      <c r="F86" s="26">
        <f>+VLOOKUP(B86,[1]Balance_Gatún!$A$13:$E$5087,5)/35.32</f>
        <v>22.39957531143828</v>
      </c>
      <c r="G86" s="24">
        <f>+VLOOKUP(B86,[1]Balance_Madden!$A$12:$K$5087,9)/111</f>
        <v>2.7027027027027026</v>
      </c>
      <c r="H86" s="25">
        <f>+VLOOKUP(B86,[1]Balance_Gatún!$A$13:$U$5087,21)/186</f>
        <v>0</v>
      </c>
      <c r="I86" s="24">
        <f>+(VLOOKUP(B86,[1]Balance_Madden!$A$12:$K$5087,10)/35.32)+VLOOKUP(B86,[1]Balance_Madden!$A$12:$K$5087,11)/35.32</f>
        <v>0</v>
      </c>
      <c r="J86" s="25">
        <f>+VLOOKUP(B86,[1]Balance_Gatún!$A$13:$AD$5087,23)/35.32+ VLOOKUP(B86,[1]Balance_Gatún!$A$13:$AD$5087,17)/35.32</f>
        <v>0</v>
      </c>
      <c r="K86" s="24">
        <f>+VLOOKUP(B86,[1]Balance_Gatún!$A$13:$AC$5087,10)</f>
        <v>24</v>
      </c>
      <c r="L86" s="25" t="str">
        <f>+VLOOKUP(B86,[1]Balance_Gatún!$A$13:$AC$5087,11)</f>
        <v>XFILL_PMG100%</v>
      </c>
      <c r="M86" s="25">
        <f>+VLOOKUP(B86,[1]Balance_Gatún!$A$13:$AC$5087,12)</f>
        <v>10</v>
      </c>
      <c r="N86" s="25" t="str">
        <f>+VLOOKUP(B86,[1]Balance_Gatún!$A$13:$AC$5087,13)</f>
        <v>TA+CCL100%</v>
      </c>
      <c r="O86" s="25">
        <f>+VLOOKUP(B86,[1]Balance_Gatún!$A$13:$AC$5087,14)/408.7</f>
        <v>6.0542356170740748</v>
      </c>
      <c r="P86" s="24">
        <f>+VLOOKUP(B86,[1]Balance_Madden!$A$12:$V$5087,12)/35.32</f>
        <v>0.77879100645002142</v>
      </c>
      <c r="Q86" s="25">
        <f>+VLOOKUP(B86,[1]Balance_Gatún!$A$13:$AD$5087,15)/35.32</f>
        <v>7.1450411709777661</v>
      </c>
      <c r="R86" s="24">
        <f>+VLOOKUP(B86,[1]Balance_Madden!$A$12:$V$5087,14)/35.32</f>
        <v>21.526242875079692</v>
      </c>
      <c r="S86" s="26">
        <f>[1]Balance_Gatún!X85/35.32</f>
        <v>88.841731337970245</v>
      </c>
      <c r="T86" s="25">
        <v>31.893359897482441</v>
      </c>
      <c r="U86" s="25">
        <v>29.797920761988347</v>
      </c>
      <c r="V86" s="29">
        <f>LOOKUP(D86,[1]Parámetros!$A$7:$A$24,[1]Parámetros!$B$7:$B$24)</f>
        <v>49</v>
      </c>
      <c r="W86" s="30" t="str">
        <f t="shared" si="7"/>
        <v/>
      </c>
      <c r="X86" s="31" t="str">
        <f t="shared" si="8"/>
        <v/>
      </c>
      <c r="Y86" s="30" t="str">
        <f>IF($W86="Cambio Calado",COUNTIF($W$14:W86,"Cambio Calado"),"")</f>
        <v/>
      </c>
      <c r="Z86" s="31" t="str">
        <f t="shared" si="9"/>
        <v/>
      </c>
      <c r="AA86" s="30" t="str">
        <f t="shared" si="10"/>
        <v/>
      </c>
      <c r="AB86" s="29">
        <f>IFERROR(LOOKUP($A86,$Z$14:$Z86,$AA$14:$AA86),$U86)</f>
        <v>49</v>
      </c>
      <c r="AC86" s="32">
        <f>IFERROR($A87-LOOKUP($A87,$Z$14:$Z86),"")</f>
        <v>14</v>
      </c>
      <c r="AD86" s="1" cm="1">
        <f t="array" ref="AD86">IF(B86&lt;&gt;"",80,_xludf.NA())</f>
        <v>80</v>
      </c>
    </row>
    <row r="87" spans="1:30">
      <c r="A87" s="22">
        <f t="shared" si="6"/>
        <v>46277</v>
      </c>
      <c r="B87" s="9">
        <f>+[1]Balance_Madden!A85</f>
        <v>46277</v>
      </c>
      <c r="C87" s="24">
        <f>+VLOOKUP(B87,[1]Balance_Madden!$A$12:$E$5000,2)</f>
        <v>239.04</v>
      </c>
      <c r="D87" s="25">
        <f>+VLOOKUP(B87,[1]Balance_Gatún!$A$13:$E$5087,2)</f>
        <v>84.081999999999994</v>
      </c>
      <c r="E87" s="24">
        <f>+VLOOKUP(B87,[1]Balance_Madden!$A$12:$E$5087,5)/35.32</f>
        <v>39.329331823329561</v>
      </c>
      <c r="F87" s="26">
        <f>+VLOOKUP(B87,[1]Balance_Gatún!$A$13:$E$5087,5)/35.32</f>
        <v>59.342440543601356</v>
      </c>
      <c r="G87" s="24">
        <f>+VLOOKUP(B87,[1]Balance_Madden!$A$12:$K$5087,9)/111</f>
        <v>2.7027027027027026</v>
      </c>
      <c r="H87" s="25">
        <f>+VLOOKUP(B87,[1]Balance_Gatún!$A$13:$U$5087,21)/186</f>
        <v>0</v>
      </c>
      <c r="I87" s="24">
        <f>+(VLOOKUP(B87,[1]Balance_Madden!$A$12:$K$5087,10)/35.32)+VLOOKUP(B87,[1]Balance_Madden!$A$12:$K$5087,11)/35.32</f>
        <v>0</v>
      </c>
      <c r="J87" s="25">
        <f>+VLOOKUP(B87,[1]Balance_Gatún!$A$13:$AD$5087,23)/35.32+ VLOOKUP(B87,[1]Balance_Gatún!$A$13:$AD$5087,17)/35.32</f>
        <v>0</v>
      </c>
      <c r="K87" s="24">
        <f>+VLOOKUP(B87,[1]Balance_Gatún!$A$13:$AC$5087,10)</f>
        <v>24</v>
      </c>
      <c r="L87" s="25" t="str">
        <f>+VLOOKUP(B87,[1]Balance_Gatún!$A$13:$AC$5087,11)</f>
        <v>XFILL_PMG100%</v>
      </c>
      <c r="M87" s="25">
        <f>+VLOOKUP(B87,[1]Balance_Gatún!$A$13:$AC$5087,12)</f>
        <v>10</v>
      </c>
      <c r="N87" s="25" t="str">
        <f>+VLOOKUP(B87,[1]Balance_Gatún!$A$13:$AC$5087,13)</f>
        <v>TA+CCL100%</v>
      </c>
      <c r="O87" s="25">
        <f>+VLOOKUP(B87,[1]Balance_Gatún!$A$13:$AC$5087,14)/408.7</f>
        <v>6.055160897320147</v>
      </c>
      <c r="P87" s="24">
        <f>+VLOOKUP(B87,[1]Balance_Madden!$A$12:$V$5087,12)/35.32</f>
        <v>2.2158268184542149</v>
      </c>
      <c r="Q87" s="25">
        <f>+VLOOKUP(B87,[1]Balance_Gatún!$A$13:$AD$5087,15)/35.32</f>
        <v>20.309181083889495</v>
      </c>
      <c r="R87" s="24">
        <f>+VLOOKUP(B87,[1]Balance_Madden!$A$12:$V$5087,14)/35.32</f>
        <v>22.963278687083886</v>
      </c>
      <c r="S87" s="26">
        <f>[1]Balance_Gatún!X86/35.32</f>
        <v>102.0165779903092</v>
      </c>
      <c r="T87" s="25">
        <v>43.144456966685432</v>
      </c>
      <c r="U87" s="25">
        <v>37.794355521625505</v>
      </c>
      <c r="V87" s="29">
        <f>LOOKUP(D87,[1]Parámetros!$A$7:$A$24,[1]Parámetros!$B$7:$B$24)</f>
        <v>49</v>
      </c>
      <c r="W87" s="30" t="str">
        <f t="shared" si="7"/>
        <v/>
      </c>
      <c r="X87" s="31" t="str">
        <f t="shared" si="8"/>
        <v/>
      </c>
      <c r="Y87" s="30" t="str">
        <f>IF($W87="Cambio Calado",COUNTIF($W$14:W87,"Cambio Calado"),"")</f>
        <v/>
      </c>
      <c r="Z87" s="31" t="str">
        <f t="shared" si="9"/>
        <v/>
      </c>
      <c r="AA87" s="30" t="str">
        <f t="shared" si="10"/>
        <v/>
      </c>
      <c r="AB87" s="29">
        <f>IFERROR(LOOKUP($A87,$Z$14:$Z87,$AA$14:$AA87),$U87)</f>
        <v>49</v>
      </c>
      <c r="AC87" s="32">
        <f>IFERROR($A88-LOOKUP($A88,$Z$14:$Z87),"")</f>
        <v>15</v>
      </c>
      <c r="AD87" s="1" cm="1">
        <f t="array" ref="AD87">IF(B87&lt;&gt;"",80,_xludf.NA())</f>
        <v>80</v>
      </c>
    </row>
    <row r="88" spans="1:30">
      <c r="A88" s="22">
        <f t="shared" si="6"/>
        <v>46278</v>
      </c>
      <c r="B88" s="9">
        <f>+[1]Balance_Madden!A86</f>
        <v>46278</v>
      </c>
      <c r="C88" s="24">
        <f>+VLOOKUP(B88,[1]Balance_Madden!$A$12:$E$5000,2)</f>
        <v>239.54</v>
      </c>
      <c r="D88" s="25">
        <f>+VLOOKUP(B88,[1]Balance_Gatún!$A$13:$E$5087,2)</f>
        <v>84.19</v>
      </c>
      <c r="E88" s="24">
        <f>+VLOOKUP(B88,[1]Balance_Madden!$A$12:$E$5087,5)/35.32</f>
        <v>34.117185730464328</v>
      </c>
      <c r="F88" s="26">
        <f>+VLOOKUP(B88,[1]Balance_Gatún!$A$13:$E$5087,5)/35.32</f>
        <v>33.094365798414493</v>
      </c>
      <c r="G88" s="24">
        <f>+VLOOKUP(B88,[1]Balance_Madden!$A$12:$K$5087,9)/111</f>
        <v>2.7027027027027026</v>
      </c>
      <c r="H88" s="25">
        <f>+VLOOKUP(B88,[1]Balance_Gatún!$A$13:$U$5087,21)/186</f>
        <v>0</v>
      </c>
      <c r="I88" s="24">
        <f>+(VLOOKUP(B88,[1]Balance_Madden!$A$12:$K$5087,10)/35.32)+VLOOKUP(B88,[1]Balance_Madden!$A$12:$K$5087,11)/35.32</f>
        <v>0</v>
      </c>
      <c r="J88" s="25">
        <f>+VLOOKUP(B88,[1]Balance_Gatún!$A$13:$AD$5087,23)/35.32+ VLOOKUP(B88,[1]Balance_Gatún!$A$13:$AD$5087,17)/35.32</f>
        <v>0</v>
      </c>
      <c r="K88" s="24">
        <f>+VLOOKUP(B88,[1]Balance_Gatún!$A$13:$AC$5087,10)</f>
        <v>24</v>
      </c>
      <c r="L88" s="25" t="str">
        <f>+VLOOKUP(B88,[1]Balance_Gatún!$A$13:$AC$5087,11)</f>
        <v>XFILL_PMG100%</v>
      </c>
      <c r="M88" s="25">
        <f>+VLOOKUP(B88,[1]Balance_Gatún!$A$13:$AC$5087,12)</f>
        <v>10</v>
      </c>
      <c r="N88" s="25" t="str">
        <f>+VLOOKUP(B88,[1]Balance_Gatún!$A$13:$AC$5087,13)</f>
        <v>TA+CCL100%</v>
      </c>
      <c r="O88" s="25">
        <f>+VLOOKUP(B88,[1]Balance_Gatún!$A$13:$AC$5087,14)/408.7</f>
        <v>6.0751469506353537</v>
      </c>
      <c r="P88" s="24">
        <f>+VLOOKUP(B88,[1]Balance_Madden!$A$12:$V$5087,12)/35.32</f>
        <v>2.6616639034410041</v>
      </c>
      <c r="Q88" s="25">
        <f>+VLOOKUP(B88,[1]Balance_Gatún!$A$13:$AD$5087,15)/35.32</f>
        <v>24.270161983795774</v>
      </c>
      <c r="R88" s="24">
        <f>+VLOOKUP(B88,[1]Balance_Madden!$A$12:$V$5087,14)/35.32</f>
        <v>23.409115772070674</v>
      </c>
      <c r="S88" s="26">
        <f>[1]Balance_Gatún!X87/35.32</f>
        <v>106.20882446184416</v>
      </c>
      <c r="T88" s="25">
        <v>56.246436803878893</v>
      </c>
      <c r="U88" s="25">
        <v>35.724110384315956</v>
      </c>
      <c r="V88" s="29">
        <f>LOOKUP(D88,[1]Parámetros!$A$7:$A$24,[1]Parámetros!$B$7:$B$24)</f>
        <v>49</v>
      </c>
      <c r="W88" s="30" t="str">
        <f t="shared" si="7"/>
        <v/>
      </c>
      <c r="X88" s="31" t="str">
        <f t="shared" si="8"/>
        <v/>
      </c>
      <c r="Y88" s="30" t="str">
        <f>IF($W88="Cambio Calado",COUNTIF($W$14:W88,"Cambio Calado"),"")</f>
        <v/>
      </c>
      <c r="Z88" s="31" t="str">
        <f t="shared" si="9"/>
        <v/>
      </c>
      <c r="AA88" s="30" t="str">
        <f t="shared" si="10"/>
        <v/>
      </c>
      <c r="AB88" s="29">
        <f>IFERROR(LOOKUP($A88,$Z$14:$Z88,$AA$14:$AA88),$U88)</f>
        <v>49</v>
      </c>
      <c r="AC88" s="32">
        <f>IFERROR($A89-LOOKUP($A89,$Z$14:$Z88),"")</f>
        <v>16</v>
      </c>
      <c r="AD88" s="1" cm="1">
        <f t="array" ref="AD88">IF(B88&lt;&gt;"",80,_xludf.NA())</f>
        <v>80</v>
      </c>
    </row>
    <row r="89" spans="1:30">
      <c r="A89" s="22">
        <f t="shared" si="6"/>
        <v>46279</v>
      </c>
      <c r="B89" s="9">
        <f>+[1]Balance_Madden!A87</f>
        <v>46279</v>
      </c>
      <c r="C89" s="24">
        <f>+VLOOKUP(B89,[1]Balance_Madden!$A$12:$E$5000,2)</f>
        <v>239.62</v>
      </c>
      <c r="D89" s="25">
        <f>+VLOOKUP(B89,[1]Balance_Gatún!$A$13:$E$5087,2)</f>
        <v>84.289000000000001</v>
      </c>
      <c r="E89" s="24">
        <f>+VLOOKUP(B89,[1]Balance_Madden!$A$12:$E$5087,5)/35.32</f>
        <v>46.46172140430351</v>
      </c>
      <c r="F89" s="26">
        <f>+VLOOKUP(B89,[1]Balance_Gatún!$A$13:$E$5087,5)/35.32</f>
        <v>129.26735560588901</v>
      </c>
      <c r="G89" s="24">
        <f>+VLOOKUP(B89,[1]Balance_Madden!$A$12:$K$5087,9)/111</f>
        <v>2.7027027027027026</v>
      </c>
      <c r="H89" s="25">
        <f>+VLOOKUP(B89,[1]Balance_Gatún!$A$13:$U$5087,21)/186</f>
        <v>0</v>
      </c>
      <c r="I89" s="24">
        <f>+(VLOOKUP(B89,[1]Balance_Madden!$A$12:$K$5087,10)/35.32)+VLOOKUP(B89,[1]Balance_Madden!$A$12:$K$5087,11)/35.32</f>
        <v>0</v>
      </c>
      <c r="J89" s="25">
        <f>+VLOOKUP(B89,[1]Balance_Gatún!$A$13:$AD$5087,23)/35.32+ VLOOKUP(B89,[1]Balance_Gatún!$A$13:$AD$5087,17)/35.32</f>
        <v>0</v>
      </c>
      <c r="K89" s="24">
        <f>+VLOOKUP(B89,[1]Balance_Gatún!$A$13:$AC$5087,10)</f>
        <v>24</v>
      </c>
      <c r="L89" s="25" t="str">
        <f>+VLOOKUP(B89,[1]Balance_Gatún!$A$13:$AC$5087,11)</f>
        <v>XFILL_PMG100%</v>
      </c>
      <c r="M89" s="25">
        <f>+VLOOKUP(B89,[1]Balance_Gatún!$A$13:$AC$5087,12)</f>
        <v>10</v>
      </c>
      <c r="N89" s="25" t="str">
        <f>+VLOOKUP(B89,[1]Balance_Gatún!$A$13:$AC$5087,13)</f>
        <v>TA+CCL100%</v>
      </c>
      <c r="O89" s="25">
        <f>+VLOOKUP(B89,[1]Balance_Gatún!$A$13:$AC$5087,14)/408.7</f>
        <v>6.0934674995076232</v>
      </c>
      <c r="P89" s="24">
        <f>+VLOOKUP(B89,[1]Balance_Madden!$A$12:$V$5087,12)/35.32</f>
        <v>2.5130864246682476</v>
      </c>
      <c r="Q89" s="25">
        <f>+VLOOKUP(B89,[1]Balance_Gatún!$A$13:$AD$5087,15)/35.32</f>
        <v>22.920484194239606</v>
      </c>
      <c r="R89" s="24">
        <f>+VLOOKUP(B89,[1]Balance_Madden!$A$12:$V$5087,14)/35.32</f>
        <v>23.260538293297916</v>
      </c>
      <c r="S89" s="26">
        <f>[1]Balance_Gatún!X88/35.32</f>
        <v>105.07114011294757</v>
      </c>
      <c r="T89" s="25">
        <v>20.655212741567915</v>
      </c>
      <c r="U89" s="25">
        <v>28.145020430518777</v>
      </c>
      <c r="V89" s="29">
        <f>LOOKUP(D89,[1]Parámetros!$A$7:$A$24,[1]Parámetros!$B$7:$B$24)</f>
        <v>49</v>
      </c>
      <c r="W89" s="30" t="str">
        <f t="shared" si="7"/>
        <v/>
      </c>
      <c r="X89" s="31" t="str">
        <f t="shared" si="8"/>
        <v/>
      </c>
      <c r="Y89" s="30" t="str">
        <f>IF($W89="Cambio Calado",COUNTIF($W$14:W89,"Cambio Calado"),"")</f>
        <v/>
      </c>
      <c r="Z89" s="31" t="str">
        <f t="shared" si="9"/>
        <v/>
      </c>
      <c r="AA89" s="30" t="str">
        <f t="shared" si="10"/>
        <v/>
      </c>
      <c r="AB89" s="29">
        <f>IFERROR(LOOKUP($A89,$Z$14:$Z89,$AA$14:$AA89),$U89)</f>
        <v>49</v>
      </c>
      <c r="AC89" s="32">
        <f>IFERROR($A90-LOOKUP($A90,$Z$14:$Z89),"")</f>
        <v>17</v>
      </c>
      <c r="AD89" s="1" cm="1">
        <f t="array" ref="AD89">IF(B89&lt;&gt;"",80,_xludf.NA())</f>
        <v>80</v>
      </c>
    </row>
    <row r="90" spans="1:30">
      <c r="A90" s="22">
        <f t="shared" si="6"/>
        <v>46280</v>
      </c>
      <c r="B90" s="9">
        <f>+[1]Balance_Madden!A88</f>
        <v>46280</v>
      </c>
      <c r="C90" s="24">
        <f>+VLOOKUP(B90,[1]Balance_Madden!$A$12:$E$5000,2)</f>
        <v>239.65</v>
      </c>
      <c r="D90" s="25">
        <f>+VLOOKUP(B90,[1]Balance_Gatún!$A$13:$E$5087,2)</f>
        <v>84.403999999999996</v>
      </c>
      <c r="E90" s="24">
        <f>+VLOOKUP(B90,[1]Balance_Madden!$A$12:$E$5087,5)/35.32</f>
        <v>98.21724235560589</v>
      </c>
      <c r="F90" s="26">
        <f>+VLOOKUP(B90,[1]Balance_Gatún!$A$13:$E$5087,5)/35.32</f>
        <v>132.41712910532277</v>
      </c>
      <c r="G90" s="24">
        <f>+VLOOKUP(B90,[1]Balance_Madden!$A$12:$K$5087,9)/111</f>
        <v>2.7027027027027026</v>
      </c>
      <c r="H90" s="25">
        <f>+VLOOKUP(B90,[1]Balance_Gatún!$A$13:$U$5087,21)/186</f>
        <v>0</v>
      </c>
      <c r="I90" s="24">
        <f>+(VLOOKUP(B90,[1]Balance_Madden!$A$12:$K$5087,10)/35.32)+VLOOKUP(B90,[1]Balance_Madden!$A$12:$K$5087,11)/35.32</f>
        <v>0</v>
      </c>
      <c r="J90" s="25">
        <f>+VLOOKUP(B90,[1]Balance_Gatún!$A$13:$AD$5087,23)/35.32+ VLOOKUP(B90,[1]Balance_Gatún!$A$13:$AD$5087,17)/35.32</f>
        <v>0</v>
      </c>
      <c r="K90" s="24">
        <f>+VLOOKUP(B90,[1]Balance_Gatún!$A$13:$AC$5087,10)</f>
        <v>24</v>
      </c>
      <c r="L90" s="25" t="str">
        <f>+VLOOKUP(B90,[1]Balance_Gatún!$A$13:$AC$5087,11)</f>
        <v>XFILL_PMG100%</v>
      </c>
      <c r="M90" s="25">
        <f>+VLOOKUP(B90,[1]Balance_Gatún!$A$13:$AC$5087,12)</f>
        <v>10</v>
      </c>
      <c r="N90" s="25" t="str">
        <f>+VLOOKUP(B90,[1]Balance_Gatún!$A$13:$AC$5087,13)</f>
        <v>TA+CCL100%</v>
      </c>
      <c r="O90" s="25">
        <f>+VLOOKUP(B90,[1]Balance_Gatún!$A$13:$AC$5087,14)/408.7</f>
        <v>6.114748945167328</v>
      </c>
      <c r="P90" s="24">
        <f>+VLOOKUP(B90,[1]Balance_Madden!$A$12:$V$5087,12)/35.32</f>
        <v>2.4906911631655126</v>
      </c>
      <c r="Q90" s="25">
        <f>+VLOOKUP(B90,[1]Balance_Gatún!$A$13:$AD$5087,15)/35.32</f>
        <v>22.740730819821824</v>
      </c>
      <c r="R90" s="24">
        <f>+VLOOKUP(B90,[1]Balance_Madden!$A$12:$V$5087,14)/35.32</f>
        <v>23.238143031795182</v>
      </c>
      <c r="S90" s="26">
        <f>[1]Balance_Gatún!X89/35.32</f>
        <v>105.13764174535658</v>
      </c>
      <c r="T90" s="25">
        <v>26.443413481667108</v>
      </c>
      <c r="U90" s="25">
        <v>21.078527619610782</v>
      </c>
      <c r="V90" s="29">
        <f>LOOKUP(D90,[1]Parámetros!$A$7:$A$24,[1]Parámetros!$B$7:$B$24)</f>
        <v>49</v>
      </c>
      <c r="W90" s="30" t="str">
        <f t="shared" si="7"/>
        <v/>
      </c>
      <c r="X90" s="31" t="str">
        <f t="shared" si="8"/>
        <v/>
      </c>
      <c r="Y90" s="30" t="str">
        <f>IF($W90="Cambio Calado",COUNTIF($W$14:W90,"Cambio Calado"),"")</f>
        <v/>
      </c>
      <c r="Z90" s="31" t="str">
        <f t="shared" si="9"/>
        <v/>
      </c>
      <c r="AA90" s="30" t="str">
        <f t="shared" si="10"/>
        <v/>
      </c>
      <c r="AB90" s="29">
        <f>IFERROR(LOOKUP($A90,$Z$14:$Z90,$AA$14:$AA90),$U90)</f>
        <v>49</v>
      </c>
      <c r="AC90" s="32">
        <f>IFERROR($A91-LOOKUP($A91,$Z$14:$Z90),"")</f>
        <v>18</v>
      </c>
      <c r="AD90" s="1" cm="1">
        <f t="array" ref="AD90">IF(B90&lt;&gt;"",80,_xludf.NA())</f>
        <v>80</v>
      </c>
    </row>
    <row r="91" spans="1:30">
      <c r="A91" s="22">
        <f t="shared" si="6"/>
        <v>46281</v>
      </c>
      <c r="B91" s="9">
        <f>+[1]Balance_Madden!A89</f>
        <v>46281</v>
      </c>
      <c r="C91" s="24">
        <f>+VLOOKUP(B91,[1]Balance_Madden!$A$12:$E$5000,2)</f>
        <v>240.15</v>
      </c>
      <c r="D91" s="25">
        <f>+VLOOKUP(B91,[1]Balance_Gatún!$A$13:$E$5087,2)</f>
        <v>84.477000000000004</v>
      </c>
      <c r="E91" s="24">
        <f>+VLOOKUP(B91,[1]Balance_Madden!$A$12:$E$5087,5)/35.32</f>
        <v>40.518063420158548</v>
      </c>
      <c r="F91" s="26">
        <f>+VLOOKUP(B91,[1]Balance_Gatún!$A$13:$E$5087,5)/35.32</f>
        <v>47.268318233295581</v>
      </c>
      <c r="G91" s="24">
        <f>+VLOOKUP(B91,[1]Balance_Madden!$A$12:$K$5087,9)/111</f>
        <v>2.7027027027027026</v>
      </c>
      <c r="H91" s="25">
        <f>+VLOOKUP(B91,[1]Balance_Gatún!$A$13:$U$5087,21)/186</f>
        <v>0</v>
      </c>
      <c r="I91" s="24">
        <f>+(VLOOKUP(B91,[1]Balance_Madden!$A$12:$K$5087,10)/35.32)+VLOOKUP(B91,[1]Balance_Madden!$A$12:$K$5087,11)/35.32</f>
        <v>0</v>
      </c>
      <c r="J91" s="25">
        <f>+VLOOKUP(B91,[1]Balance_Gatún!$A$13:$AD$5087,23)/35.32+ VLOOKUP(B91,[1]Balance_Gatún!$A$13:$AD$5087,17)/35.32</f>
        <v>0</v>
      </c>
      <c r="K91" s="24">
        <f>+VLOOKUP(B91,[1]Balance_Gatún!$A$13:$AC$5087,10)</f>
        <v>24</v>
      </c>
      <c r="L91" s="25" t="str">
        <f>+VLOOKUP(B91,[1]Balance_Gatún!$A$13:$AC$5087,11)</f>
        <v>XFILL_PMG100%</v>
      </c>
      <c r="M91" s="25">
        <f>+VLOOKUP(B91,[1]Balance_Gatún!$A$13:$AC$5087,12)</f>
        <v>10</v>
      </c>
      <c r="N91" s="25" t="str">
        <f>+VLOOKUP(B91,[1]Balance_Gatún!$A$13:$AC$5087,13)</f>
        <v>TA+CCL100%</v>
      </c>
      <c r="O91" s="25">
        <f>+VLOOKUP(B91,[1]Balance_Gatún!$A$13:$AC$5087,14)/408.7</f>
        <v>6.1282580367600143</v>
      </c>
      <c r="P91" s="24">
        <f>+VLOOKUP(B91,[1]Balance_Madden!$A$12:$V$5087,12)/35.32</f>
        <v>2.4263670761372991</v>
      </c>
      <c r="Q91" s="25">
        <f>+VLOOKUP(B91,[1]Balance_Gatún!$A$13:$AD$5087,15)/35.32</f>
        <v>22.030297799485659</v>
      </c>
      <c r="R91" s="24">
        <f>+VLOOKUP(B91,[1]Balance_Madden!$A$12:$V$5087,14)/35.32</f>
        <v>23.173818944766971</v>
      </c>
      <c r="S91" s="26">
        <f>[1]Balance_Gatún!X90/35.32</f>
        <v>104.5835271206583</v>
      </c>
      <c r="T91" s="25">
        <v>26.641096769612801</v>
      </c>
      <c r="U91" s="25">
        <v>23.504636737283047</v>
      </c>
      <c r="V91" s="29">
        <f>LOOKUP(D91,[1]Parámetros!$A$7:$A$24,[1]Parámetros!$B$7:$B$24)</f>
        <v>49</v>
      </c>
      <c r="W91" s="30" t="str">
        <f t="shared" si="7"/>
        <v/>
      </c>
      <c r="X91" s="31" t="str">
        <f t="shared" si="8"/>
        <v/>
      </c>
      <c r="Y91" s="30" t="str">
        <f>IF($W91="Cambio Calado",COUNTIF($W$14:W91,"Cambio Calado"),"")</f>
        <v/>
      </c>
      <c r="Z91" s="31" t="str">
        <f t="shared" si="9"/>
        <v/>
      </c>
      <c r="AA91" s="30" t="str">
        <f t="shared" si="10"/>
        <v/>
      </c>
      <c r="AB91" s="29">
        <f>IFERROR(LOOKUP($A91,$Z$14:$Z91,$AA$14:$AA91),$U91)</f>
        <v>49</v>
      </c>
      <c r="AC91" s="32">
        <f>IFERROR($A92-LOOKUP($A92,$Z$14:$Z91),"")</f>
        <v>19</v>
      </c>
      <c r="AD91" s="1" cm="1">
        <f t="array" ref="AD91">IF(B91&lt;&gt;"",80,_xludf.NA())</f>
        <v>80</v>
      </c>
    </row>
    <row r="92" spans="1:30">
      <c r="A92" s="22">
        <f t="shared" si="6"/>
        <v>46282</v>
      </c>
      <c r="B92" s="9">
        <f>+[1]Balance_Madden!A90</f>
        <v>46282</v>
      </c>
      <c r="C92" s="24">
        <f>+VLOOKUP(B92,[1]Balance_Madden!$A$12:$E$5000,2)</f>
        <v>240.41</v>
      </c>
      <c r="D92" s="25">
        <f>+VLOOKUP(B92,[1]Balance_Gatún!$A$13:$E$5087,2)</f>
        <v>84.471999999999994</v>
      </c>
      <c r="E92" s="24">
        <f>+VLOOKUP(B92,[1]Balance_Madden!$A$12:$E$5087,5)/35.32</f>
        <v>33.385673839184598</v>
      </c>
      <c r="F92" s="26">
        <f>+VLOOKUP(B92,[1]Balance_Gatún!$A$13:$E$5087,5)/35.32</f>
        <v>31.729445073612684</v>
      </c>
      <c r="G92" s="24">
        <f>+VLOOKUP(B92,[1]Balance_Madden!$A$12:$K$5087,9)/111</f>
        <v>2.7027027027027026</v>
      </c>
      <c r="H92" s="25">
        <f>+VLOOKUP(B92,[1]Balance_Gatún!$A$13:$U$5087,21)/186</f>
        <v>0</v>
      </c>
      <c r="I92" s="24">
        <f>+(VLOOKUP(B92,[1]Balance_Madden!$A$12:$K$5087,10)/35.32)+VLOOKUP(B92,[1]Balance_Madden!$A$12:$K$5087,11)/35.32</f>
        <v>0</v>
      </c>
      <c r="J92" s="25">
        <f>+VLOOKUP(B92,[1]Balance_Gatún!$A$13:$AD$5087,23)/35.32+ VLOOKUP(B92,[1]Balance_Gatún!$A$13:$AD$5087,17)/35.32</f>
        <v>0</v>
      </c>
      <c r="K92" s="24">
        <f>+VLOOKUP(B92,[1]Balance_Gatún!$A$13:$AC$5087,10)</f>
        <v>24</v>
      </c>
      <c r="L92" s="25" t="str">
        <f>+VLOOKUP(B92,[1]Balance_Gatún!$A$13:$AC$5087,11)</f>
        <v>XFILL_PMG100%</v>
      </c>
      <c r="M92" s="25">
        <f>+VLOOKUP(B92,[1]Balance_Gatún!$A$13:$AC$5087,12)</f>
        <v>10</v>
      </c>
      <c r="N92" s="25" t="str">
        <f>+VLOOKUP(B92,[1]Balance_Gatún!$A$13:$AC$5087,13)</f>
        <v>TA+CCL100%</v>
      </c>
      <c r="O92" s="25">
        <f>+VLOOKUP(B92,[1]Balance_Gatún!$A$13:$AC$5087,14)/408.7</f>
        <v>6.1273327565139386</v>
      </c>
      <c r="P92" s="24">
        <f>+VLOOKUP(B92,[1]Balance_Madden!$A$12:$V$5087,12)/35.32</f>
        <v>1.4896026404141114</v>
      </c>
      <c r="Q92" s="25">
        <f>+VLOOKUP(B92,[1]Balance_Gatún!$A$13:$AD$5087,15)/35.32</f>
        <v>13.478501163020201</v>
      </c>
      <c r="R92" s="24">
        <f>+VLOOKUP(B92,[1]Balance_Madden!$A$12:$V$5087,14)/35.32</f>
        <v>22.23705450904378</v>
      </c>
      <c r="S92" s="26">
        <f>[1]Balance_Gatún!X91/35.32</f>
        <v>96.021023744765586</v>
      </c>
      <c r="T92" s="25">
        <v>50.347524403101964</v>
      </c>
      <c r="U92" s="25">
        <v>22.617956743483411</v>
      </c>
      <c r="V92" s="29">
        <f>LOOKUP(D92,[1]Parámetros!$A$7:$A$24,[1]Parámetros!$B$7:$B$24)</f>
        <v>49</v>
      </c>
      <c r="W92" s="30" t="str">
        <f t="shared" si="7"/>
        <v/>
      </c>
      <c r="X92" s="31" t="str">
        <f t="shared" si="8"/>
        <v/>
      </c>
      <c r="Y92" s="30" t="str">
        <f>IF($W92="Cambio Calado",COUNTIF($W$14:W92,"Cambio Calado"),"")</f>
        <v/>
      </c>
      <c r="Z92" s="31" t="str">
        <f t="shared" si="9"/>
        <v/>
      </c>
      <c r="AA92" s="30" t="str">
        <f t="shared" si="10"/>
        <v/>
      </c>
      <c r="AB92" s="29">
        <f>IFERROR(LOOKUP($A92,$Z$14:$Z92,$AA$14:$AA92),$U92)</f>
        <v>49</v>
      </c>
      <c r="AC92" s="32">
        <f>IFERROR($A93-LOOKUP($A93,$Z$14:$Z92),"")</f>
        <v>20</v>
      </c>
      <c r="AD92" s="1" cm="1">
        <f t="array" ref="AD92">IF(B92&lt;&gt;"",80,_xludf.NA())</f>
        <v>80</v>
      </c>
    </row>
    <row r="93" spans="1:30">
      <c r="A93" s="22">
        <f t="shared" si="6"/>
        <v>46283</v>
      </c>
      <c r="B93" s="9">
        <f>+[1]Balance_Madden!A91</f>
        <v>46283</v>
      </c>
      <c r="C93" s="24">
        <f>+VLOOKUP(B93,[1]Balance_Madden!$A$12:$E$5000,2)</f>
        <v>240.66</v>
      </c>
      <c r="D93" s="25">
        <f>+VLOOKUP(B93,[1]Balance_Gatún!$A$13:$E$5087,2)</f>
        <v>84.475999999999999</v>
      </c>
      <c r="E93" s="24">
        <f>+VLOOKUP(B93,[1]Balance_Madden!$A$12:$E$5087,5)/35.32</f>
        <v>30.368120045300117</v>
      </c>
      <c r="F93" s="26">
        <f>+VLOOKUP(B93,[1]Balance_Gatún!$A$13:$E$5087,5)/35.32</f>
        <v>32.884371460928655</v>
      </c>
      <c r="G93" s="24">
        <f>+VLOOKUP(B93,[1]Balance_Madden!$A$12:$K$5087,9)/111</f>
        <v>2.7027027027027026</v>
      </c>
      <c r="H93" s="25">
        <f>+VLOOKUP(B93,[1]Balance_Gatún!$A$13:$U$5087,21)/186</f>
        <v>0</v>
      </c>
      <c r="I93" s="24">
        <f>+(VLOOKUP(B93,[1]Balance_Madden!$A$12:$K$5087,10)/35.32)+VLOOKUP(B93,[1]Balance_Madden!$A$12:$K$5087,11)/35.32</f>
        <v>0</v>
      </c>
      <c r="J93" s="25">
        <f>+VLOOKUP(B93,[1]Balance_Gatún!$A$13:$AD$5087,23)/35.32+ VLOOKUP(B93,[1]Balance_Gatún!$A$13:$AD$5087,17)/35.32</f>
        <v>0</v>
      </c>
      <c r="K93" s="24">
        <f>+VLOOKUP(B93,[1]Balance_Gatún!$A$13:$AC$5087,10)</f>
        <v>24</v>
      </c>
      <c r="L93" s="25" t="str">
        <f>+VLOOKUP(B93,[1]Balance_Gatún!$A$13:$AC$5087,11)</f>
        <v>XFILL_PMG100%</v>
      </c>
      <c r="M93" s="25">
        <f>+VLOOKUP(B93,[1]Balance_Gatún!$A$13:$AC$5087,12)</f>
        <v>10</v>
      </c>
      <c r="N93" s="25" t="str">
        <f>+VLOOKUP(B93,[1]Balance_Gatún!$A$13:$AC$5087,13)</f>
        <v>TA+CCL100%</v>
      </c>
      <c r="O93" s="25">
        <f>+VLOOKUP(B93,[1]Balance_Gatún!$A$13:$AC$5087,14)/408.7</f>
        <v>6.1280729807107974</v>
      </c>
      <c r="P93" s="24">
        <f>+VLOOKUP(B93,[1]Balance_Madden!$A$12:$V$5087,12)/35.32</f>
        <v>1.0931326654809794</v>
      </c>
      <c r="Q93" s="25">
        <f>+VLOOKUP(B93,[1]Balance_Gatún!$A$13:$AD$5087,15)/35.32</f>
        <v>9.859619805041925</v>
      </c>
      <c r="R93" s="24">
        <f>+VLOOKUP(B93,[1]Balance_Madden!$A$12:$V$5087,14)/35.32</f>
        <v>21.840584534110651</v>
      </c>
      <c r="S93" s="26">
        <f>[1]Balance_Gatún!X92/35.32</f>
        <v>92.410707778329098</v>
      </c>
      <c r="T93" s="25">
        <v>99.838942374957213</v>
      </c>
      <c r="U93" s="25">
        <v>81.133860951367282</v>
      </c>
      <c r="V93" s="29">
        <f>LOOKUP(D93,[1]Parámetros!$A$7:$A$24,[1]Parámetros!$B$7:$B$24)</f>
        <v>49</v>
      </c>
      <c r="W93" s="30" t="str">
        <f t="shared" si="7"/>
        <v/>
      </c>
      <c r="X93" s="31" t="str">
        <f t="shared" si="8"/>
        <v/>
      </c>
      <c r="Y93" s="30" t="str">
        <f>IF($W93="Cambio Calado",COUNTIF($W$14:W93,"Cambio Calado"),"")</f>
        <v/>
      </c>
      <c r="Z93" s="31" t="str">
        <f t="shared" si="9"/>
        <v/>
      </c>
      <c r="AA93" s="30" t="str">
        <f t="shared" si="10"/>
        <v/>
      </c>
      <c r="AB93" s="29">
        <f>IFERROR(LOOKUP($A93,$Z$14:$Z93,$AA$14:$AA93),$U93)</f>
        <v>49</v>
      </c>
      <c r="AC93" s="32">
        <f>IFERROR($A94-LOOKUP($A94,$Z$14:$Z93),"")</f>
        <v>21</v>
      </c>
      <c r="AD93" s="1" cm="1">
        <f t="array" ref="AD93">IF(B93&lt;&gt;"",80,_xludf.NA())</f>
        <v>80</v>
      </c>
    </row>
    <row r="94" spans="1:30">
      <c r="A94" s="22">
        <f t="shared" si="6"/>
        <v>46284</v>
      </c>
      <c r="B94" s="9">
        <f>+[1]Balance_Madden!A92</f>
        <v>46284</v>
      </c>
      <c r="C94" s="24">
        <f>+VLOOKUP(B94,[1]Balance_Madden!$A$12:$E$5000,2)</f>
        <v>240.9</v>
      </c>
      <c r="D94" s="25">
        <f>+VLOOKUP(B94,[1]Balance_Gatún!$A$13:$E$5087,2)</f>
        <v>84.546999999999997</v>
      </c>
      <c r="E94" s="24">
        <f>+VLOOKUP(B94,[1]Balance_Madden!$A$12:$E$5087,5)/35.32</f>
        <v>35.525934314835787</v>
      </c>
      <c r="F94" s="26">
        <f>+VLOOKUP(B94,[1]Balance_Gatún!$A$13:$E$5087,5)/35.32</f>
        <v>39.983890147225367</v>
      </c>
      <c r="G94" s="24">
        <f>+VLOOKUP(B94,[1]Balance_Madden!$A$12:$K$5087,9)/111</f>
        <v>2.7027027027027026</v>
      </c>
      <c r="H94" s="25">
        <f>+VLOOKUP(B94,[1]Balance_Gatún!$A$13:$U$5087,21)/186</f>
        <v>0</v>
      </c>
      <c r="I94" s="24">
        <f>+(VLOOKUP(B94,[1]Balance_Madden!$A$12:$K$5087,10)/35.32)+VLOOKUP(B94,[1]Balance_Madden!$A$12:$K$5087,11)/35.32</f>
        <v>0</v>
      </c>
      <c r="J94" s="25">
        <f>+VLOOKUP(B94,[1]Balance_Gatún!$A$13:$AD$5087,23)/35.32+ VLOOKUP(B94,[1]Balance_Gatún!$A$13:$AD$5087,17)/35.32</f>
        <v>0</v>
      </c>
      <c r="K94" s="24">
        <f>+VLOOKUP(B94,[1]Balance_Gatún!$A$13:$AC$5087,10)</f>
        <v>24</v>
      </c>
      <c r="L94" s="25" t="str">
        <f>+VLOOKUP(B94,[1]Balance_Gatún!$A$13:$AC$5087,11)</f>
        <v>XFILL_PMG100%</v>
      </c>
      <c r="M94" s="25">
        <f>+VLOOKUP(B94,[1]Balance_Gatún!$A$13:$AC$5087,12)</f>
        <v>10</v>
      </c>
      <c r="N94" s="25" t="str">
        <f>+VLOOKUP(B94,[1]Balance_Gatún!$A$13:$AC$5087,13)</f>
        <v>TA+CCL100%</v>
      </c>
      <c r="O94" s="25">
        <f>+VLOOKUP(B94,[1]Balance_Gatún!$A$13:$AC$5087,14)/408.7</f>
        <v>6.1412119602050534</v>
      </c>
      <c r="P94" s="24">
        <f>+VLOOKUP(B94,[1]Balance_Madden!$A$12:$V$5087,12)/35.32</f>
        <v>2.0193674081308548</v>
      </c>
      <c r="Q94" s="25">
        <f>+VLOOKUP(B94,[1]Balance_Gatún!$A$13:$AD$5087,15)/35.32</f>
        <v>18.173908868909972</v>
      </c>
      <c r="R94" s="24">
        <f>+VLOOKUP(B94,[1]Balance_Madden!$A$12:$V$5087,14)/35.32</f>
        <v>22.766819276760526</v>
      </c>
      <c r="S94" s="26">
        <f>[1]Balance_Gatún!X93/35.32</f>
        <v>100.87703254206414</v>
      </c>
      <c r="T94" s="25">
        <v>62.497494206702974</v>
      </c>
      <c r="U94" s="25">
        <v>49.22671790919064</v>
      </c>
      <c r="V94" s="29">
        <f>LOOKUP(D94,[1]Parámetros!$A$7:$A$24,[1]Parámetros!$B$7:$B$24)</f>
        <v>49.5</v>
      </c>
      <c r="W94" s="30" t="str">
        <f t="shared" si="7"/>
        <v>Cambio Calado</v>
      </c>
      <c r="X94" s="31">
        <f t="shared" si="8"/>
        <v>46284</v>
      </c>
      <c r="Y94" s="30">
        <f>IF($W94="Cambio Calado",COUNTIF($W$14:W94,"Cambio Calado"),"")</f>
        <v>5</v>
      </c>
      <c r="Z94" s="31">
        <f t="shared" si="9"/>
        <v>46284</v>
      </c>
      <c r="AA94" s="30">
        <f t="shared" si="10"/>
        <v>49.5</v>
      </c>
      <c r="AB94" s="29">
        <f>IFERROR(LOOKUP($A94,$Z$14:$Z94,$AA$14:$AA94),$U94)</f>
        <v>49.5</v>
      </c>
      <c r="AC94" s="32">
        <f>IFERROR($A95-LOOKUP($A95,$Z$14:$Z94),"")</f>
        <v>1</v>
      </c>
      <c r="AD94" s="1" cm="1">
        <f t="array" ref="AD94">IF(B94&lt;&gt;"",80,_xludf.NA())</f>
        <v>80</v>
      </c>
    </row>
    <row r="95" spans="1:30">
      <c r="A95" s="22">
        <f t="shared" si="6"/>
        <v>46285</v>
      </c>
      <c r="B95" s="9">
        <f>+[1]Balance_Madden!A93</f>
        <v>46285</v>
      </c>
      <c r="C95" s="24">
        <f>+VLOOKUP(B95,[1]Balance_Madden!$A$12:$E$5000,2)</f>
        <v>241.06</v>
      </c>
      <c r="D95" s="25">
        <f>+VLOOKUP(B95,[1]Balance_Gatún!$A$13:$E$5087,2)</f>
        <v>84.552000000000007</v>
      </c>
      <c r="E95" s="24">
        <f>+VLOOKUP(B95,[1]Balance_Madden!$A$12:$E$5087,5)/35.32</f>
        <v>27.489609286523216</v>
      </c>
      <c r="F95" s="26">
        <f>+VLOOKUP(B95,[1]Balance_Gatún!$A$13:$E$5087,5)/35.32</f>
        <v>37.592751981879957</v>
      </c>
      <c r="G95" s="24">
        <f>+VLOOKUP(B95,[1]Balance_Madden!$A$12:$K$5087,9)/111</f>
        <v>2.7027027027027026</v>
      </c>
      <c r="H95" s="25">
        <f>+VLOOKUP(B95,[1]Balance_Gatún!$A$13:$U$5087,21)/186</f>
        <v>0</v>
      </c>
      <c r="I95" s="24">
        <f>+(VLOOKUP(B95,[1]Balance_Madden!$A$12:$K$5087,10)/35.32)+VLOOKUP(B95,[1]Balance_Madden!$A$12:$K$5087,11)/35.32</f>
        <v>0</v>
      </c>
      <c r="J95" s="25">
        <f>+VLOOKUP(B95,[1]Balance_Gatún!$A$13:$AD$5087,23)/35.32+ VLOOKUP(B95,[1]Balance_Gatún!$A$13:$AD$5087,17)/35.32</f>
        <v>0</v>
      </c>
      <c r="K95" s="24">
        <f>+VLOOKUP(B95,[1]Balance_Gatún!$A$13:$AC$5087,10)</f>
        <v>24</v>
      </c>
      <c r="L95" s="25" t="str">
        <f>+VLOOKUP(B95,[1]Balance_Gatún!$A$13:$AC$5087,11)</f>
        <v>XFILL_PMG100%</v>
      </c>
      <c r="M95" s="25">
        <f>+VLOOKUP(B95,[1]Balance_Gatún!$A$13:$AC$5087,12)</f>
        <v>10</v>
      </c>
      <c r="N95" s="25" t="str">
        <f>+VLOOKUP(B95,[1]Balance_Gatún!$A$13:$AC$5087,13)</f>
        <v>TA+CCL100%</v>
      </c>
      <c r="O95" s="25">
        <f>+VLOOKUP(B95,[1]Balance_Gatún!$A$13:$AC$5087,14)/408.7</f>
        <v>6.1421372404511274</v>
      </c>
      <c r="P95" s="24">
        <f>+VLOOKUP(B95,[1]Balance_Madden!$A$12:$V$5087,12)/35.32</f>
        <v>1.9785531237611607</v>
      </c>
      <c r="Q95" s="25">
        <f>+VLOOKUP(B95,[1]Balance_Gatún!$A$13:$AD$5087,15)/35.32</f>
        <v>17.770982952017949</v>
      </c>
      <c r="R95" s="24">
        <f>+VLOOKUP(B95,[1]Balance_Madden!$A$12:$V$5087,14)/35.32</f>
        <v>22.72600499239083</v>
      </c>
      <c r="S95" s="26">
        <f>[1]Balance_Gatún!X94/35.32</f>
        <v>100.48481336459938</v>
      </c>
      <c r="T95" s="25">
        <v>45.41809416430668</v>
      </c>
      <c r="U95" s="25">
        <v>30.305279317689177</v>
      </c>
      <c r="V95" s="29">
        <f>LOOKUP(D95,[1]Parámetros!$A$7:$A$24,[1]Parámetros!$B$7:$B$24)</f>
        <v>49.5</v>
      </c>
      <c r="W95" s="30" t="str">
        <f t="shared" si="7"/>
        <v/>
      </c>
      <c r="X95" s="31" t="str">
        <f t="shared" si="8"/>
        <v/>
      </c>
      <c r="Y95" s="30" t="str">
        <f>IF($W95="Cambio Calado",COUNTIF($W$14:W95,"Cambio Calado"),"")</f>
        <v/>
      </c>
      <c r="Z95" s="31" t="str">
        <f t="shared" si="9"/>
        <v/>
      </c>
      <c r="AA95" s="30" t="str">
        <f t="shared" si="10"/>
        <v/>
      </c>
      <c r="AB95" s="29">
        <f>IFERROR(LOOKUP($A95,$Z$14:$Z95,$AA$14:$AA95),$U95)</f>
        <v>49.5</v>
      </c>
      <c r="AC95" s="32">
        <f>IFERROR($A96-LOOKUP($A96,$Z$14:$Z95),"")</f>
        <v>2</v>
      </c>
      <c r="AD95" s="1" cm="1">
        <f t="array" ref="AD95">IF(B95&lt;&gt;"",80,_xludf.NA())</f>
        <v>80</v>
      </c>
    </row>
    <row r="96" spans="1:30">
      <c r="A96" s="22">
        <f t="shared" si="6"/>
        <v>46286</v>
      </c>
      <c r="B96" s="9">
        <f>+[1]Balance_Madden!A94</f>
        <v>46286</v>
      </c>
      <c r="C96" s="24">
        <f>+VLOOKUP(B96,[1]Balance_Madden!$A$12:$E$5000,2)</f>
        <v>241.17</v>
      </c>
      <c r="D96" s="25">
        <f>+VLOOKUP(B96,[1]Balance_Gatún!$A$13:$E$5087,2)</f>
        <v>84.546000000000006</v>
      </c>
      <c r="E96" s="24">
        <f>+VLOOKUP(B96,[1]Balance_Madden!$A$12:$E$5087,5)/35.32</f>
        <v>24.157474518686296</v>
      </c>
      <c r="F96" s="26">
        <f>+VLOOKUP(B96,[1]Balance_Gatún!$A$13:$E$5087,5)/35.32</f>
        <v>28.559541336353341</v>
      </c>
      <c r="G96" s="24">
        <f>+VLOOKUP(B96,[1]Balance_Madden!$A$12:$K$5087,9)/111</f>
        <v>2.7027027027027026</v>
      </c>
      <c r="H96" s="25">
        <f>+VLOOKUP(B96,[1]Balance_Gatún!$A$13:$U$5087,21)/186</f>
        <v>0</v>
      </c>
      <c r="I96" s="24">
        <f>+(VLOOKUP(B96,[1]Balance_Madden!$A$12:$K$5087,10)/35.32)+VLOOKUP(B96,[1]Balance_Madden!$A$12:$K$5087,11)/35.32</f>
        <v>0</v>
      </c>
      <c r="J96" s="25">
        <f>+VLOOKUP(B96,[1]Balance_Gatún!$A$13:$AD$5087,23)/35.32+ VLOOKUP(B96,[1]Balance_Gatún!$A$13:$AD$5087,17)/35.32</f>
        <v>0</v>
      </c>
      <c r="K96" s="24">
        <f>+VLOOKUP(B96,[1]Balance_Gatún!$A$13:$AC$5087,10)</f>
        <v>24</v>
      </c>
      <c r="L96" s="25" t="str">
        <f>+VLOOKUP(B96,[1]Balance_Gatún!$A$13:$AC$5087,11)</f>
        <v>XFILL_PMG100%</v>
      </c>
      <c r="M96" s="25">
        <f>+VLOOKUP(B96,[1]Balance_Gatún!$A$13:$AC$5087,12)</f>
        <v>10</v>
      </c>
      <c r="N96" s="25" t="str">
        <f>+VLOOKUP(B96,[1]Balance_Gatún!$A$13:$AC$5087,13)</f>
        <v>TA+CCL100%</v>
      </c>
      <c r="O96" s="25">
        <f>+VLOOKUP(B96,[1]Balance_Gatún!$A$13:$AC$5087,14)/408.7</f>
        <v>6.1410269041558392</v>
      </c>
      <c r="P96" s="24">
        <f>+VLOOKUP(B96,[1]Balance_Madden!$A$12:$V$5087,12)/35.32</f>
        <v>1.3606468246794436</v>
      </c>
      <c r="Q96" s="25">
        <f>+VLOOKUP(B96,[1]Balance_Gatún!$A$13:$AD$5087,15)/35.32</f>
        <v>12.202811640211722</v>
      </c>
      <c r="R96" s="24">
        <f>+VLOOKUP(B96,[1]Balance_Madden!$A$12:$V$5087,14)/35.32</f>
        <v>22.108098693309113</v>
      </c>
      <c r="S96" s="26">
        <f>[1]Balance_Gatún!X95/35.32</f>
        <v>94.903793965480446</v>
      </c>
      <c r="T96" s="25">
        <v>43.613178070981867</v>
      </c>
      <c r="U96" s="25">
        <v>23.572027405610466</v>
      </c>
      <c r="V96" s="29">
        <f>LOOKUP(D96,[1]Parámetros!$A$7:$A$24,[1]Parámetros!$B$7:$B$24)</f>
        <v>49.5</v>
      </c>
      <c r="W96" s="30" t="str">
        <f t="shared" si="7"/>
        <v/>
      </c>
      <c r="X96" s="31" t="str">
        <f t="shared" si="8"/>
        <v/>
      </c>
      <c r="Y96" s="30" t="str">
        <f>IF($W96="Cambio Calado",COUNTIF($W$14:W96,"Cambio Calado"),"")</f>
        <v/>
      </c>
      <c r="Z96" s="31" t="str">
        <f t="shared" si="9"/>
        <v/>
      </c>
      <c r="AA96" s="30" t="str">
        <f t="shared" si="10"/>
        <v/>
      </c>
      <c r="AB96" s="29">
        <f>IFERROR(LOOKUP($A96,$Z$14:$Z96,$AA$14:$AA96),$U96)</f>
        <v>49.5</v>
      </c>
      <c r="AC96" s="32">
        <f>IFERROR($A97-LOOKUP($A97,$Z$14:$Z96),"")</f>
        <v>3</v>
      </c>
      <c r="AD96" s="1" cm="1">
        <f t="array" ref="AD96">IF(B96&lt;&gt;"",80,_xludf.NA())</f>
        <v>80</v>
      </c>
    </row>
    <row r="97" spans="1:30">
      <c r="A97" s="22">
        <f t="shared" si="6"/>
        <v>46287</v>
      </c>
      <c r="B97" s="9">
        <f>+[1]Balance_Madden!A95</f>
        <v>46287</v>
      </c>
      <c r="C97" s="24">
        <f>+VLOOKUP(B97,[1]Balance_Madden!$A$12:$E$5000,2)</f>
        <v>241.57</v>
      </c>
      <c r="D97" s="25">
        <f>+VLOOKUP(B97,[1]Balance_Gatún!$A$13:$E$5087,2)</f>
        <v>84.59</v>
      </c>
      <c r="E97" s="24">
        <f>+VLOOKUP(B97,[1]Balance_Madden!$A$12:$E$5087,5)/35.32</f>
        <v>23.961466591166477</v>
      </c>
      <c r="F97" s="26">
        <f>+VLOOKUP(B97,[1]Balance_Gatún!$A$13:$E$5087,5)/35.32</f>
        <v>101.35645526613816</v>
      </c>
      <c r="G97" s="24">
        <f>+VLOOKUP(B97,[1]Balance_Madden!$A$12:$K$5087,9)/111</f>
        <v>2.7027027027027026</v>
      </c>
      <c r="H97" s="25">
        <f>+VLOOKUP(B97,[1]Balance_Gatún!$A$13:$U$5087,21)/186</f>
        <v>0</v>
      </c>
      <c r="I97" s="24">
        <f>+(VLOOKUP(B97,[1]Balance_Madden!$A$12:$K$5087,10)/35.32)+VLOOKUP(B97,[1]Balance_Madden!$A$12:$K$5087,11)/35.32</f>
        <v>0</v>
      </c>
      <c r="J97" s="25">
        <f>+VLOOKUP(B97,[1]Balance_Gatún!$A$13:$AD$5087,23)/35.32+ VLOOKUP(B97,[1]Balance_Gatún!$A$13:$AD$5087,17)/35.32</f>
        <v>0</v>
      </c>
      <c r="K97" s="24">
        <f>+VLOOKUP(B97,[1]Balance_Gatún!$A$13:$AC$5087,10)</f>
        <v>24</v>
      </c>
      <c r="L97" s="25" t="str">
        <f>+VLOOKUP(B97,[1]Balance_Gatún!$A$13:$AC$5087,11)</f>
        <v>XFILL_PMG100%</v>
      </c>
      <c r="M97" s="25">
        <f>+VLOOKUP(B97,[1]Balance_Gatún!$A$13:$AC$5087,12)</f>
        <v>10</v>
      </c>
      <c r="N97" s="25" t="str">
        <f>+VLOOKUP(B97,[1]Balance_Gatún!$A$13:$AC$5087,13)</f>
        <v>TA+CCL100%</v>
      </c>
      <c r="O97" s="25">
        <f>+VLOOKUP(B97,[1]Balance_Gatún!$A$13:$AC$5087,14)/408.7</f>
        <v>6.1491693703212924</v>
      </c>
      <c r="P97" s="24">
        <f>+VLOOKUP(B97,[1]Balance_Madden!$A$12:$V$5087,12)/35.32</f>
        <v>2.3783045274584351</v>
      </c>
      <c r="Q97" s="25">
        <f>+VLOOKUP(B97,[1]Balance_Gatún!$A$13:$AD$5087,15)/35.32</f>
        <v>21.231926014815492</v>
      </c>
      <c r="R97" s="24">
        <f>+VLOOKUP(B97,[1]Balance_Madden!$A$12:$V$5087,14)/35.32</f>
        <v>23.125756396088104</v>
      </c>
      <c r="S97" s="26">
        <f>[1]Balance_Gatún!X96/35.32</f>
        <v>104.02712764704404</v>
      </c>
      <c r="T97" s="25">
        <v>67.805431719465801</v>
      </c>
      <c r="U97" s="25">
        <v>37.950228960192611</v>
      </c>
      <c r="V97" s="29">
        <f>LOOKUP(D97,[1]Parámetros!$A$7:$A$24,[1]Parámetros!$B$7:$B$24)</f>
        <v>49.5</v>
      </c>
      <c r="W97" s="30" t="str">
        <f t="shared" si="7"/>
        <v/>
      </c>
      <c r="X97" s="31" t="str">
        <f t="shared" si="8"/>
        <v/>
      </c>
      <c r="Y97" s="30" t="str">
        <f>IF($W97="Cambio Calado",COUNTIF($W$14:W97,"Cambio Calado"),"")</f>
        <v/>
      </c>
      <c r="Z97" s="31" t="str">
        <f t="shared" si="9"/>
        <v/>
      </c>
      <c r="AA97" s="30" t="str">
        <f t="shared" si="10"/>
        <v/>
      </c>
      <c r="AB97" s="29">
        <f>IFERROR(LOOKUP($A97,$Z$14:$Z97,$AA$14:$AA97),$U97)</f>
        <v>49.5</v>
      </c>
      <c r="AC97" s="32">
        <f>IFERROR($A98-LOOKUP($A98,$Z$14:$Z97),"")</f>
        <v>4</v>
      </c>
      <c r="AD97" s="1" cm="1">
        <f t="array" ref="AD97">IF(B97&lt;&gt;"",80,_xludf.NA())</f>
        <v>80</v>
      </c>
    </row>
    <row r="98" spans="1:30">
      <c r="A98" s="22">
        <f t="shared" si="6"/>
        <v>46288</v>
      </c>
      <c r="B98" s="9">
        <f>+[1]Balance_Madden!A96</f>
        <v>46288</v>
      </c>
      <c r="C98" s="24">
        <f>+VLOOKUP(B98,[1]Balance_Madden!$A$12:$E$5000,2)</f>
        <v>241.85</v>
      </c>
      <c r="D98" s="25">
        <f>+VLOOKUP(B98,[1]Balance_Gatún!$A$13:$E$5087,2)</f>
        <v>84.593999999999994</v>
      </c>
      <c r="E98" s="24">
        <f>+VLOOKUP(B98,[1]Balance_Madden!$A$12:$E$5087,5)/35.32</f>
        <v>73.15939977349943</v>
      </c>
      <c r="F98" s="26">
        <f>+VLOOKUP(B98,[1]Balance_Gatún!$A$13:$E$5087,5)/35.32</f>
        <v>64.95801245753114</v>
      </c>
      <c r="G98" s="24">
        <f>+VLOOKUP(B98,[1]Balance_Madden!$A$12:$K$5087,9)/111</f>
        <v>2.7027027027027026</v>
      </c>
      <c r="H98" s="25">
        <f>+VLOOKUP(B98,[1]Balance_Gatún!$A$13:$U$5087,21)/186</f>
        <v>0</v>
      </c>
      <c r="I98" s="24">
        <f>+(VLOOKUP(B98,[1]Balance_Madden!$A$12:$K$5087,10)/35.32)+VLOOKUP(B98,[1]Balance_Madden!$A$12:$K$5087,11)/35.32</f>
        <v>0</v>
      </c>
      <c r="J98" s="25">
        <f>+VLOOKUP(B98,[1]Balance_Gatún!$A$13:$AD$5087,23)/35.32+ VLOOKUP(B98,[1]Balance_Gatún!$A$13:$AD$5087,17)/35.32</f>
        <v>0</v>
      </c>
      <c r="K98" s="24">
        <f>+VLOOKUP(B98,[1]Balance_Gatún!$A$13:$AC$5087,10)</f>
        <v>24</v>
      </c>
      <c r="L98" s="25" t="str">
        <f>+VLOOKUP(B98,[1]Balance_Gatún!$A$13:$AC$5087,11)</f>
        <v>XFILL_PMG100%</v>
      </c>
      <c r="M98" s="25">
        <f>+VLOOKUP(B98,[1]Balance_Gatún!$A$13:$AC$5087,12)</f>
        <v>10</v>
      </c>
      <c r="N98" s="25" t="str">
        <f>+VLOOKUP(B98,[1]Balance_Gatún!$A$13:$AC$5087,13)</f>
        <v>TA+CCL100%</v>
      </c>
      <c r="O98" s="25">
        <f>+VLOOKUP(B98,[1]Balance_Gatún!$A$13:$AC$5087,14)/408.7</f>
        <v>6.1499095945181494</v>
      </c>
      <c r="P98" s="24">
        <f>+VLOOKUP(B98,[1]Balance_Madden!$A$12:$V$5087,12)/35.32</f>
        <v>2.4367471560324159</v>
      </c>
      <c r="Q98" s="25">
        <f>+VLOOKUP(B98,[1]Balance_Gatún!$A$13:$AD$5087,15)/35.32</f>
        <v>21.676700925933964</v>
      </c>
      <c r="R98" s="24">
        <f>+VLOOKUP(B98,[1]Balance_Madden!$A$12:$V$5087,14)/35.32</f>
        <v>23.184199024662085</v>
      </c>
      <c r="S98" s="26">
        <f>[1]Balance_Gatún!X97/35.32</f>
        <v>104.48046794970428</v>
      </c>
      <c r="T98" s="25">
        <v>48.734463531571286</v>
      </c>
      <c r="U98" s="25">
        <v>38.627017706436348</v>
      </c>
      <c r="V98" s="29">
        <f>LOOKUP(D98,[1]Parámetros!$A$7:$A$24,[1]Parámetros!$B$7:$B$24)</f>
        <v>49.5</v>
      </c>
      <c r="W98" s="30" t="str">
        <f t="shared" si="7"/>
        <v/>
      </c>
      <c r="X98" s="31" t="str">
        <f t="shared" si="8"/>
        <v/>
      </c>
      <c r="Y98" s="30" t="str">
        <f>IF($W98="Cambio Calado",COUNTIF($W$14:W98,"Cambio Calado"),"")</f>
        <v/>
      </c>
      <c r="Z98" s="31" t="str">
        <f t="shared" si="9"/>
        <v/>
      </c>
      <c r="AA98" s="30" t="str">
        <f t="shared" si="10"/>
        <v/>
      </c>
      <c r="AB98" s="29">
        <f>IFERROR(LOOKUP($A98,$Z$14:$Z98,$AA$14:$AA98),$U98)</f>
        <v>49.5</v>
      </c>
      <c r="AC98" s="32">
        <f>IFERROR($A99-LOOKUP($A99,$Z$14:$Z98),"")</f>
        <v>5</v>
      </c>
      <c r="AD98" s="1" cm="1">
        <f t="array" ref="AD98">IF(B98&lt;&gt;"",80,_xludf.NA())</f>
        <v>80</v>
      </c>
    </row>
    <row r="99" spans="1:30">
      <c r="A99" s="22">
        <f t="shared" si="6"/>
        <v>46289</v>
      </c>
      <c r="B99" s="9">
        <f>+[1]Balance_Madden!A97</f>
        <v>46289</v>
      </c>
      <c r="C99" s="24">
        <f>+VLOOKUP(B99,[1]Balance_Madden!$A$12:$E$5000,2)</f>
        <v>242.76</v>
      </c>
      <c r="D99" s="25">
        <f>+VLOOKUP(B99,[1]Balance_Gatún!$A$13:$E$5087,2)</f>
        <v>84.635000000000005</v>
      </c>
      <c r="E99" s="24">
        <f>+VLOOKUP(B99,[1]Balance_Madden!$A$12:$E$5087,5)/35.32</f>
        <v>32.585815402038506</v>
      </c>
      <c r="F99" s="26">
        <f>+VLOOKUP(B99,[1]Balance_Gatún!$A$13:$E$5087,5)/35.32</f>
        <v>57.253227633069081</v>
      </c>
      <c r="G99" s="24">
        <f>+VLOOKUP(B99,[1]Balance_Madden!$A$12:$K$5087,9)/111</f>
        <v>2.7027027027027026</v>
      </c>
      <c r="H99" s="25">
        <f>+VLOOKUP(B99,[1]Balance_Gatún!$A$13:$U$5087,21)/186</f>
        <v>0</v>
      </c>
      <c r="I99" s="24">
        <f>+(VLOOKUP(B99,[1]Balance_Madden!$A$12:$K$5087,10)/35.32)+VLOOKUP(B99,[1]Balance_Madden!$A$12:$K$5087,11)/35.32</f>
        <v>0</v>
      </c>
      <c r="J99" s="25">
        <f>+VLOOKUP(B99,[1]Balance_Gatún!$A$13:$AD$5087,23)/35.32+ VLOOKUP(B99,[1]Balance_Gatún!$A$13:$AD$5087,17)/35.32</f>
        <v>0</v>
      </c>
      <c r="K99" s="24">
        <f>+VLOOKUP(B99,[1]Balance_Gatún!$A$13:$AC$5087,10)</f>
        <v>24</v>
      </c>
      <c r="L99" s="25" t="str">
        <f>+VLOOKUP(B99,[1]Balance_Gatún!$A$13:$AC$5087,11)</f>
        <v>XFILL_PMG100%</v>
      </c>
      <c r="M99" s="25">
        <f>+VLOOKUP(B99,[1]Balance_Gatún!$A$13:$AC$5087,12)</f>
        <v>10</v>
      </c>
      <c r="N99" s="25" t="str">
        <f>+VLOOKUP(B99,[1]Balance_Gatún!$A$13:$AC$5087,13)</f>
        <v>TA+CCL100%</v>
      </c>
      <c r="O99" s="25">
        <f>+VLOOKUP(B99,[1]Balance_Gatún!$A$13:$AC$5087,14)/408.7</f>
        <v>6.1574968925359608</v>
      </c>
      <c r="P99" s="24">
        <f>+VLOOKUP(B99,[1]Balance_Madden!$A$12:$V$5087,12)/35.32</f>
        <v>1.9144862532835385</v>
      </c>
      <c r="Q99" s="25">
        <f>+VLOOKUP(B99,[1]Balance_Gatún!$A$13:$AD$5087,15)/35.32</f>
        <v>16.842597828806689</v>
      </c>
      <c r="R99" s="24">
        <f>+VLOOKUP(B99,[1]Balance_Madden!$A$12:$V$5087,14)/35.32</f>
        <v>22.661938121913209</v>
      </c>
      <c r="S99" s="26">
        <f>[1]Balance_Gatún!X98/35.32</f>
        <v>99.734160115880513</v>
      </c>
      <c r="T99" s="25">
        <v>17.275308391534619</v>
      </c>
      <c r="U99" s="25">
        <v>25.263727309246644</v>
      </c>
      <c r="V99" s="29">
        <f>LOOKUP(D99,[1]Parámetros!$A$7:$A$24,[1]Parámetros!$B$7:$B$24)</f>
        <v>49.5</v>
      </c>
      <c r="W99" s="30" t="str">
        <f t="shared" si="7"/>
        <v/>
      </c>
      <c r="X99" s="31" t="str">
        <f t="shared" si="8"/>
        <v/>
      </c>
      <c r="Y99" s="30" t="str">
        <f>IF($W99="Cambio Calado",COUNTIF($W$14:W99,"Cambio Calado"),"")</f>
        <v/>
      </c>
      <c r="Z99" s="31" t="str">
        <f t="shared" si="9"/>
        <v/>
      </c>
      <c r="AA99" s="30" t="str">
        <f t="shared" si="10"/>
        <v/>
      </c>
      <c r="AB99" s="29">
        <f>IFERROR(LOOKUP($A99,$Z$14:$Z99,$AA$14:$AA99),$U99)</f>
        <v>49.5</v>
      </c>
      <c r="AC99" s="32">
        <f>IFERROR($A100-LOOKUP($A100,$Z$14:$Z99),"")</f>
        <v>6</v>
      </c>
      <c r="AD99" s="1" cm="1">
        <f t="array" ref="AD99">IF(B99&lt;&gt;"",80,_xludf.NA())</f>
        <v>80</v>
      </c>
    </row>
    <row r="100" spans="1:30">
      <c r="A100" s="22">
        <f t="shared" si="6"/>
        <v>46290</v>
      </c>
      <c r="B100" s="9">
        <f>+[1]Balance_Madden!A98</f>
        <v>46290</v>
      </c>
      <c r="C100" s="24">
        <f>+VLOOKUP(B100,[1]Balance_Madden!$A$12:$E$5000,2)</f>
        <v>243.13</v>
      </c>
      <c r="D100" s="25">
        <f>+VLOOKUP(B100,[1]Balance_Gatún!$A$13:$E$5087,2)</f>
        <v>84.616</v>
      </c>
      <c r="E100" s="24">
        <f>+VLOOKUP(B100,[1]Balance_Madden!$A$12:$E$5087,5)/35.32</f>
        <v>27.097593431483578</v>
      </c>
      <c r="F100" s="26">
        <f>+VLOOKUP(B100,[1]Balance_Gatún!$A$13:$E$5087,5)/35.32</f>
        <v>48.352859569648928</v>
      </c>
      <c r="G100" s="24">
        <f>+VLOOKUP(B100,[1]Balance_Madden!$A$12:$K$5087,9)/111</f>
        <v>2.7027027027027026</v>
      </c>
      <c r="H100" s="25">
        <f>+VLOOKUP(B100,[1]Balance_Gatún!$A$13:$U$5087,21)/186</f>
        <v>0</v>
      </c>
      <c r="I100" s="24">
        <f>+(VLOOKUP(B100,[1]Balance_Madden!$A$12:$K$5087,10)/35.32)+VLOOKUP(B100,[1]Balance_Madden!$A$12:$K$5087,11)/35.32</f>
        <v>0</v>
      </c>
      <c r="J100" s="25">
        <f>+VLOOKUP(B100,[1]Balance_Gatún!$A$13:$AD$5087,23)/35.32+ VLOOKUP(B100,[1]Balance_Gatún!$A$13:$AD$5087,17)/35.32</f>
        <v>0</v>
      </c>
      <c r="K100" s="24">
        <f>+VLOOKUP(B100,[1]Balance_Gatún!$A$13:$AC$5087,10)</f>
        <v>24</v>
      </c>
      <c r="L100" s="25" t="str">
        <f>+VLOOKUP(B100,[1]Balance_Gatún!$A$13:$AC$5087,11)</f>
        <v>XFILL_PMG100%</v>
      </c>
      <c r="M100" s="25">
        <f>+VLOOKUP(B100,[1]Balance_Gatún!$A$13:$AC$5087,12)</f>
        <v>10</v>
      </c>
      <c r="N100" s="25" t="str">
        <f>+VLOOKUP(B100,[1]Balance_Gatún!$A$13:$AC$5087,13)</f>
        <v>TA+CCL100%</v>
      </c>
      <c r="O100" s="25">
        <f>+VLOOKUP(B100,[1]Balance_Gatún!$A$13:$AC$5087,14)/408.7</f>
        <v>6.1539808276008783</v>
      </c>
      <c r="P100" s="24">
        <f>+VLOOKUP(B100,[1]Balance_Madden!$A$12:$V$5087,12)/35.32</f>
        <v>2.62889871303353</v>
      </c>
      <c r="Q100" s="25">
        <f>+VLOOKUP(B100,[1]Balance_Gatún!$A$13:$AD$5087,15)/35.32</f>
        <v>23.013397205674952</v>
      </c>
      <c r="R100" s="24">
        <f>+VLOOKUP(B100,[1]Balance_Madden!$A$12:$V$5087,14)/35.32</f>
        <v>23.3763505816632</v>
      </c>
      <c r="S100" s="26">
        <f>[1]Balance_Gatún!X99/35.32</f>
        <v>105.8642738829252</v>
      </c>
      <c r="T100" s="25">
        <v>28.599194885211464</v>
      </c>
      <c r="U100" s="25">
        <v>23.2424212681867</v>
      </c>
      <c r="V100" s="29">
        <f>LOOKUP(D100,[1]Parámetros!$A$7:$A$24,[1]Parámetros!$B$7:$B$24)</f>
        <v>49.5</v>
      </c>
      <c r="W100" s="30" t="str">
        <f t="shared" si="7"/>
        <v/>
      </c>
      <c r="X100" s="31" t="str">
        <f t="shared" si="8"/>
        <v/>
      </c>
      <c r="Y100" s="30" t="str">
        <f>IF($W100="Cambio Calado",COUNTIF($W$14:W100,"Cambio Calado"),"")</f>
        <v/>
      </c>
      <c r="Z100" s="31" t="str">
        <f t="shared" si="9"/>
        <v/>
      </c>
      <c r="AA100" s="30" t="str">
        <f t="shared" si="10"/>
        <v/>
      </c>
      <c r="AB100" s="29">
        <f>IFERROR(LOOKUP($A100,$Z$14:$Z100,$AA$14:$AA100),$U100)</f>
        <v>49.5</v>
      </c>
      <c r="AC100" s="32">
        <f>IFERROR($A101-LOOKUP($A101,$Z$14:$Z100),"")</f>
        <v>7</v>
      </c>
      <c r="AD100" s="1" cm="1">
        <f t="array" ref="AD100">IF(B100&lt;&gt;"",80,_xludf.NA())</f>
        <v>80</v>
      </c>
    </row>
    <row r="101" spans="1:30">
      <c r="A101" s="22">
        <f t="shared" si="6"/>
        <v>46291</v>
      </c>
      <c r="B101" s="9">
        <f>+[1]Balance_Madden!A99</f>
        <v>46291</v>
      </c>
      <c r="C101" s="24">
        <f>+VLOOKUP(B101,[1]Balance_Madden!$A$12:$E$5000,2)</f>
        <v>243.58</v>
      </c>
      <c r="D101" s="25">
        <f>+VLOOKUP(B101,[1]Balance_Gatún!$A$13:$E$5087,2)</f>
        <v>84.664000000000001</v>
      </c>
      <c r="E101" s="24">
        <f>+VLOOKUP(B101,[1]Balance_Madden!$A$12:$E$5087,5)/35.32</f>
        <v>56.414637599094</v>
      </c>
      <c r="F101" s="26">
        <f>+VLOOKUP(B101,[1]Balance_Gatún!$A$13:$E$5087,5)/35.32</f>
        <v>96.93629671574179</v>
      </c>
      <c r="G101" s="24">
        <f>+VLOOKUP(B101,[1]Balance_Madden!$A$12:$K$5087,9)/111</f>
        <v>2.7027027027027026</v>
      </c>
      <c r="H101" s="25">
        <f>+VLOOKUP(B101,[1]Balance_Gatún!$A$13:$U$5087,21)/186</f>
        <v>0</v>
      </c>
      <c r="I101" s="24">
        <f>+(VLOOKUP(B101,[1]Balance_Madden!$A$12:$K$5087,10)/35.32)+VLOOKUP(B101,[1]Balance_Madden!$A$12:$K$5087,11)/35.32</f>
        <v>0</v>
      </c>
      <c r="J101" s="25">
        <f>+VLOOKUP(B101,[1]Balance_Gatún!$A$13:$AD$5087,23)/35.32+ VLOOKUP(B101,[1]Balance_Gatún!$A$13:$AD$5087,17)/35.32</f>
        <v>0</v>
      </c>
      <c r="K101" s="24">
        <f>+VLOOKUP(B101,[1]Balance_Gatún!$A$13:$AC$5087,10)</f>
        <v>24</v>
      </c>
      <c r="L101" s="25" t="str">
        <f>+VLOOKUP(B101,[1]Balance_Gatún!$A$13:$AC$5087,11)</f>
        <v>XFILL_PMG100%</v>
      </c>
      <c r="M101" s="25">
        <f>+VLOOKUP(B101,[1]Balance_Gatún!$A$13:$AC$5087,12)</f>
        <v>10</v>
      </c>
      <c r="N101" s="25" t="str">
        <f>+VLOOKUP(B101,[1]Balance_Gatún!$A$13:$AC$5087,13)</f>
        <v>TA+CCL100%</v>
      </c>
      <c r="O101" s="25">
        <f>+VLOOKUP(B101,[1]Balance_Gatún!$A$13:$AC$5087,14)/408.7</f>
        <v>6.1628635179631903</v>
      </c>
      <c r="P101" s="24">
        <f>+VLOOKUP(B101,[1]Balance_Madden!$A$12:$V$5087,12)/35.32</f>
        <v>2.446524381674994</v>
      </c>
      <c r="Q101" s="25">
        <f>+VLOOKUP(B101,[1]Balance_Gatún!$A$13:$AD$5087,15)/35.32</f>
        <v>21.307964756647966</v>
      </c>
      <c r="R101" s="24">
        <f>+VLOOKUP(B101,[1]Balance_Madden!$A$12:$V$5087,14)/35.32</f>
        <v>23.193976250304665</v>
      </c>
      <c r="S101" s="26">
        <f>[1]Balance_Gatún!X100/35.32</f>
        <v>104.26162613239983</v>
      </c>
      <c r="T101" s="25">
        <v>117.50874721896638</v>
      </c>
      <c r="U101" s="25">
        <v>46.51026447447974</v>
      </c>
      <c r="V101" s="29">
        <f>LOOKUP(D101,[1]Parámetros!$A$7:$A$24,[1]Parámetros!$B$7:$B$24)</f>
        <v>49.5</v>
      </c>
      <c r="W101" s="30" t="str">
        <f t="shared" si="7"/>
        <v/>
      </c>
      <c r="X101" s="31" t="str">
        <f t="shared" si="8"/>
        <v/>
      </c>
      <c r="Y101" s="30" t="str">
        <f>IF($W101="Cambio Calado",COUNTIF($W$14:W101,"Cambio Calado"),"")</f>
        <v/>
      </c>
      <c r="Z101" s="31" t="str">
        <f t="shared" si="9"/>
        <v/>
      </c>
      <c r="AA101" s="30" t="str">
        <f t="shared" si="10"/>
        <v/>
      </c>
      <c r="AB101" s="29">
        <f>IFERROR(LOOKUP($A101,$Z$14:$Z101,$AA$14:$AA101),$U101)</f>
        <v>49.5</v>
      </c>
      <c r="AC101" s="32">
        <f>IFERROR($A102-LOOKUP($A102,$Z$14:$Z101),"")</f>
        <v>8</v>
      </c>
      <c r="AD101" s="1" cm="1">
        <f t="array" ref="AD101">IF(B101&lt;&gt;"",80,_xludf.NA())</f>
        <v>80</v>
      </c>
    </row>
    <row r="102" spans="1:30">
      <c r="A102" s="22">
        <f t="shared" si="6"/>
        <v>46292</v>
      </c>
      <c r="B102" s="9">
        <f>+[1]Balance_Madden!A100</f>
        <v>46292</v>
      </c>
      <c r="C102" s="24">
        <f>+VLOOKUP(B102,[1]Balance_Madden!$A$12:$E$5000,2)</f>
        <v>243.89</v>
      </c>
      <c r="D102" s="25">
        <f>+VLOOKUP(B102,[1]Balance_Gatún!$A$13:$E$5087,2)</f>
        <v>84.745999999999995</v>
      </c>
      <c r="E102" s="24">
        <f>+VLOOKUP(B102,[1]Balance_Madden!$A$12:$E$5087,5)/35.32</f>
        <v>46.980917327293319</v>
      </c>
      <c r="F102" s="26">
        <f>+VLOOKUP(B102,[1]Balance_Gatún!$A$13:$E$5087,5)/35.32</f>
        <v>66.206625141562853</v>
      </c>
      <c r="G102" s="24">
        <f>+VLOOKUP(B102,[1]Balance_Madden!$A$12:$K$5087,9)/111</f>
        <v>2.7027027027027026</v>
      </c>
      <c r="H102" s="25">
        <f>+VLOOKUP(B102,[1]Balance_Gatún!$A$13:$U$5087,21)/186</f>
        <v>0</v>
      </c>
      <c r="I102" s="24">
        <f>+(VLOOKUP(B102,[1]Balance_Madden!$A$12:$K$5087,10)/35.32)+VLOOKUP(B102,[1]Balance_Madden!$A$12:$K$5087,11)/35.32</f>
        <v>0</v>
      </c>
      <c r="J102" s="25">
        <f>+VLOOKUP(B102,[1]Balance_Gatún!$A$13:$AD$5087,23)/35.32+ VLOOKUP(B102,[1]Balance_Gatún!$A$13:$AD$5087,17)/35.32</f>
        <v>0</v>
      </c>
      <c r="K102" s="24">
        <f>+VLOOKUP(B102,[1]Balance_Gatún!$A$13:$AC$5087,10)</f>
        <v>24</v>
      </c>
      <c r="L102" s="25" t="str">
        <f>+VLOOKUP(B102,[1]Balance_Gatún!$A$13:$AC$5087,11)</f>
        <v>XFILL_PMG100%</v>
      </c>
      <c r="M102" s="25">
        <f>+VLOOKUP(B102,[1]Balance_Gatún!$A$13:$AC$5087,12)</f>
        <v>10</v>
      </c>
      <c r="N102" s="25" t="str">
        <f>+VLOOKUP(B102,[1]Balance_Gatún!$A$13:$AC$5087,13)</f>
        <v>TA+CCL100%</v>
      </c>
      <c r="O102" s="25">
        <f>+VLOOKUP(B102,[1]Balance_Gatún!$A$13:$AC$5087,14)/408.7</f>
        <v>6.1780381139988076</v>
      </c>
      <c r="P102" s="24">
        <f>+VLOOKUP(B102,[1]Balance_Madden!$A$12:$V$5087,12)/35.32</f>
        <v>1.5618068307574444</v>
      </c>
      <c r="Q102" s="25">
        <f>+VLOOKUP(B102,[1]Balance_Gatún!$A$13:$AD$5087,15)/35.32</f>
        <v>13.563411598396133</v>
      </c>
      <c r="R102" s="24">
        <f>+VLOOKUP(B102,[1]Balance_Madden!$A$12:$V$5087,14)/35.32</f>
        <v>22.309258699387115</v>
      </c>
      <c r="S102" s="26">
        <f>[1]Balance_Gatún!X101/35.32</f>
        <v>96.692663500754932</v>
      </c>
      <c r="T102" s="25">
        <v>39.605802753482372</v>
      </c>
      <c r="U102" s="25">
        <v>34.384243234767155</v>
      </c>
      <c r="V102" s="29">
        <f>LOOKUP(D102,[1]Parámetros!$A$7:$A$24,[1]Parámetros!$B$7:$B$24)</f>
        <v>49.5</v>
      </c>
      <c r="W102" s="30" t="str">
        <f t="shared" si="7"/>
        <v/>
      </c>
      <c r="X102" s="31" t="str">
        <f t="shared" si="8"/>
        <v/>
      </c>
      <c r="Y102" s="30" t="str">
        <f>IF($W102="Cambio Calado",COUNTIF($W$14:W102,"Cambio Calado"),"")</f>
        <v/>
      </c>
      <c r="Z102" s="31" t="str">
        <f t="shared" si="9"/>
        <v/>
      </c>
      <c r="AA102" s="30" t="str">
        <f t="shared" si="10"/>
        <v/>
      </c>
      <c r="AB102" s="29">
        <f>IFERROR(LOOKUP($A102,$Z$14:$Z102,$AA$14:$AA102),$U102)</f>
        <v>49.5</v>
      </c>
      <c r="AC102" s="32">
        <f>IFERROR($A103-LOOKUP($A103,$Z$14:$Z102),"")</f>
        <v>9</v>
      </c>
      <c r="AD102" s="1" cm="1">
        <f t="array" ref="AD102">IF(B102&lt;&gt;"",80,_xludf.NA())</f>
        <v>80</v>
      </c>
    </row>
    <row r="103" spans="1:30">
      <c r="A103" s="22">
        <f t="shared" si="6"/>
        <v>46293</v>
      </c>
      <c r="B103" s="9">
        <f>+[1]Balance_Madden!A101</f>
        <v>46293</v>
      </c>
      <c r="C103" s="24">
        <f>+VLOOKUP(B103,[1]Balance_Madden!$A$12:$E$5000,2)</f>
        <v>244.18</v>
      </c>
      <c r="D103" s="25">
        <f>+VLOOKUP(B103,[1]Balance_Gatún!$A$13:$E$5087,2)</f>
        <v>84.795000000000002</v>
      </c>
      <c r="E103" s="24">
        <f>+VLOOKUP(B103,[1]Balance_Madden!$A$12:$E$5087,5)/35.32</f>
        <v>40.502349943374853</v>
      </c>
      <c r="F103" s="26">
        <f>+VLOOKUP(B103,[1]Balance_Gatún!$A$13:$E$5087,5)/35.32</f>
        <v>44.829445073612682</v>
      </c>
      <c r="G103" s="24">
        <f>+VLOOKUP(B103,[1]Balance_Madden!$A$12:$K$5087,9)/111</f>
        <v>2.7027027027027026</v>
      </c>
      <c r="H103" s="25">
        <f>+VLOOKUP(B103,[1]Balance_Gatún!$A$13:$U$5087,21)/186</f>
        <v>0</v>
      </c>
      <c r="I103" s="24">
        <f>+(VLOOKUP(B103,[1]Balance_Madden!$A$12:$K$5087,10)/35.32)+VLOOKUP(B103,[1]Balance_Madden!$A$12:$K$5087,11)/35.32</f>
        <v>0</v>
      </c>
      <c r="J103" s="25">
        <f>+VLOOKUP(B103,[1]Balance_Gatún!$A$13:$AD$5087,23)/35.32+ VLOOKUP(B103,[1]Balance_Gatún!$A$13:$AD$5087,17)/35.32</f>
        <v>0</v>
      </c>
      <c r="K103" s="24">
        <f>+VLOOKUP(B103,[1]Balance_Gatún!$A$13:$AC$5087,10)</f>
        <v>24</v>
      </c>
      <c r="L103" s="25" t="str">
        <f>+VLOOKUP(B103,[1]Balance_Gatún!$A$13:$AC$5087,11)</f>
        <v>XFILL_PMG100%</v>
      </c>
      <c r="M103" s="25">
        <f>+VLOOKUP(B103,[1]Balance_Gatún!$A$13:$AC$5087,12)</f>
        <v>10</v>
      </c>
      <c r="N103" s="25" t="str">
        <f>+VLOOKUP(B103,[1]Balance_Gatún!$A$13:$AC$5087,13)</f>
        <v>TA+CCL100%</v>
      </c>
      <c r="O103" s="25">
        <f>+VLOOKUP(B103,[1]Balance_Gatún!$A$13:$AC$5087,14)/408.7</f>
        <v>6.1871058604103357</v>
      </c>
      <c r="P103" s="24">
        <f>+VLOOKUP(B103,[1]Balance_Madden!$A$12:$V$5087,12)/35.32</f>
        <v>1.3690375838438715</v>
      </c>
      <c r="Q103" s="25">
        <f>+VLOOKUP(B103,[1]Balance_Gatún!$A$13:$AD$5087,15)/35.32</f>
        <v>11.853238776737241</v>
      </c>
      <c r="R103" s="24">
        <f>+VLOOKUP(B103,[1]Balance_Madden!$A$12:$V$5087,14)/35.32</f>
        <v>22.116489452473541</v>
      </c>
      <c r="S103" s="26">
        <f>[1]Balance_Gatún!X102/35.32</f>
        <v>95.087416725483124</v>
      </c>
      <c r="T103" s="25">
        <v>33.074210259485035</v>
      </c>
      <c r="U103" s="25">
        <v>28.58886482546875</v>
      </c>
      <c r="V103" s="29">
        <f>LOOKUP(D103,[1]Parámetros!$A$7:$A$24,[1]Parámetros!$B$7:$B$24)</f>
        <v>49.5</v>
      </c>
      <c r="W103" s="30" t="str">
        <f t="shared" si="7"/>
        <v/>
      </c>
      <c r="X103" s="31" t="str">
        <f t="shared" si="8"/>
        <v/>
      </c>
      <c r="Y103" s="30" t="str">
        <f>IF($W103="Cambio Calado",COUNTIF($W$14:W103,"Cambio Calado"),"")</f>
        <v/>
      </c>
      <c r="Z103" s="31" t="str">
        <f t="shared" si="9"/>
        <v/>
      </c>
      <c r="AA103" s="30" t="str">
        <f t="shared" si="10"/>
        <v/>
      </c>
      <c r="AB103" s="29">
        <f>IFERROR(LOOKUP($A103,$Z$14:$Z103,$AA$14:$AA103),$U103)</f>
        <v>49.5</v>
      </c>
      <c r="AC103" s="32">
        <f>IFERROR($A104-LOOKUP($A104,$Z$14:$Z103),"")</f>
        <v>10</v>
      </c>
      <c r="AD103" s="1" cm="1">
        <f t="array" ref="AD103">IF(B103&lt;&gt;"",80,_xludf.NA())</f>
        <v>80</v>
      </c>
    </row>
    <row r="104" spans="1:30">
      <c r="A104" s="22">
        <f t="shared" si="6"/>
        <v>46294</v>
      </c>
      <c r="B104" s="9">
        <f>+[1]Balance_Madden!A102</f>
        <v>46294</v>
      </c>
      <c r="C104" s="24">
        <f>+VLOOKUP(B104,[1]Balance_Madden!$A$12:$E$5000,2)</f>
        <v>243.32</v>
      </c>
      <c r="D104" s="25">
        <f>+VLOOKUP(B104,[1]Balance_Gatún!$A$13:$E$5087,2)</f>
        <v>84.887</v>
      </c>
      <c r="E104" s="24">
        <f>+VLOOKUP(B104,[1]Balance_Madden!$A$12:$E$5087,5)/35.32</f>
        <v>36.410617214043029</v>
      </c>
      <c r="F104" s="26">
        <f>+VLOOKUP(B104,[1]Balance_Gatún!$A$13:$E$5087,5)/35.32</f>
        <v>43.760588901472254</v>
      </c>
      <c r="G104" s="24">
        <f>+VLOOKUP(B104,[1]Balance_Madden!$A$12:$K$5087,9)/111</f>
        <v>2.7027027027027026</v>
      </c>
      <c r="H104" s="25">
        <f>+VLOOKUP(B104,[1]Balance_Gatún!$A$13:$U$5087,21)/186</f>
        <v>0</v>
      </c>
      <c r="I104" s="24">
        <f>+(VLOOKUP(B104,[1]Balance_Madden!$A$12:$K$5087,10)/35.32)+VLOOKUP(B104,[1]Balance_Madden!$A$12:$K$5087,11)/35.32</f>
        <v>0</v>
      </c>
      <c r="J104" s="25">
        <f>+VLOOKUP(B104,[1]Balance_Gatún!$A$13:$AD$5087,23)/35.32+ VLOOKUP(B104,[1]Balance_Gatún!$A$13:$AD$5087,17)/35.32</f>
        <v>0</v>
      </c>
      <c r="K104" s="24">
        <f>+VLOOKUP(B104,[1]Balance_Gatún!$A$13:$AC$5087,10)</f>
        <v>24</v>
      </c>
      <c r="L104" s="25" t="str">
        <f>+VLOOKUP(B104,[1]Balance_Gatún!$A$13:$AC$5087,11)</f>
        <v>XFILL_PMG100%</v>
      </c>
      <c r="M104" s="25">
        <f>+VLOOKUP(B104,[1]Balance_Gatún!$A$13:$AC$5087,12)</f>
        <v>10</v>
      </c>
      <c r="N104" s="25" t="str">
        <f>+VLOOKUP(B104,[1]Balance_Gatún!$A$13:$AC$5087,13)</f>
        <v>TA+CCL100%</v>
      </c>
      <c r="O104" s="25">
        <f>+VLOOKUP(B104,[1]Balance_Gatún!$A$13:$AC$5087,14)/408.7</f>
        <v>6.2041310169381019</v>
      </c>
      <c r="P104" s="24">
        <f>+VLOOKUP(B104,[1]Balance_Madden!$A$12:$V$5087,12)/35.32</f>
        <v>1.1777715112161964</v>
      </c>
      <c r="Q104" s="25">
        <f>+VLOOKUP(B104,[1]Balance_Gatún!$A$13:$AD$5087,15)/35.32</f>
        <v>10.320855598209551</v>
      </c>
      <c r="R104" s="24">
        <f>+VLOOKUP(B104,[1]Balance_Madden!$A$12:$V$5087,14)/35.32</f>
        <v>21.925223379845868</v>
      </c>
      <c r="S104" s="26">
        <f>[1]Balance_Gatún!X103/35.32</f>
        <v>93.752037552416866</v>
      </c>
      <c r="T104" s="25">
        <v>46.315581836797037</v>
      </c>
      <c r="U104" s="25">
        <v>32.267276974351454</v>
      </c>
      <c r="V104" s="29">
        <f>LOOKUP(D104,[1]Parámetros!$A$7:$A$24,[1]Parámetros!$B$7:$B$24)</f>
        <v>49.5</v>
      </c>
      <c r="W104" s="30" t="str">
        <f t="shared" si="7"/>
        <v/>
      </c>
      <c r="X104" s="31" t="str">
        <f t="shared" si="8"/>
        <v/>
      </c>
      <c r="Y104" s="30" t="str">
        <f>IF($W104="Cambio Calado",COUNTIF($W$14:W104,"Cambio Calado"),"")</f>
        <v/>
      </c>
      <c r="Z104" s="31" t="str">
        <f t="shared" si="9"/>
        <v/>
      </c>
      <c r="AA104" s="30" t="str">
        <f t="shared" si="10"/>
        <v/>
      </c>
      <c r="AB104" s="29">
        <f>IFERROR(LOOKUP($A104,$Z$14:$Z104,$AA$14:$AA104),$U104)</f>
        <v>49.5</v>
      </c>
      <c r="AC104" s="32">
        <f>IFERROR($A105-LOOKUP($A105,$Z$14:$Z104),"")</f>
        <v>11</v>
      </c>
      <c r="AD104" s="1" cm="1">
        <f t="array" ref="AD104">IF(B104&lt;&gt;"",80,_xludf.NA())</f>
        <v>80</v>
      </c>
    </row>
    <row r="105" spans="1:30">
      <c r="A105" s="22">
        <f t="shared" si="6"/>
        <v>46295</v>
      </c>
      <c r="B105" s="9">
        <f>+[1]Balance_Madden!A103</f>
        <v>46295</v>
      </c>
      <c r="C105" s="24">
        <f>+VLOOKUP(B105,[1]Balance_Madden!$A$12:$E$5000,2)</f>
        <v>242.66</v>
      </c>
      <c r="D105" s="25">
        <f>+VLOOKUP(B105,[1]Balance_Gatún!$A$13:$E$5087,2)</f>
        <v>85.010999999999996</v>
      </c>
      <c r="E105" s="24">
        <f>+VLOOKUP(B105,[1]Balance_Madden!$A$12:$E$5087,5)/35.32</f>
        <v>34.592072480181194</v>
      </c>
      <c r="F105" s="26">
        <f>+VLOOKUP(B105,[1]Balance_Gatún!$A$13:$E$5087,5)/35.32</f>
        <v>38.149093997734994</v>
      </c>
      <c r="G105" s="24">
        <f>+VLOOKUP(B105,[1]Balance_Madden!$A$12:$K$5087,9)/111</f>
        <v>2.7027027027027026</v>
      </c>
      <c r="H105" s="25">
        <f>+VLOOKUP(B105,[1]Balance_Gatún!$A$13:$U$5087,21)/186</f>
        <v>0</v>
      </c>
      <c r="I105" s="24">
        <f>+(VLOOKUP(B105,[1]Balance_Madden!$A$12:$K$5087,10)/35.32)+VLOOKUP(B105,[1]Balance_Madden!$A$12:$K$5087,11)/35.32</f>
        <v>0</v>
      </c>
      <c r="J105" s="25">
        <f>+VLOOKUP(B105,[1]Balance_Gatún!$A$13:$AD$5087,23)/35.32+ VLOOKUP(B105,[1]Balance_Gatún!$A$13:$AD$5087,17)/35.32</f>
        <v>0</v>
      </c>
      <c r="K105" s="24">
        <f>+VLOOKUP(B105,[1]Balance_Gatún!$A$13:$AC$5087,10)</f>
        <v>24</v>
      </c>
      <c r="L105" s="25" t="str">
        <f>+VLOOKUP(B105,[1]Balance_Gatún!$A$13:$AC$5087,11)</f>
        <v>XFILL_PMG100%</v>
      </c>
      <c r="M105" s="25">
        <f>+VLOOKUP(B105,[1]Balance_Gatún!$A$13:$AC$5087,12)</f>
        <v>10</v>
      </c>
      <c r="N105" s="25" t="str">
        <f>+VLOOKUP(B105,[1]Balance_Gatún!$A$13:$AC$5087,13)</f>
        <v>TA+CCL100%</v>
      </c>
      <c r="O105" s="25">
        <f>+VLOOKUP(B105,[1]Balance_Gatún!$A$13:$AC$5087,14)/408.7</f>
        <v>6.2270779670407421</v>
      </c>
      <c r="P105" s="24">
        <f>+VLOOKUP(B105,[1]Balance_Madden!$A$12:$V$5087,12)/35.32</f>
        <v>1.2244902658274892</v>
      </c>
      <c r="Q105" s="25">
        <f>+VLOOKUP(B105,[1]Balance_Gatún!$A$13:$AD$5087,15)/35.32</f>
        <v>10.837751598675574</v>
      </c>
      <c r="R105" s="24">
        <f>+VLOOKUP(B105,[1]Balance_Madden!$A$12:$V$5087,14)/35.32</f>
        <v>21.971942134457159</v>
      </c>
      <c r="S105" s="26">
        <f>[1]Balance_Gatún!X104/35.32</f>
        <v>94.534460690678728</v>
      </c>
      <c r="T105" s="25">
        <v>43.29790228335429</v>
      </c>
      <c r="U105" s="25">
        <v>23.886961083390851</v>
      </c>
      <c r="V105" s="29">
        <f>LOOKUP(D105,[1]Parámetros!$A$7:$A$24,[1]Parámetros!$B$7:$B$24)</f>
        <v>50</v>
      </c>
      <c r="W105" s="30" t="str">
        <f t="shared" si="7"/>
        <v>Cambio Calado</v>
      </c>
      <c r="X105" s="31">
        <f t="shared" si="8"/>
        <v>46295</v>
      </c>
      <c r="Y105" s="30">
        <f>IF($W105="Cambio Calado",COUNTIF($W$14:W105,"Cambio Calado"),"")</f>
        <v>6</v>
      </c>
      <c r="Z105" s="31">
        <f t="shared" si="9"/>
        <v>46295</v>
      </c>
      <c r="AA105" s="30">
        <f t="shared" si="10"/>
        <v>50</v>
      </c>
      <c r="AB105" s="29">
        <f>IFERROR(LOOKUP($A105,$Z$14:$Z105,$AA$14:$AA105),$U105)</f>
        <v>50</v>
      </c>
      <c r="AC105" s="32">
        <f>IFERROR($A106-LOOKUP($A106,$Z$14:$Z105),"")</f>
        <v>1</v>
      </c>
      <c r="AD105" s="1" cm="1">
        <f t="array" ref="AD105">IF(B105&lt;&gt;"",80,_xludf.NA())</f>
        <v>80</v>
      </c>
    </row>
    <row r="106" spans="1:30">
      <c r="A106" s="22">
        <f t="shared" si="6"/>
        <v>46296</v>
      </c>
      <c r="B106" s="9">
        <f>+[1]Balance_Madden!A104</f>
        <v>46296</v>
      </c>
      <c r="C106" s="24">
        <f>+VLOOKUP(B106,[1]Balance_Madden!$A$12:$E$5000,2)</f>
        <v>242.74299999999999</v>
      </c>
      <c r="D106" s="25">
        <f>+VLOOKUP(B106,[1]Balance_Gatún!$A$13:$E$5087,2)</f>
        <v>84.978912598378329</v>
      </c>
      <c r="E106" s="24">
        <f>+VLOOKUP(B106,[1]Balance_Madden!$A$12:$E$5087,5)/35.32</f>
        <v>32.659852774631936</v>
      </c>
      <c r="F106" s="26">
        <f>+VLOOKUP(B106,[1]Balance_Gatún!$A$13:$E$5087,5)/35.32</f>
        <v>37.320724801811998</v>
      </c>
      <c r="G106" s="24">
        <f>+VLOOKUP(B106,[1]Balance_Madden!$A$12:$K$5087,9)/111</f>
        <v>2.7027027027027026</v>
      </c>
      <c r="H106" s="25">
        <f>+VLOOKUP(B106,[1]Balance_Gatún!$A$13:$U$5087,21)/186</f>
        <v>0</v>
      </c>
      <c r="I106" s="24">
        <f>+(VLOOKUP(B106,[1]Balance_Madden!$A$12:$K$5087,10)/35.32)+VLOOKUP(B106,[1]Balance_Madden!$A$12:$K$5087,11)/35.32</f>
        <v>0</v>
      </c>
      <c r="J106" s="25">
        <f>+VLOOKUP(B106,[1]Balance_Gatún!$A$13:$AD$5087,23)/35.32+ VLOOKUP(B106,[1]Balance_Gatún!$A$13:$AD$5087,17)/35.32</f>
        <v>0</v>
      </c>
      <c r="K106" s="24">
        <f>+VLOOKUP(B106,[1]Balance_Gatún!$A$13:$AC$5087,10)</f>
        <v>18</v>
      </c>
      <c r="L106" s="25" t="str">
        <f>+VLOOKUP(B106,[1]Balance_Gatún!$A$13:$AC$5087,11)</f>
        <v>XFILL_PMG100%</v>
      </c>
      <c r="M106" s="25">
        <f>+VLOOKUP(B106,[1]Balance_Gatún!$A$13:$AC$5087,12)</f>
        <v>10</v>
      </c>
      <c r="N106" s="25" t="str">
        <f>+VLOOKUP(B106,[1]Balance_Gatún!$A$13:$AC$5087,13)</f>
        <v>TA+CCL100%</v>
      </c>
      <c r="O106" s="25">
        <f>+VLOOKUP(B106,[1]Balance_Gatún!$A$13:$AC$5087,14)/408.7</f>
        <v>5.421031960459934</v>
      </c>
      <c r="P106" s="24">
        <f>+VLOOKUP(B106,[1]Balance_Madden!$A$12:$V$5087,12)/35.32</f>
        <v>2.0396771835666265</v>
      </c>
      <c r="Q106" s="25">
        <f>+VLOOKUP(B106,[1]Balance_Gatún!$A$13:$AD$5087,15)/35.32</f>
        <v>18.026408610915126</v>
      </c>
      <c r="R106" s="24">
        <f>+VLOOKUP(B106,[1]Balance_Madden!$A$12:$V$5087,14)/35.32</f>
        <v>22.787129052196295</v>
      </c>
      <c r="S106" s="26">
        <f>[1]Balance_Gatún!X105/35.32</f>
        <v>92.396079116010682</v>
      </c>
      <c r="T106" s="25">
        <v>43.445725335284848</v>
      </c>
      <c r="U106" s="25">
        <v>22.784704413547551</v>
      </c>
      <c r="V106" s="29">
        <f>LOOKUP(D106,[1]Parámetros!$A$7:$A$24,[1]Parámetros!$B$7:$B$24)</f>
        <v>49.5</v>
      </c>
      <c r="W106" s="30" t="str">
        <f t="shared" si="7"/>
        <v>Cambio Calado</v>
      </c>
      <c r="X106" s="31">
        <f t="shared" si="8"/>
        <v>46296</v>
      </c>
      <c r="Y106" s="30">
        <f>IF($W106="Cambio Calado",COUNTIF($W$14:W106,"Cambio Calado"),"")</f>
        <v>7</v>
      </c>
      <c r="Z106" s="31">
        <f t="shared" si="9"/>
        <v>46296</v>
      </c>
      <c r="AA106" s="30">
        <f t="shared" si="10"/>
        <v>49.5</v>
      </c>
      <c r="AB106" s="29">
        <f>IFERROR(LOOKUP($A106,$Z$14:$Z106,$AA$14:$AA106),$U106)</f>
        <v>49.5</v>
      </c>
      <c r="AC106" s="32">
        <f>IFERROR($A107-LOOKUP($A107,$Z$14:$Z106),"")</f>
        <v>1</v>
      </c>
      <c r="AD106" s="1" cm="1">
        <f t="array" ref="AD106">IF(B106&lt;&gt;"",80,_xludf.NA())</f>
        <v>80</v>
      </c>
    </row>
    <row r="107" spans="1:30">
      <c r="A107" s="22">
        <f t="shared" si="6"/>
        <v>46297</v>
      </c>
      <c r="B107" s="9">
        <f>+[1]Balance_Madden!A105</f>
        <v>46297</v>
      </c>
      <c r="C107" s="24">
        <f>+VLOOKUP(B107,[1]Balance_Madden!$A$12:$E$5000,2)</f>
        <v>242.80799999999999</v>
      </c>
      <c r="D107" s="25">
        <f>+VLOOKUP(B107,[1]Balance_Gatún!$A$13:$E$5087,2)</f>
        <v>84.947690596099307</v>
      </c>
      <c r="E107" s="24">
        <f>+VLOOKUP(B107,[1]Balance_Madden!$A$12:$E$5087,5)/35.32</f>
        <v>31.068629671574179</v>
      </c>
      <c r="F107" s="26">
        <f>+VLOOKUP(B107,[1]Balance_Gatún!$A$13:$E$5087,5)/35.32</f>
        <v>34.247763306908269</v>
      </c>
      <c r="G107" s="24">
        <f>+VLOOKUP(B107,[1]Balance_Madden!$A$12:$K$5087,9)/111</f>
        <v>2.7027027027027026</v>
      </c>
      <c r="H107" s="25">
        <f>+VLOOKUP(B107,[1]Balance_Gatún!$A$13:$U$5087,21)/186</f>
        <v>0</v>
      </c>
      <c r="I107" s="24">
        <f>+(VLOOKUP(B107,[1]Balance_Madden!$A$12:$K$5087,10)/35.32)+VLOOKUP(B107,[1]Balance_Madden!$A$12:$K$5087,11)/35.32</f>
        <v>0</v>
      </c>
      <c r="J107" s="25">
        <f>+VLOOKUP(B107,[1]Balance_Gatún!$A$13:$AD$5087,23)/35.32+ VLOOKUP(B107,[1]Balance_Gatún!$A$13:$AD$5087,17)/35.32</f>
        <v>0</v>
      </c>
      <c r="K107" s="24">
        <f>+VLOOKUP(B107,[1]Balance_Gatún!$A$13:$AC$5087,10)</f>
        <v>18</v>
      </c>
      <c r="L107" s="25" t="str">
        <f>+VLOOKUP(B107,[1]Balance_Gatún!$A$13:$AC$5087,11)</f>
        <v>XFILL_PMG100%</v>
      </c>
      <c r="M107" s="25">
        <f>+VLOOKUP(B107,[1]Balance_Gatún!$A$13:$AC$5087,12)</f>
        <v>10</v>
      </c>
      <c r="N107" s="25" t="str">
        <f>+VLOOKUP(B107,[1]Balance_Gatún!$A$13:$AC$5087,13)</f>
        <v>TA+CCL100%</v>
      </c>
      <c r="O107" s="25">
        <f>+VLOOKUP(B107,[1]Balance_Gatún!$A$13:$AC$5087,14)/408.7</f>
        <v>5.4161566839097208</v>
      </c>
      <c r="P107" s="24">
        <f>+VLOOKUP(B107,[1]Balance_Madden!$A$12:$V$5087,12)/35.32</f>
        <v>1.8499240694737846</v>
      </c>
      <c r="Q107" s="25">
        <f>+VLOOKUP(B107,[1]Balance_Gatún!$A$13:$AD$5087,15)/35.32</f>
        <v>16.329396489733845</v>
      </c>
      <c r="R107" s="24">
        <f>+VLOOKUP(B107,[1]Balance_Madden!$A$12:$V$5087,14)/35.32</f>
        <v>22.597375938103458</v>
      </c>
      <c r="S107" s="26">
        <f>[1]Balance_Gatún!X106/35.32</f>
        <v>90.642653474838681</v>
      </c>
      <c r="T107" s="25">
        <v>59.570332851783952</v>
      </c>
      <c r="U107" s="25">
        <v>22.80393099216375</v>
      </c>
      <c r="V107" s="29">
        <f>LOOKUP(D107,[1]Parámetros!$A$7:$A$24,[1]Parámetros!$B$7:$B$24)</f>
        <v>49.5</v>
      </c>
      <c r="W107" s="30" t="str">
        <f t="shared" si="7"/>
        <v/>
      </c>
      <c r="X107" s="31" t="str">
        <f t="shared" si="8"/>
        <v/>
      </c>
      <c r="Y107" s="30" t="str">
        <f>IF($W107="Cambio Calado",COUNTIF($W$14:W107,"Cambio Calado"),"")</f>
        <v/>
      </c>
      <c r="Z107" s="31" t="str">
        <f t="shared" si="9"/>
        <v/>
      </c>
      <c r="AA107" s="30" t="str">
        <f t="shared" si="10"/>
        <v/>
      </c>
      <c r="AB107" s="29">
        <f>IFERROR(LOOKUP($A107,$Z$14:$Z107,$AA$14:$AA107),$U107)</f>
        <v>49.5</v>
      </c>
      <c r="AC107" s="32">
        <f>IFERROR($A108-LOOKUP($A108,$Z$14:$Z107),"")</f>
        <v>2</v>
      </c>
      <c r="AD107" s="1" cm="1">
        <f t="array" ref="AD107">IF(B107&lt;&gt;"",80,_xludf.NA())</f>
        <v>80</v>
      </c>
    </row>
    <row r="108" spans="1:30">
      <c r="A108" s="22">
        <f t="shared" si="6"/>
        <v>46298</v>
      </c>
      <c r="B108" s="9">
        <f>+[1]Balance_Madden!A106</f>
        <v>46298</v>
      </c>
      <c r="C108" s="24">
        <f>+VLOOKUP(B108,[1]Balance_Madden!$A$12:$E$5000,2)</f>
        <v>242.864</v>
      </c>
      <c r="D108" s="25">
        <f>+VLOOKUP(B108,[1]Balance_Gatún!$A$13:$E$5087,2)</f>
        <v>84.915571480303242</v>
      </c>
      <c r="E108" s="24">
        <f>+VLOOKUP(B108,[1]Balance_Madden!$A$12:$E$5087,5)/35.32</f>
        <v>22.162259343148357</v>
      </c>
      <c r="F108" s="26">
        <f>+VLOOKUP(B108,[1]Balance_Gatún!$A$13:$E$5087,5)/35.32</f>
        <v>26.956228765571915</v>
      </c>
      <c r="G108" s="24">
        <f>+VLOOKUP(B108,[1]Balance_Madden!$A$12:$K$5087,9)/111</f>
        <v>2.7027027027027026</v>
      </c>
      <c r="H108" s="25">
        <f>+VLOOKUP(B108,[1]Balance_Gatún!$A$13:$U$5087,21)/186</f>
        <v>0</v>
      </c>
      <c r="I108" s="24">
        <f>+(VLOOKUP(B108,[1]Balance_Madden!$A$12:$K$5087,10)/35.32)+VLOOKUP(B108,[1]Balance_Madden!$A$12:$K$5087,11)/35.32</f>
        <v>0</v>
      </c>
      <c r="J108" s="25">
        <f>+VLOOKUP(B108,[1]Balance_Gatún!$A$13:$AD$5087,23)/35.32+ VLOOKUP(B108,[1]Balance_Gatún!$A$13:$AD$5087,17)/35.32</f>
        <v>0</v>
      </c>
      <c r="K108" s="24">
        <f>+VLOOKUP(B108,[1]Balance_Gatún!$A$13:$AC$5087,10)</f>
        <v>18</v>
      </c>
      <c r="L108" s="25" t="str">
        <f>+VLOOKUP(B108,[1]Balance_Gatún!$A$13:$AC$5087,11)</f>
        <v>XFILL_PMG100%</v>
      </c>
      <c r="M108" s="25">
        <f>+VLOOKUP(B108,[1]Balance_Gatún!$A$13:$AC$5087,12)</f>
        <v>10</v>
      </c>
      <c r="N108" s="25" t="str">
        <f>+VLOOKUP(B108,[1]Balance_Gatún!$A$13:$AC$5087,13)</f>
        <v>TA+CCL100%</v>
      </c>
      <c r="O108" s="25">
        <f>+VLOOKUP(B108,[1]Balance_Gatún!$A$13:$AC$5087,14)/408.7</f>
        <v>5.4111413242074597</v>
      </c>
      <c r="P108" s="24">
        <f>+VLOOKUP(B108,[1]Balance_Madden!$A$12:$V$5087,12)/35.32</f>
        <v>0.50503924970919978</v>
      </c>
      <c r="Q108" s="25">
        <f>+VLOOKUP(B108,[1]Balance_Gatún!$A$13:$AD$5087,15)/35.32</f>
        <v>4.4530210364646159</v>
      </c>
      <c r="R108" s="24">
        <f>+VLOOKUP(B108,[1]Balance_Madden!$A$12:$V$5087,14)/35.32</f>
        <v>21.25249111833887</v>
      </c>
      <c r="S108" s="26">
        <f>[1]Balance_Gatún!X107/35.32</f>
        <v>78.708243550722514</v>
      </c>
      <c r="T108" s="25">
        <v>118.38852410411407</v>
      </c>
      <c r="U108" s="25">
        <v>51.044064501527423</v>
      </c>
      <c r="V108" s="29">
        <f>LOOKUP(D108,[1]Parámetros!$A$7:$A$24,[1]Parámetros!$B$7:$B$24)</f>
        <v>49.5</v>
      </c>
      <c r="W108" s="30" t="str">
        <f t="shared" si="7"/>
        <v/>
      </c>
      <c r="X108" s="31" t="str">
        <f t="shared" si="8"/>
        <v/>
      </c>
      <c r="Y108" s="30" t="str">
        <f>IF($W108="Cambio Calado",COUNTIF($W$14:W108,"Cambio Calado"),"")</f>
        <v/>
      </c>
      <c r="Z108" s="31" t="str">
        <f t="shared" si="9"/>
        <v/>
      </c>
      <c r="AA108" s="30" t="str">
        <f t="shared" si="10"/>
        <v/>
      </c>
      <c r="AB108" s="29">
        <f>IFERROR(LOOKUP($A108,$Z$14:$Z108,$AA$14:$AA108),$U108)</f>
        <v>49.5</v>
      </c>
      <c r="AC108" s="32">
        <f>IFERROR($A109-LOOKUP($A109,$Z$14:$Z108),"")</f>
        <v>3</v>
      </c>
      <c r="AD108" s="1" cm="1">
        <f t="array" ref="AD108">IF(B108&lt;&gt;"",80,_xludf.NA())</f>
        <v>80</v>
      </c>
    </row>
    <row r="109" spans="1:30">
      <c r="A109" s="22">
        <f t="shared" si="6"/>
        <v>46299</v>
      </c>
      <c r="B109" s="9">
        <f>+[1]Balance_Madden!A107</f>
        <v>46299</v>
      </c>
      <c r="C109" s="24">
        <f>+VLOOKUP(B109,[1]Balance_Madden!$A$12:$E$5000,2)</f>
        <v>242.87</v>
      </c>
      <c r="D109" s="25">
        <f>+VLOOKUP(B109,[1]Balance_Gatún!$A$13:$E$5087,2)</f>
        <v>84.886554493189195</v>
      </c>
      <c r="E109" s="24">
        <f>+VLOOKUP(B109,[1]Balance_Madden!$A$12:$E$5087,5)/35.32</f>
        <v>38.20696489241223</v>
      </c>
      <c r="F109" s="26">
        <f>+VLOOKUP(B109,[1]Balance_Gatún!$A$13:$E$5087,5)/35.32</f>
        <v>31.172197055492639</v>
      </c>
      <c r="G109" s="24">
        <f>+VLOOKUP(B109,[1]Balance_Madden!$A$12:$K$5087,9)/111</f>
        <v>2.7027027027027026</v>
      </c>
      <c r="H109" s="25">
        <f>+VLOOKUP(B109,[1]Balance_Gatún!$A$13:$U$5087,21)/186</f>
        <v>0</v>
      </c>
      <c r="I109" s="24">
        <f>+(VLOOKUP(B109,[1]Balance_Madden!$A$12:$K$5087,10)/35.32)+VLOOKUP(B109,[1]Balance_Madden!$A$12:$K$5087,11)/35.32</f>
        <v>0</v>
      </c>
      <c r="J109" s="25">
        <f>+VLOOKUP(B109,[1]Balance_Gatún!$A$13:$AD$5087,23)/35.32+ VLOOKUP(B109,[1]Balance_Gatún!$A$13:$AD$5087,17)/35.32</f>
        <v>0</v>
      </c>
      <c r="K109" s="24">
        <f>+VLOOKUP(B109,[1]Balance_Gatún!$A$13:$AC$5087,10)</f>
        <v>18</v>
      </c>
      <c r="L109" s="25" t="str">
        <f>+VLOOKUP(B109,[1]Balance_Gatún!$A$13:$AC$5087,11)</f>
        <v>XFILL_PMG100%</v>
      </c>
      <c r="M109" s="25">
        <f>+VLOOKUP(B109,[1]Balance_Gatún!$A$13:$AC$5087,12)</f>
        <v>10</v>
      </c>
      <c r="N109" s="25" t="str">
        <f>+VLOOKUP(B109,[1]Balance_Gatún!$A$13:$AC$5087,13)</f>
        <v>TA+CCL100%</v>
      </c>
      <c r="O109" s="25">
        <f>+VLOOKUP(B109,[1]Balance_Gatún!$A$13:$AC$5087,14)/408.7</f>
        <v>5.4066103580134692</v>
      </c>
      <c r="P109" s="24">
        <f>+VLOOKUP(B109,[1]Balance_Madden!$A$12:$V$5087,12)/35.32</f>
        <v>1.0716434068063405</v>
      </c>
      <c r="Q109" s="25">
        <f>+VLOOKUP(B109,[1]Balance_Gatún!$A$13:$AD$5087,15)/35.32</f>
        <v>9.4446719962261927</v>
      </c>
      <c r="R109" s="24">
        <f>+VLOOKUP(B109,[1]Balance_Madden!$A$12:$V$5087,14)/35.32</f>
        <v>21.819095275436013</v>
      </c>
      <c r="S109" s="26">
        <f>[1]Balance_Gatún!X108/35.32</f>
        <v>83.647465125334477</v>
      </c>
      <c r="T109" s="25">
        <v>52.397743735287953</v>
      </c>
      <c r="U109" s="25">
        <v>35.020775475747669</v>
      </c>
      <c r="V109" s="29">
        <f>LOOKUP(D109,[1]Parámetros!$A$7:$A$24,[1]Parámetros!$B$7:$B$24)</f>
        <v>49.5</v>
      </c>
      <c r="W109" s="30" t="str">
        <f t="shared" si="7"/>
        <v/>
      </c>
      <c r="X109" s="31" t="str">
        <f t="shared" si="8"/>
        <v/>
      </c>
      <c r="Y109" s="30" t="str">
        <f>IF($W109="Cambio Calado",COUNTIF($W$14:W109,"Cambio Calado"),"")</f>
        <v/>
      </c>
      <c r="Z109" s="31" t="str">
        <f t="shared" si="9"/>
        <v/>
      </c>
      <c r="AA109" s="30" t="str">
        <f t="shared" si="10"/>
        <v/>
      </c>
      <c r="AB109" s="29">
        <f>IFERROR(LOOKUP($A109,$Z$14:$Z109,$AA$14:$AA109),$U109)</f>
        <v>49.5</v>
      </c>
      <c r="AC109" s="32">
        <f>IFERROR($A110-LOOKUP($A110,$Z$14:$Z109),"")</f>
        <v>4</v>
      </c>
      <c r="AD109" s="1" cm="1">
        <f t="array" ref="AD109">IF(B109&lt;&gt;"",80,_xludf.NA())</f>
        <v>80</v>
      </c>
    </row>
    <row r="110" spans="1:30">
      <c r="A110" s="22">
        <f t="shared" si="6"/>
        <v>46300</v>
      </c>
      <c r="B110" s="9">
        <f>+[1]Balance_Madden!A108</f>
        <v>46300</v>
      </c>
      <c r="C110" s="24">
        <f>+VLOOKUP(B110,[1]Balance_Madden!$A$12:$E$5000,2)</f>
        <v>242.97900000000001</v>
      </c>
      <c r="D110" s="25">
        <f>+VLOOKUP(B110,[1]Balance_Gatún!$A$13:$E$5087,2)</f>
        <v>84.857041588373789</v>
      </c>
      <c r="E110" s="24">
        <f>+VLOOKUP(B110,[1]Balance_Madden!$A$12:$E$5087,5)/35.32</f>
        <v>66.391732729331821</v>
      </c>
      <c r="F110" s="26">
        <f>+VLOOKUP(B110,[1]Balance_Gatún!$A$13:$E$5087,5)/35.32</f>
        <v>58.01565685164212</v>
      </c>
      <c r="G110" s="24">
        <f>+VLOOKUP(B110,[1]Balance_Madden!$A$12:$K$5087,9)/111</f>
        <v>2.7027027027027026</v>
      </c>
      <c r="H110" s="25">
        <f>+VLOOKUP(B110,[1]Balance_Gatún!$A$13:$U$5087,21)/186</f>
        <v>0</v>
      </c>
      <c r="I110" s="24">
        <f>+(VLOOKUP(B110,[1]Balance_Madden!$A$12:$K$5087,10)/35.32)+VLOOKUP(B110,[1]Balance_Madden!$A$12:$K$5087,11)/35.32</f>
        <v>0</v>
      </c>
      <c r="J110" s="25">
        <f>+VLOOKUP(B110,[1]Balance_Gatún!$A$13:$AD$5087,23)/35.32+ VLOOKUP(B110,[1]Balance_Gatún!$A$13:$AD$5087,17)/35.32</f>
        <v>0</v>
      </c>
      <c r="K110" s="24">
        <f>+VLOOKUP(B110,[1]Balance_Gatún!$A$13:$AC$5087,10)</f>
        <v>18</v>
      </c>
      <c r="L110" s="25" t="str">
        <f>+VLOOKUP(B110,[1]Balance_Gatún!$A$13:$AC$5087,11)</f>
        <v>XFILL_PMG100%</v>
      </c>
      <c r="M110" s="25">
        <f>+VLOOKUP(B110,[1]Balance_Gatún!$A$13:$AC$5087,12)</f>
        <v>10</v>
      </c>
      <c r="N110" s="25" t="str">
        <f>+VLOOKUP(B110,[1]Balance_Gatún!$A$13:$AC$5087,13)</f>
        <v>TA+CCL100%</v>
      </c>
      <c r="O110" s="25">
        <f>+VLOOKUP(B110,[1]Balance_Gatún!$A$13:$AC$5087,14)/408.7</f>
        <v>5.4020019548915528</v>
      </c>
      <c r="P110" s="24">
        <f>+VLOOKUP(B110,[1]Balance_Madden!$A$12:$V$5087,12)/35.32</f>
        <v>1.2450345473509306</v>
      </c>
      <c r="Q110" s="25">
        <f>+VLOOKUP(B110,[1]Balance_Gatún!$A$13:$AD$5087,15)/35.32</f>
        <v>10.953497999215021</v>
      </c>
      <c r="R110" s="24">
        <f>+VLOOKUP(B110,[1]Balance_Madden!$A$12:$V$5087,14)/35.32</f>
        <v>21.992486415980601</v>
      </c>
      <c r="S110" s="26">
        <f>[1]Balance_Gatún!X109/35.32</f>
        <v>85.102965693557536</v>
      </c>
      <c r="T110" s="25">
        <v>32.556971259099619</v>
      </c>
      <c r="U110" s="25">
        <v>18.692628400028969</v>
      </c>
      <c r="V110" s="29">
        <f>LOOKUP(D110,[1]Parámetros!$A$7:$A$24,[1]Parámetros!$B$7:$B$24)</f>
        <v>49.5</v>
      </c>
      <c r="W110" s="30" t="str">
        <f t="shared" si="7"/>
        <v/>
      </c>
      <c r="X110" s="31" t="str">
        <f t="shared" si="8"/>
        <v/>
      </c>
      <c r="Y110" s="30" t="str">
        <f>IF($W110="Cambio Calado",COUNTIF($W$14:W110,"Cambio Calado"),"")</f>
        <v/>
      </c>
      <c r="Z110" s="31" t="str">
        <f t="shared" si="9"/>
        <v/>
      </c>
      <c r="AA110" s="30" t="str">
        <f t="shared" si="10"/>
        <v/>
      </c>
      <c r="AB110" s="29">
        <f>IFERROR(LOOKUP($A110,$Z$14:$Z110,$AA$14:$AA110),$U110)</f>
        <v>49.5</v>
      </c>
      <c r="AC110" s="32">
        <f>IFERROR($A111-LOOKUP($A111,$Z$14:$Z110),"")</f>
        <v>5</v>
      </c>
      <c r="AD110" s="1" cm="1">
        <f t="array" ref="AD110">IF(B110&lt;&gt;"",80,_xludf.NA())</f>
        <v>80</v>
      </c>
    </row>
    <row r="111" spans="1:30">
      <c r="A111" s="22">
        <f t="shared" si="6"/>
        <v>46301</v>
      </c>
      <c r="B111" s="9">
        <f>+[1]Balance_Madden!A109</f>
        <v>46301</v>
      </c>
      <c r="C111" s="24">
        <f>+VLOOKUP(B111,[1]Balance_Madden!$A$12:$E$5000,2)</f>
        <v>243.274</v>
      </c>
      <c r="D111" s="25">
        <f>+VLOOKUP(B111,[1]Balance_Gatún!$A$13:$E$5087,2)</f>
        <v>84.844561497638793</v>
      </c>
      <c r="E111" s="24">
        <f>+VLOOKUP(B111,[1]Balance_Madden!$A$12:$E$5087,5)/35.32</f>
        <v>34.231285390713474</v>
      </c>
      <c r="F111" s="26">
        <f>+VLOOKUP(B111,[1]Balance_Gatún!$A$13:$E$5087,5)/35.32</f>
        <v>50.064014722536804</v>
      </c>
      <c r="G111" s="24">
        <f>+VLOOKUP(B111,[1]Balance_Madden!$A$12:$K$5087,9)/111</f>
        <v>2.7027027027027026</v>
      </c>
      <c r="H111" s="25">
        <f>+VLOOKUP(B111,[1]Balance_Gatún!$A$13:$U$5087,21)/186</f>
        <v>0</v>
      </c>
      <c r="I111" s="24">
        <f>+(VLOOKUP(B111,[1]Balance_Madden!$A$12:$K$5087,10)/35.32)+VLOOKUP(B111,[1]Balance_Madden!$A$12:$K$5087,11)/35.32</f>
        <v>0</v>
      </c>
      <c r="J111" s="25">
        <f>+VLOOKUP(B111,[1]Balance_Gatún!$A$13:$AD$5087,23)/35.32+ VLOOKUP(B111,[1]Balance_Gatún!$A$13:$AD$5087,17)/35.32</f>
        <v>0</v>
      </c>
      <c r="K111" s="24">
        <f>+VLOOKUP(B111,[1]Balance_Gatún!$A$13:$AC$5087,10)</f>
        <v>18</v>
      </c>
      <c r="L111" s="25" t="str">
        <f>+VLOOKUP(B111,[1]Balance_Gatún!$A$13:$AC$5087,11)</f>
        <v>XFILL_PMG100%</v>
      </c>
      <c r="M111" s="25">
        <f>+VLOOKUP(B111,[1]Balance_Gatún!$A$13:$AC$5087,12)</f>
        <v>10</v>
      </c>
      <c r="N111" s="25" t="str">
        <f>+VLOOKUP(B111,[1]Balance_Gatún!$A$13:$AC$5087,13)</f>
        <v>TA+CCL100%</v>
      </c>
      <c r="O111" s="25">
        <f>+VLOOKUP(B111,[1]Balance_Gatún!$A$13:$AC$5087,14)/408.7</f>
        <v>5.4000532043546361</v>
      </c>
      <c r="P111" s="24">
        <f>+VLOOKUP(B111,[1]Balance_Madden!$A$12:$V$5087,12)/35.32</f>
        <v>1.1263398369379867</v>
      </c>
      <c r="Q111" s="25">
        <f>+VLOOKUP(B111,[1]Balance_Gatún!$A$13:$AD$5087,15)/35.32</f>
        <v>9.8706055642334984</v>
      </c>
      <c r="R111" s="24">
        <f>+VLOOKUP(B111,[1]Balance_Madden!$A$12:$V$5087,14)/35.32</f>
        <v>21.873791705567655</v>
      </c>
      <c r="S111" s="26">
        <f>[1]Balance_Gatún!X110/35.32</f>
        <v>83.99752358857495</v>
      </c>
      <c r="T111" s="25">
        <v>39.691461499170678</v>
      </c>
      <c r="U111" s="25">
        <v>28.988720564165657</v>
      </c>
      <c r="V111" s="29">
        <f>LOOKUP(D111,[1]Parámetros!$A$7:$A$24,[1]Parámetros!$B$7:$B$24)</f>
        <v>49.5</v>
      </c>
      <c r="W111" s="30" t="str">
        <f t="shared" si="7"/>
        <v/>
      </c>
      <c r="X111" s="31" t="str">
        <f t="shared" si="8"/>
        <v/>
      </c>
      <c r="Y111" s="30" t="str">
        <f>IF($W111="Cambio Calado",COUNTIF($W$14:W111,"Cambio Calado"),"")</f>
        <v/>
      </c>
      <c r="Z111" s="31" t="str">
        <f t="shared" si="9"/>
        <v/>
      </c>
      <c r="AA111" s="30" t="str">
        <f t="shared" si="10"/>
        <v/>
      </c>
      <c r="AB111" s="29">
        <f>IFERROR(LOOKUP($A111,$Z$14:$Z111,$AA$14:$AA111),$U111)</f>
        <v>49.5</v>
      </c>
      <c r="AC111" s="32">
        <f>IFERROR($A112-LOOKUP($A112,$Z$14:$Z111),"")</f>
        <v>6</v>
      </c>
      <c r="AD111" s="1" cm="1">
        <f t="array" ref="AD111">IF(B111&lt;&gt;"",80,_xludf.NA())</f>
        <v>80</v>
      </c>
    </row>
    <row r="112" spans="1:30">
      <c r="A112" s="22">
        <f t="shared" si="6"/>
        <v>46302</v>
      </c>
      <c r="B112" s="9">
        <f>+[1]Balance_Madden!A110</f>
        <v>46302</v>
      </c>
      <c r="C112" s="24">
        <f>+VLOOKUP(B112,[1]Balance_Madden!$A$12:$E$5000,2)</f>
        <v>243.35599999999999</v>
      </c>
      <c r="D112" s="25">
        <f>+VLOOKUP(B112,[1]Balance_Gatún!$A$13:$E$5087,2)</f>
        <v>84.827483048118239</v>
      </c>
      <c r="E112" s="24">
        <f>+VLOOKUP(B112,[1]Balance_Madden!$A$12:$E$5087,5)/35.32</f>
        <v>27.770809739524349</v>
      </c>
      <c r="F112" s="26">
        <f>+VLOOKUP(B112,[1]Balance_Gatún!$A$13:$E$5087,5)/35.32</f>
        <v>89.075113250283124</v>
      </c>
      <c r="G112" s="24">
        <f>+VLOOKUP(B112,[1]Balance_Madden!$A$12:$K$5087,9)/111</f>
        <v>2.7027027027027026</v>
      </c>
      <c r="H112" s="25">
        <f>+VLOOKUP(B112,[1]Balance_Gatún!$A$13:$U$5087,21)/186</f>
        <v>0</v>
      </c>
      <c r="I112" s="24">
        <f>+(VLOOKUP(B112,[1]Balance_Madden!$A$12:$K$5087,10)/35.32)+VLOOKUP(B112,[1]Balance_Madden!$A$12:$K$5087,11)/35.32</f>
        <v>0</v>
      </c>
      <c r="J112" s="25">
        <f>+VLOOKUP(B112,[1]Balance_Gatún!$A$13:$AD$5087,23)/35.32+ VLOOKUP(B112,[1]Balance_Gatún!$A$13:$AD$5087,17)/35.32</f>
        <v>0</v>
      </c>
      <c r="K112" s="24">
        <f>+VLOOKUP(B112,[1]Balance_Gatún!$A$13:$AC$5087,10)</f>
        <v>18</v>
      </c>
      <c r="L112" s="25" t="str">
        <f>+VLOOKUP(B112,[1]Balance_Gatún!$A$13:$AC$5087,11)</f>
        <v>XFILL_PMG100%</v>
      </c>
      <c r="M112" s="25">
        <f>+VLOOKUP(B112,[1]Balance_Gatún!$A$13:$AC$5087,12)</f>
        <v>10</v>
      </c>
      <c r="N112" s="25" t="str">
        <f>+VLOOKUP(B112,[1]Balance_Gatún!$A$13:$AC$5087,13)</f>
        <v>TA+CCL100%</v>
      </c>
      <c r="O112" s="25">
        <f>+VLOOKUP(B112,[1]Balance_Gatún!$A$13:$AC$5087,14)/408.7</f>
        <v>5.3973864258528126</v>
      </c>
      <c r="P112" s="24">
        <f>+VLOOKUP(B112,[1]Balance_Madden!$A$12:$V$5087,12)/35.32</f>
        <v>2.3867459473205703</v>
      </c>
      <c r="Q112" s="25">
        <f>+VLOOKUP(B112,[1]Balance_Gatún!$A$13:$AD$5087,15)/35.32</f>
        <v>20.889805078274875</v>
      </c>
      <c r="R112" s="24">
        <f>+VLOOKUP(B112,[1]Balance_Madden!$A$12:$V$5087,14)/35.32</f>
        <v>23.134197815950241</v>
      </c>
      <c r="S112" s="26">
        <f>[1]Balance_Gatún!X111/35.32</f>
        <v>94.985864881390512</v>
      </c>
      <c r="T112" s="25">
        <v>67.585516310929094</v>
      </c>
      <c r="U112" s="25">
        <v>25.081329634056036</v>
      </c>
      <c r="V112" s="29">
        <f>LOOKUP(D112,[1]Parámetros!$A$7:$A$24,[1]Parámetros!$B$7:$B$24)</f>
        <v>49.5</v>
      </c>
      <c r="W112" s="30" t="str">
        <f t="shared" si="7"/>
        <v/>
      </c>
      <c r="X112" s="31" t="str">
        <f t="shared" si="8"/>
        <v/>
      </c>
      <c r="Y112" s="30" t="str">
        <f>IF($W112="Cambio Calado",COUNTIF($W$14:W112,"Cambio Calado"),"")</f>
        <v/>
      </c>
      <c r="Z112" s="31" t="str">
        <f t="shared" si="9"/>
        <v/>
      </c>
      <c r="AA112" s="30" t="str">
        <f t="shared" si="10"/>
        <v/>
      </c>
      <c r="AB112" s="29">
        <f>IFERROR(LOOKUP($A112,$Z$14:$Z112,$AA$14:$AA112),$U112)</f>
        <v>49.5</v>
      </c>
      <c r="AC112" s="32">
        <f>IFERROR($A113-LOOKUP($A113,$Z$14:$Z112),"")</f>
        <v>7</v>
      </c>
      <c r="AD112" s="1" cm="1">
        <f t="array" ref="AD112">IF(B112&lt;&gt;"",80,_xludf.NA())</f>
        <v>80</v>
      </c>
    </row>
    <row r="113" spans="1:30">
      <c r="A113" s="22">
        <f t="shared" si="6"/>
        <v>46303</v>
      </c>
      <c r="B113" s="9">
        <f>+[1]Balance_Madden!A111</f>
        <v>46303</v>
      </c>
      <c r="C113" s="24">
        <f>+VLOOKUP(B113,[1]Balance_Madden!$A$12:$E$5000,2)</f>
        <v>243.386</v>
      </c>
      <c r="D113" s="25">
        <f>+VLOOKUP(B113,[1]Balance_Gatún!$A$13:$E$5087,2)</f>
        <v>84.829217271747751</v>
      </c>
      <c r="E113" s="24">
        <f>+VLOOKUP(B113,[1]Balance_Madden!$A$12:$E$5087,5)/35.32</f>
        <v>33.66333522083805</v>
      </c>
      <c r="F113" s="26">
        <f>+VLOOKUP(B113,[1]Balance_Gatún!$A$13:$E$5087,5)/35.32</f>
        <v>27.32978482446206</v>
      </c>
      <c r="G113" s="24">
        <f>+VLOOKUP(B113,[1]Balance_Madden!$A$12:$K$5087,9)/111</f>
        <v>2.7027027027027026</v>
      </c>
      <c r="H113" s="25">
        <f>+VLOOKUP(B113,[1]Balance_Gatún!$A$13:$U$5087,21)/186</f>
        <v>0</v>
      </c>
      <c r="I113" s="24">
        <f>+(VLOOKUP(B113,[1]Balance_Madden!$A$12:$K$5087,10)/35.32)+VLOOKUP(B113,[1]Balance_Madden!$A$12:$K$5087,11)/35.32</f>
        <v>0</v>
      </c>
      <c r="J113" s="25">
        <f>+VLOOKUP(B113,[1]Balance_Gatún!$A$13:$AD$5087,23)/35.32+ VLOOKUP(B113,[1]Balance_Gatún!$A$13:$AD$5087,17)/35.32</f>
        <v>0</v>
      </c>
      <c r="K113" s="24">
        <f>+VLOOKUP(B113,[1]Balance_Gatún!$A$13:$AC$5087,10)</f>
        <v>18</v>
      </c>
      <c r="L113" s="25" t="str">
        <f>+VLOOKUP(B113,[1]Balance_Gatún!$A$13:$AC$5087,11)</f>
        <v>XFILL_PMG100%</v>
      </c>
      <c r="M113" s="25">
        <f>+VLOOKUP(B113,[1]Balance_Gatún!$A$13:$AC$5087,12)</f>
        <v>10</v>
      </c>
      <c r="N113" s="25" t="str">
        <f>+VLOOKUP(B113,[1]Balance_Gatún!$A$13:$AC$5087,13)</f>
        <v>TA+CCL100%</v>
      </c>
      <c r="O113" s="25">
        <f>+VLOOKUP(B113,[1]Balance_Gatún!$A$13:$AC$5087,14)/408.7</f>
        <v>5.3976572227004418</v>
      </c>
      <c r="P113" s="24">
        <f>+VLOOKUP(B113,[1]Balance_Madden!$A$12:$V$5087,12)/35.32</f>
        <v>2.7128980877562388</v>
      </c>
      <c r="Q113" s="25">
        <f>+VLOOKUP(B113,[1]Balance_Gatún!$A$13:$AD$5087,15)/35.32</f>
        <v>23.735912763012028</v>
      </c>
      <c r="R113" s="24">
        <f>+VLOOKUP(B113,[1]Balance_Madden!$A$12:$V$5087,14)/35.32</f>
        <v>23.460349956385908</v>
      </c>
      <c r="S113" s="26">
        <f>[1]Balance_Gatún!X112/35.32</f>
        <v>97.835106050601794</v>
      </c>
      <c r="T113" s="25">
        <v>204.69380258397032</v>
      </c>
      <c r="U113" s="25">
        <v>35.857551461759215</v>
      </c>
      <c r="V113" s="29">
        <f>LOOKUP(D113,[1]Parámetros!$A$7:$A$24,[1]Parámetros!$B$7:$B$24)</f>
        <v>49.5</v>
      </c>
      <c r="W113" s="30" t="str">
        <f t="shared" si="7"/>
        <v/>
      </c>
      <c r="X113" s="31" t="str">
        <f t="shared" si="8"/>
        <v/>
      </c>
      <c r="Y113" s="30" t="str">
        <f>IF($W113="Cambio Calado",COUNTIF($W$14:W113,"Cambio Calado"),"")</f>
        <v/>
      </c>
      <c r="Z113" s="31" t="str">
        <f t="shared" si="9"/>
        <v/>
      </c>
      <c r="AA113" s="30" t="str">
        <f t="shared" si="10"/>
        <v/>
      </c>
      <c r="AB113" s="29">
        <f>IFERROR(LOOKUP($A113,$Z$14:$Z113,$AA$14:$AA113),$U113)</f>
        <v>49.5</v>
      </c>
      <c r="AC113" s="32">
        <f>IFERROR($A114-LOOKUP($A114,$Z$14:$Z113),"")</f>
        <v>8</v>
      </c>
      <c r="AD113" s="1" cm="1">
        <f t="array" ref="AD113">IF(B113&lt;&gt;"",80,_xludf.NA())</f>
        <v>80</v>
      </c>
    </row>
    <row r="114" spans="1:30">
      <c r="A114" s="22">
        <f t="shared" si="6"/>
        <v>46304</v>
      </c>
      <c r="B114" s="9">
        <f>+[1]Balance_Madden!A112</f>
        <v>46304</v>
      </c>
      <c r="C114" s="24">
        <f>+VLOOKUP(B114,[1]Balance_Madden!$A$12:$E$5000,2)</f>
        <v>243.453</v>
      </c>
      <c r="D114" s="25">
        <f>+VLOOKUP(B114,[1]Balance_Gatún!$A$13:$E$5087,2)</f>
        <v>84.787572722611984</v>
      </c>
      <c r="E114" s="24">
        <f>+VLOOKUP(B114,[1]Balance_Madden!$A$12:$E$5087,5)/35.32</f>
        <v>24.931030577576443</v>
      </c>
      <c r="F114" s="26">
        <f>+VLOOKUP(B114,[1]Balance_Gatún!$A$13:$E$5087,5)/35.32</f>
        <v>20.018544733861834</v>
      </c>
      <c r="G114" s="24">
        <f>+VLOOKUP(B114,[1]Balance_Madden!$A$12:$K$5087,9)/111</f>
        <v>2.7027027027027026</v>
      </c>
      <c r="H114" s="25">
        <f>+VLOOKUP(B114,[1]Balance_Gatún!$A$13:$U$5087,21)/186</f>
        <v>0</v>
      </c>
      <c r="I114" s="24">
        <f>+(VLOOKUP(B114,[1]Balance_Madden!$A$12:$K$5087,10)/35.32)+VLOOKUP(B114,[1]Balance_Madden!$A$12:$K$5087,11)/35.32</f>
        <v>0</v>
      </c>
      <c r="J114" s="25">
        <f>+VLOOKUP(B114,[1]Balance_Gatún!$A$13:$AD$5087,23)/35.32+ VLOOKUP(B114,[1]Balance_Gatún!$A$13:$AD$5087,17)/35.32</f>
        <v>0</v>
      </c>
      <c r="K114" s="24">
        <f>+VLOOKUP(B114,[1]Balance_Gatún!$A$13:$AC$5087,10)</f>
        <v>18</v>
      </c>
      <c r="L114" s="25" t="str">
        <f>+VLOOKUP(B114,[1]Balance_Gatún!$A$13:$AC$5087,11)</f>
        <v>XFILL_PMG100%</v>
      </c>
      <c r="M114" s="25">
        <f>+VLOOKUP(B114,[1]Balance_Gatún!$A$13:$AC$5087,12)</f>
        <v>10</v>
      </c>
      <c r="N114" s="25" t="str">
        <f>+VLOOKUP(B114,[1]Balance_Gatún!$A$13:$AC$5087,13)</f>
        <v>TA+CCL100%</v>
      </c>
      <c r="O114" s="25">
        <f>+VLOOKUP(B114,[1]Balance_Gatún!$A$13:$AC$5087,14)/408.7</f>
        <v>5.3911544785128216</v>
      </c>
      <c r="P114" s="24">
        <f>+VLOOKUP(B114,[1]Balance_Madden!$A$12:$V$5087,12)/35.32</f>
        <v>1.4227347201574176</v>
      </c>
      <c r="Q114" s="25">
        <f>+VLOOKUP(B114,[1]Balance_Gatún!$A$13:$AD$5087,15)/35.32</f>
        <v>12.430759417918324</v>
      </c>
      <c r="R114" s="24">
        <f>+VLOOKUP(B114,[1]Balance_Madden!$A$12:$V$5087,14)/35.32</f>
        <v>22.170186588787086</v>
      </c>
      <c r="S114" s="26">
        <f>[1]Balance_Gatún!X113/35.32</f>
        <v>86.454707191649646</v>
      </c>
      <c r="T114" s="25">
        <v>47.734117403704545</v>
      </c>
      <c r="U114" s="25">
        <v>28.785252665853712</v>
      </c>
      <c r="V114" s="29">
        <f>LOOKUP(D114,[1]Parámetros!$A$7:$A$24,[1]Parámetros!$B$7:$B$24)</f>
        <v>49.5</v>
      </c>
      <c r="W114" s="30" t="str">
        <f t="shared" si="7"/>
        <v/>
      </c>
      <c r="X114" s="31" t="str">
        <f t="shared" si="8"/>
        <v/>
      </c>
      <c r="Y114" s="30" t="str">
        <f>IF($W114="Cambio Calado",COUNTIF($W$14:W114,"Cambio Calado"),"")</f>
        <v/>
      </c>
      <c r="Z114" s="31" t="str">
        <f t="shared" si="9"/>
        <v/>
      </c>
      <c r="AA114" s="30" t="str">
        <f t="shared" si="10"/>
        <v/>
      </c>
      <c r="AB114" s="29">
        <f>IFERROR(LOOKUP($A114,$Z$14:$Z114,$AA$14:$AA114),$U114)</f>
        <v>49.5</v>
      </c>
      <c r="AC114" s="32">
        <f>IFERROR($A115-LOOKUP($A115,$Z$14:$Z114),"")</f>
        <v>9</v>
      </c>
      <c r="AD114" s="1" cm="1">
        <f t="array" ref="AD114">IF(B114&lt;&gt;"",80,_xludf.NA())</f>
        <v>80</v>
      </c>
    </row>
    <row r="115" spans="1:30">
      <c r="A115" s="22">
        <f t="shared" si="6"/>
        <v>46305</v>
      </c>
      <c r="B115" s="9">
        <f>+[1]Balance_Madden!A113</f>
        <v>46305</v>
      </c>
      <c r="C115" s="24">
        <f>+VLOOKUP(B115,[1]Balance_Madden!$A$12:$E$5000,2)</f>
        <v>243.471</v>
      </c>
      <c r="D115" s="25">
        <f>+VLOOKUP(B115,[1]Balance_Gatún!$A$13:$E$5087,2)</f>
        <v>84.748641281269897</v>
      </c>
      <c r="E115" s="24">
        <f>+VLOOKUP(B115,[1]Balance_Madden!$A$12:$E$5087,5)/35.32</f>
        <v>27.800906002265005</v>
      </c>
      <c r="F115" s="26">
        <f>+VLOOKUP(B115,[1]Balance_Gatún!$A$13:$E$5087,5)/35.32</f>
        <v>40.053935447338617</v>
      </c>
      <c r="G115" s="24">
        <f>+VLOOKUP(B115,[1]Balance_Madden!$A$12:$K$5087,9)/111</f>
        <v>2.7027027027027026</v>
      </c>
      <c r="H115" s="25">
        <f>+VLOOKUP(B115,[1]Balance_Gatún!$A$13:$U$5087,21)/186</f>
        <v>0</v>
      </c>
      <c r="I115" s="24">
        <f>+(VLOOKUP(B115,[1]Balance_Madden!$A$12:$K$5087,10)/35.32)+VLOOKUP(B115,[1]Balance_Madden!$A$12:$K$5087,11)/35.32</f>
        <v>0</v>
      </c>
      <c r="J115" s="25">
        <f>+VLOOKUP(B115,[1]Balance_Gatún!$A$13:$AD$5087,23)/35.32+ VLOOKUP(B115,[1]Balance_Gatún!$A$13:$AD$5087,17)/35.32</f>
        <v>0</v>
      </c>
      <c r="K115" s="24">
        <f>+VLOOKUP(B115,[1]Balance_Gatún!$A$13:$AC$5087,10)</f>
        <v>18</v>
      </c>
      <c r="L115" s="25" t="str">
        <f>+VLOOKUP(B115,[1]Balance_Gatún!$A$13:$AC$5087,11)</f>
        <v>XFILL_PMG100%</v>
      </c>
      <c r="M115" s="25">
        <f>+VLOOKUP(B115,[1]Balance_Gatún!$A$13:$AC$5087,12)</f>
        <v>10</v>
      </c>
      <c r="N115" s="25" t="str">
        <f>+VLOOKUP(B115,[1]Balance_Gatún!$A$13:$AC$5087,13)</f>
        <v>TA+CCL100%</v>
      </c>
      <c r="O115" s="25">
        <f>+VLOOKUP(B115,[1]Balance_Gatún!$A$13:$AC$5087,14)/408.7</f>
        <v>5.3850753827090081</v>
      </c>
      <c r="P115" s="24">
        <f>+VLOOKUP(B115,[1]Balance_Madden!$A$12:$V$5087,12)/35.32</f>
        <v>0.93633352784676771</v>
      </c>
      <c r="Q115" s="25">
        <f>+VLOOKUP(B115,[1]Balance_Gatún!$A$13:$AD$5087,15)/35.32</f>
        <v>8.1750488759319264</v>
      </c>
      <c r="R115" s="24">
        <f>+VLOOKUP(B115,[1]Balance_Madden!$A$12:$V$5087,14)/35.32</f>
        <v>21.683785396476438</v>
      </c>
      <c r="S115" s="26">
        <f>[1]Balance_Gatún!X114/35.32</f>
        <v>82.128653318547194</v>
      </c>
      <c r="T115" s="25">
        <v>37.875891094260012</v>
      </c>
      <c r="U115" s="25">
        <v>20.27148025772458</v>
      </c>
      <c r="V115" s="29">
        <f>LOOKUP(D115,[1]Parámetros!$A$7:$A$24,[1]Parámetros!$B$7:$B$24)</f>
        <v>49.5</v>
      </c>
      <c r="W115" s="30" t="str">
        <f t="shared" si="7"/>
        <v/>
      </c>
      <c r="X115" s="31" t="str">
        <f t="shared" si="8"/>
        <v/>
      </c>
      <c r="Y115" s="30" t="str">
        <f>IF($W115="Cambio Calado",COUNTIF($W$14:W115,"Cambio Calado"),"")</f>
        <v/>
      </c>
      <c r="Z115" s="31" t="str">
        <f t="shared" si="9"/>
        <v/>
      </c>
      <c r="AA115" s="30" t="str">
        <f t="shared" si="10"/>
        <v/>
      </c>
      <c r="AB115" s="29">
        <f>IFERROR(LOOKUP($A115,$Z$14:$Z115,$AA$14:$AA115),$U115)</f>
        <v>49.5</v>
      </c>
      <c r="AC115" s="32">
        <f>IFERROR($A116-LOOKUP($A116,$Z$14:$Z115),"")</f>
        <v>10</v>
      </c>
      <c r="AD115" s="1" cm="1">
        <f t="array" ref="AD115">IF(B115&lt;&gt;"",80,_xludf.NA())</f>
        <v>80</v>
      </c>
    </row>
    <row r="116" spans="1:30">
      <c r="A116" s="22">
        <f t="shared" si="6"/>
        <v>46306</v>
      </c>
      <c r="B116" s="9">
        <f>+[1]Balance_Madden!A114</f>
        <v>46306</v>
      </c>
      <c r="C116" s="24">
        <f>+VLOOKUP(B116,[1]Balance_Madden!$A$12:$E$5000,2)</f>
        <v>243.511</v>
      </c>
      <c r="D116" s="25">
        <f>+VLOOKUP(B116,[1]Balance_Gatún!$A$13:$E$5087,2)</f>
        <v>84.726069603081527</v>
      </c>
      <c r="E116" s="24">
        <f>+VLOOKUP(B116,[1]Balance_Madden!$A$12:$E$5087,5)/35.32</f>
        <v>24.168374858437144</v>
      </c>
      <c r="F116" s="26">
        <f>+VLOOKUP(B116,[1]Balance_Gatún!$A$13:$E$5087,5)/35.32</f>
        <v>24.198357870894679</v>
      </c>
      <c r="G116" s="24">
        <f>+VLOOKUP(B116,[1]Balance_Madden!$A$12:$K$5087,9)/111</f>
        <v>2.7027027027027026</v>
      </c>
      <c r="H116" s="25">
        <f>+VLOOKUP(B116,[1]Balance_Gatún!$A$13:$U$5087,21)/186</f>
        <v>0</v>
      </c>
      <c r="I116" s="24">
        <f>+(VLOOKUP(B116,[1]Balance_Madden!$A$12:$K$5087,10)/35.32)+VLOOKUP(B116,[1]Balance_Madden!$A$12:$K$5087,11)/35.32</f>
        <v>0</v>
      </c>
      <c r="J116" s="25">
        <f>+VLOOKUP(B116,[1]Balance_Gatún!$A$13:$AD$5087,23)/35.32+ VLOOKUP(B116,[1]Balance_Gatún!$A$13:$AD$5087,17)/35.32</f>
        <v>0</v>
      </c>
      <c r="K116" s="24">
        <f>+VLOOKUP(B116,[1]Balance_Gatún!$A$13:$AC$5087,10)</f>
        <v>18</v>
      </c>
      <c r="L116" s="25" t="str">
        <f>+VLOOKUP(B116,[1]Balance_Gatún!$A$13:$AC$5087,11)</f>
        <v>XFILL_PMG100%</v>
      </c>
      <c r="M116" s="25">
        <f>+VLOOKUP(B116,[1]Balance_Gatún!$A$13:$AC$5087,12)</f>
        <v>10</v>
      </c>
      <c r="N116" s="25" t="str">
        <f>+VLOOKUP(B116,[1]Balance_Gatún!$A$13:$AC$5087,13)</f>
        <v>TA+CCL100%</v>
      </c>
      <c r="O116" s="25">
        <f>+VLOOKUP(B116,[1]Balance_Gatún!$A$13:$AC$5087,14)/408.7</f>
        <v>5.3815508434309933</v>
      </c>
      <c r="P116" s="24">
        <f>+VLOOKUP(B116,[1]Balance_Madden!$A$12:$V$5087,12)/35.32</f>
        <v>1.0762155651467515</v>
      </c>
      <c r="Q116" s="25">
        <f>+VLOOKUP(B116,[1]Balance_Gatún!$A$13:$AD$5087,15)/35.32</f>
        <v>9.3888897167091301</v>
      </c>
      <c r="R116" s="24">
        <f>+VLOOKUP(B116,[1]Balance_Madden!$A$12:$V$5087,14)/35.32</f>
        <v>21.823667433776421</v>
      </c>
      <c r="S116" s="26">
        <f>[1]Balance_Gatún!X115/35.32</f>
        <v>83.301710489932432</v>
      </c>
      <c r="T116" s="25">
        <v>46.651994581617785</v>
      </c>
      <c r="U116" s="25">
        <v>29.953333522022159</v>
      </c>
      <c r="V116" s="29">
        <f>LOOKUP(D116,[1]Parámetros!$A$7:$A$24,[1]Parámetros!$B$7:$B$24)</f>
        <v>49.5</v>
      </c>
      <c r="W116" s="30" t="str">
        <f t="shared" si="7"/>
        <v/>
      </c>
      <c r="X116" s="31" t="str">
        <f t="shared" si="8"/>
        <v/>
      </c>
      <c r="Y116" s="30" t="str">
        <f>IF($W116="Cambio Calado",COUNTIF($W$14:W116,"Cambio Calado"),"")</f>
        <v/>
      </c>
      <c r="Z116" s="31" t="str">
        <f t="shared" si="9"/>
        <v/>
      </c>
      <c r="AA116" s="30" t="str">
        <f t="shared" si="10"/>
        <v/>
      </c>
      <c r="AB116" s="29">
        <f>IFERROR(LOOKUP($A116,$Z$14:$Z116,$AA$14:$AA116),$U116)</f>
        <v>49.5</v>
      </c>
      <c r="AC116" s="32">
        <f>IFERROR($A117-LOOKUP($A117,$Z$14:$Z116),"")</f>
        <v>11</v>
      </c>
      <c r="AD116" s="1" cm="1">
        <f t="array" ref="AD116">IF(B116&lt;&gt;"",80,_xludf.NA())</f>
        <v>80</v>
      </c>
    </row>
    <row r="117" spans="1:30">
      <c r="A117" s="22">
        <f t="shared" si="6"/>
        <v>46307</v>
      </c>
      <c r="B117" s="9">
        <f>+[1]Balance_Madden!A115</f>
        <v>46307</v>
      </c>
      <c r="C117" s="24">
        <f>+VLOOKUP(B117,[1]Balance_Madden!$A$12:$E$5000,2)</f>
        <v>243.52600000000001</v>
      </c>
      <c r="D117" s="25">
        <f>+VLOOKUP(B117,[1]Balance_Gatún!$A$13:$E$5087,2)</f>
        <v>84.692039970050757</v>
      </c>
      <c r="E117" s="24">
        <f>+VLOOKUP(B117,[1]Balance_Madden!$A$12:$E$5087,5)/35.32</f>
        <v>32.771715741789357</v>
      </c>
      <c r="F117" s="26">
        <f>+VLOOKUP(B117,[1]Balance_Gatún!$A$13:$E$5087,5)/35.32</f>
        <v>82.293176670441667</v>
      </c>
      <c r="G117" s="24">
        <f>+VLOOKUP(B117,[1]Balance_Madden!$A$12:$K$5087,9)/111</f>
        <v>2.7027027027027026</v>
      </c>
      <c r="H117" s="25">
        <f>+VLOOKUP(B117,[1]Balance_Gatún!$A$13:$U$5087,21)/186</f>
        <v>0</v>
      </c>
      <c r="I117" s="24">
        <f>+(VLOOKUP(B117,[1]Balance_Madden!$A$12:$K$5087,10)/35.32)+VLOOKUP(B117,[1]Balance_Madden!$A$12:$K$5087,11)/35.32</f>
        <v>0</v>
      </c>
      <c r="J117" s="25">
        <f>+VLOOKUP(B117,[1]Balance_Gatún!$A$13:$AD$5087,23)/35.32+ VLOOKUP(B117,[1]Balance_Gatún!$A$13:$AD$5087,17)/35.32</f>
        <v>0</v>
      </c>
      <c r="K117" s="24">
        <f>+VLOOKUP(B117,[1]Balance_Gatún!$A$13:$AC$5087,10)</f>
        <v>18</v>
      </c>
      <c r="L117" s="25" t="str">
        <f>+VLOOKUP(B117,[1]Balance_Gatún!$A$13:$AC$5087,11)</f>
        <v>XFILL_PMG100%</v>
      </c>
      <c r="M117" s="25">
        <f>+VLOOKUP(B117,[1]Balance_Gatún!$A$13:$AC$5087,12)</f>
        <v>10</v>
      </c>
      <c r="N117" s="25" t="str">
        <f>+VLOOKUP(B117,[1]Balance_Gatún!$A$13:$AC$5087,13)</f>
        <v>TA+CCL100%</v>
      </c>
      <c r="O117" s="25">
        <f>+VLOOKUP(B117,[1]Balance_Gatún!$A$13:$AC$5087,14)/408.7</f>
        <v>5.3762371588554627</v>
      </c>
      <c r="P117" s="24">
        <f>+VLOOKUP(B117,[1]Balance_Madden!$A$12:$V$5087,12)/35.32</f>
        <v>0.78188563722224713</v>
      </c>
      <c r="Q117" s="25">
        <f>+VLOOKUP(B117,[1]Balance_Gatún!$A$13:$AD$5087,15)/35.32</f>
        <v>6.8169124617605874</v>
      </c>
      <c r="R117" s="24">
        <f>+VLOOKUP(B117,[1]Balance_Madden!$A$12:$V$5087,14)/35.32</f>
        <v>21.52933750585192</v>
      </c>
      <c r="S117" s="26">
        <f>[1]Balance_Gatún!X116/35.32</f>
        <v>80.668246743307236</v>
      </c>
      <c r="T117" s="25">
        <v>58.55144899206865</v>
      </c>
      <c r="U117" s="25">
        <v>34.15898559240533</v>
      </c>
      <c r="V117" s="29">
        <f>LOOKUP(D117,[1]Parámetros!$A$7:$A$24,[1]Parámetros!$B$7:$B$24)</f>
        <v>49.5</v>
      </c>
      <c r="W117" s="30" t="str">
        <f t="shared" si="7"/>
        <v/>
      </c>
      <c r="X117" s="31" t="str">
        <f t="shared" si="8"/>
        <v/>
      </c>
      <c r="Y117" s="30" t="str">
        <f>IF($W117="Cambio Calado",COUNTIF($W$14:W117,"Cambio Calado"),"")</f>
        <v/>
      </c>
      <c r="Z117" s="31" t="str">
        <f t="shared" si="9"/>
        <v/>
      </c>
      <c r="AA117" s="30" t="str">
        <f t="shared" si="10"/>
        <v/>
      </c>
      <c r="AB117" s="29">
        <f>IFERROR(LOOKUP($A117,$Z$14:$Z117,$AA$14:$AA117),$U117)</f>
        <v>49.5</v>
      </c>
      <c r="AC117" s="32">
        <f>IFERROR($A118-LOOKUP($A118,$Z$14:$Z117),"")</f>
        <v>12</v>
      </c>
      <c r="AD117" s="1" cm="1">
        <f t="array" ref="AD117">IF(B117&lt;&gt;"",80,_xludf.NA())</f>
        <v>80</v>
      </c>
    </row>
    <row r="118" spans="1:30">
      <c r="A118" s="22">
        <f t="shared" si="6"/>
        <v>46308</v>
      </c>
      <c r="B118" s="9">
        <f>+[1]Balance_Madden!A116</f>
        <v>46308</v>
      </c>
      <c r="C118" s="24">
        <f>+VLOOKUP(B118,[1]Balance_Madden!$A$12:$E$5000,2)</f>
        <v>243.6</v>
      </c>
      <c r="D118" s="25">
        <f>+VLOOKUP(B118,[1]Balance_Gatún!$A$13:$E$5087,2)</f>
        <v>84.698844892697949</v>
      </c>
      <c r="E118" s="24">
        <f>+VLOOKUP(B118,[1]Balance_Madden!$A$12:$E$5087,5)/35.32</f>
        <v>68.84195922989808</v>
      </c>
      <c r="F118" s="26">
        <f>+VLOOKUP(B118,[1]Balance_Gatún!$A$13:$E$5087,5)/35.32</f>
        <v>84.195838052095127</v>
      </c>
      <c r="G118" s="24">
        <f>+VLOOKUP(B118,[1]Balance_Madden!$A$12:$K$5087,9)/111</f>
        <v>2.7027027027027026</v>
      </c>
      <c r="H118" s="25">
        <f>+VLOOKUP(B118,[1]Balance_Gatún!$A$13:$U$5087,21)/186</f>
        <v>0</v>
      </c>
      <c r="I118" s="24">
        <f>+(VLOOKUP(B118,[1]Balance_Madden!$A$12:$K$5087,10)/35.32)+VLOOKUP(B118,[1]Balance_Madden!$A$12:$K$5087,11)/35.32</f>
        <v>0</v>
      </c>
      <c r="J118" s="25">
        <f>+VLOOKUP(B118,[1]Balance_Gatún!$A$13:$AD$5087,23)/35.32+ VLOOKUP(B118,[1]Balance_Gatún!$A$13:$AD$5087,17)/35.32</f>
        <v>0</v>
      </c>
      <c r="K118" s="24">
        <f>+VLOOKUP(B118,[1]Balance_Gatún!$A$13:$AC$5087,10)</f>
        <v>18</v>
      </c>
      <c r="L118" s="25" t="str">
        <f>+VLOOKUP(B118,[1]Balance_Gatún!$A$13:$AC$5087,11)</f>
        <v>XFILL_PMG100%</v>
      </c>
      <c r="M118" s="25">
        <f>+VLOOKUP(B118,[1]Balance_Gatún!$A$13:$AC$5087,12)</f>
        <v>10</v>
      </c>
      <c r="N118" s="25" t="str">
        <f>+VLOOKUP(B118,[1]Balance_Gatún!$A$13:$AC$5087,13)</f>
        <v>TA+CCL100%</v>
      </c>
      <c r="O118" s="25">
        <f>+VLOOKUP(B118,[1]Balance_Gatún!$A$13:$AC$5087,14)/408.7</f>
        <v>5.3772997390036323</v>
      </c>
      <c r="P118" s="24">
        <f>+VLOOKUP(B118,[1]Balance_Madden!$A$12:$V$5087,12)/35.32</f>
        <v>1.4610414185448761</v>
      </c>
      <c r="Q118" s="25">
        <f>+VLOOKUP(B118,[1]Balance_Gatún!$A$13:$AD$5087,15)/35.32</f>
        <v>12.727333289335565</v>
      </c>
      <c r="R118" s="24">
        <f>+VLOOKUP(B118,[1]Balance_Madden!$A$12:$V$5087,14)/35.32</f>
        <v>22.208493287174544</v>
      </c>
      <c r="S118" s="26">
        <f>[1]Balance_Gatún!X117/35.32</f>
        <v>86.590963055212825</v>
      </c>
      <c r="T118" s="25">
        <v>71.876754401139422</v>
      </c>
      <c r="U118" s="25">
        <v>126.47774129636791</v>
      </c>
      <c r="V118" s="29">
        <f>LOOKUP(D118,[1]Parámetros!$A$7:$A$24,[1]Parámetros!$B$7:$B$24)</f>
        <v>49.5</v>
      </c>
      <c r="W118" s="30" t="str">
        <f t="shared" si="7"/>
        <v/>
      </c>
      <c r="X118" s="31" t="str">
        <f t="shared" si="8"/>
        <v/>
      </c>
      <c r="Y118" s="30" t="str">
        <f>IF($W118="Cambio Calado",COUNTIF($W$14:W118,"Cambio Calado"),"")</f>
        <v/>
      </c>
      <c r="Z118" s="31" t="str">
        <f t="shared" si="9"/>
        <v/>
      </c>
      <c r="AA118" s="30" t="str">
        <f t="shared" si="10"/>
        <v/>
      </c>
      <c r="AB118" s="29">
        <f>IFERROR(LOOKUP($A118,$Z$14:$Z118,$AA$14:$AA118),$U118)</f>
        <v>49.5</v>
      </c>
      <c r="AC118" s="32">
        <f>IFERROR($A119-LOOKUP($A119,$Z$14:$Z118),"")</f>
        <v>13</v>
      </c>
      <c r="AD118" s="1" cm="1">
        <f t="array" ref="AD118">IF(B118&lt;&gt;"",80,_xludf.NA())</f>
        <v>80</v>
      </c>
    </row>
    <row r="119" spans="1:30">
      <c r="A119" s="22">
        <f t="shared" si="6"/>
        <v>46309</v>
      </c>
      <c r="B119" s="9">
        <f>+[1]Balance_Madden!A117</f>
        <v>46309</v>
      </c>
      <c r="C119" s="24">
        <f>+VLOOKUP(B119,[1]Balance_Madden!$A$12:$E$5000,2)</f>
        <v>243.91</v>
      </c>
      <c r="D119" s="25">
        <f>+VLOOKUP(B119,[1]Balance_Gatún!$A$13:$E$5087,2)</f>
        <v>84.702946010632175</v>
      </c>
      <c r="E119" s="24">
        <f>+VLOOKUP(B119,[1]Balance_Madden!$A$12:$E$5087,5)/35.32</f>
        <v>28.629360135900338</v>
      </c>
      <c r="F119" s="26">
        <f>+VLOOKUP(B119,[1]Balance_Gatún!$A$13:$E$5087,5)/35.32</f>
        <v>32.760362400906004</v>
      </c>
      <c r="G119" s="24">
        <f>+VLOOKUP(B119,[1]Balance_Madden!$A$12:$K$5087,9)/111</f>
        <v>2.7027027027027026</v>
      </c>
      <c r="H119" s="25">
        <f>+VLOOKUP(B119,[1]Balance_Gatún!$A$13:$U$5087,21)/186</f>
        <v>0</v>
      </c>
      <c r="I119" s="24">
        <f>+(VLOOKUP(B119,[1]Balance_Madden!$A$12:$K$5087,10)/35.32)+VLOOKUP(B119,[1]Balance_Madden!$A$12:$K$5087,11)/35.32</f>
        <v>0</v>
      </c>
      <c r="J119" s="25">
        <f>+VLOOKUP(B119,[1]Balance_Gatún!$A$13:$AD$5087,23)/35.32+ VLOOKUP(B119,[1]Balance_Gatún!$A$13:$AD$5087,17)/35.32</f>
        <v>0</v>
      </c>
      <c r="K119" s="24">
        <f>+VLOOKUP(B119,[1]Balance_Gatún!$A$13:$AC$5087,10)</f>
        <v>18</v>
      </c>
      <c r="L119" s="25" t="str">
        <f>+VLOOKUP(B119,[1]Balance_Gatún!$A$13:$AC$5087,11)</f>
        <v>XFILL_PMG100%</v>
      </c>
      <c r="M119" s="25">
        <f>+VLOOKUP(B119,[1]Balance_Gatún!$A$13:$AC$5087,12)</f>
        <v>10</v>
      </c>
      <c r="N119" s="25" t="str">
        <f>+VLOOKUP(B119,[1]Balance_Gatún!$A$13:$AC$5087,13)</f>
        <v>TA+CCL100%</v>
      </c>
      <c r="O119" s="25">
        <f>+VLOOKUP(B119,[1]Balance_Gatún!$A$13:$AC$5087,14)/408.7</f>
        <v>5.3779401234323991</v>
      </c>
      <c r="P119" s="24">
        <f>+VLOOKUP(B119,[1]Balance_Madden!$A$12:$V$5087,12)/35.32</f>
        <v>2.6551590630324462</v>
      </c>
      <c r="Q119" s="25">
        <f>+VLOOKUP(B119,[1]Balance_Gatún!$A$13:$AD$5087,15)/35.32</f>
        <v>23.040116358988648</v>
      </c>
      <c r="R119" s="24">
        <f>+VLOOKUP(B119,[1]Balance_Madden!$A$12:$V$5087,14)/35.32</f>
        <v>23.402610931662114</v>
      </c>
      <c r="S119" s="26">
        <f>[1]Balance_Gatún!X118/35.32</f>
        <v>96.911156235738986</v>
      </c>
      <c r="T119" s="25">
        <v>59.137939329785709</v>
      </c>
      <c r="U119" s="25">
        <v>51.371757915392124</v>
      </c>
      <c r="V119" s="29">
        <f>LOOKUP(D119,[1]Parámetros!$A$7:$A$24,[1]Parámetros!$B$7:$B$24)</f>
        <v>49.5</v>
      </c>
      <c r="W119" s="30" t="str">
        <f t="shared" si="7"/>
        <v/>
      </c>
      <c r="X119" s="31" t="str">
        <f t="shared" si="8"/>
        <v/>
      </c>
      <c r="Y119" s="30" t="str">
        <f>IF($W119="Cambio Calado",COUNTIF($W$14:W119,"Cambio Calado"),"")</f>
        <v/>
      </c>
      <c r="Z119" s="31" t="str">
        <f t="shared" si="9"/>
        <v/>
      </c>
      <c r="AA119" s="30" t="str">
        <f t="shared" si="10"/>
        <v/>
      </c>
      <c r="AB119" s="29">
        <f>IFERROR(LOOKUP($A119,$Z$14:$Z119,$AA$14:$AA119),$U119)</f>
        <v>49.5</v>
      </c>
      <c r="AC119" s="32">
        <f>IFERROR($A120-LOOKUP($A120,$Z$14:$Z119),"")</f>
        <v>14</v>
      </c>
      <c r="AD119" s="1" cm="1">
        <f t="array" ref="AD119">IF(B119&lt;&gt;"",80,_xludf.NA())</f>
        <v>80</v>
      </c>
    </row>
    <row r="120" spans="1:30">
      <c r="A120" s="22">
        <f t="shared" si="6"/>
        <v>46310</v>
      </c>
      <c r="B120" s="9">
        <f>+[1]Balance_Madden!A118</f>
        <v>46310</v>
      </c>
      <c r="C120" s="24">
        <f>+VLOOKUP(B120,[1]Balance_Madden!$A$12:$E$5000,2)</f>
        <v>243.94399999999999</v>
      </c>
      <c r="D120" s="25">
        <f>+VLOOKUP(B120,[1]Balance_Gatún!$A$13:$E$5087,2)</f>
        <v>84.665510885988311</v>
      </c>
      <c r="E120" s="24">
        <f>+VLOOKUP(B120,[1]Balance_Madden!$A$12:$E$5087,5)/35.32</f>
        <v>23.65855039637599</v>
      </c>
      <c r="F120" s="26">
        <f>+VLOOKUP(B120,[1]Balance_Gatún!$A$13:$E$5087,5)/35.32</f>
        <v>23.373867497168746</v>
      </c>
      <c r="G120" s="24">
        <f>+VLOOKUP(B120,[1]Balance_Madden!$A$12:$K$5087,9)/111</f>
        <v>2.7027027027027026</v>
      </c>
      <c r="H120" s="25">
        <f>+VLOOKUP(B120,[1]Balance_Gatún!$A$13:$U$5087,21)/186</f>
        <v>0</v>
      </c>
      <c r="I120" s="24">
        <f>+(VLOOKUP(B120,[1]Balance_Madden!$A$12:$K$5087,10)/35.32)+VLOOKUP(B120,[1]Balance_Madden!$A$12:$K$5087,11)/35.32</f>
        <v>0</v>
      </c>
      <c r="J120" s="25">
        <f>+VLOOKUP(B120,[1]Balance_Gatún!$A$13:$AD$5087,23)/35.32+ VLOOKUP(B120,[1]Balance_Gatún!$A$13:$AD$5087,17)/35.32</f>
        <v>0</v>
      </c>
      <c r="K120" s="24">
        <f>+VLOOKUP(B120,[1]Balance_Gatún!$A$13:$AC$5087,10)</f>
        <v>18</v>
      </c>
      <c r="L120" s="25" t="str">
        <f>+VLOOKUP(B120,[1]Balance_Gatún!$A$13:$AC$5087,11)</f>
        <v>XFILL_PMG100%</v>
      </c>
      <c r="M120" s="25">
        <f>+VLOOKUP(B120,[1]Balance_Gatún!$A$13:$AC$5087,12)</f>
        <v>10</v>
      </c>
      <c r="N120" s="25" t="str">
        <f>+VLOOKUP(B120,[1]Balance_Gatún!$A$13:$AC$5087,13)</f>
        <v>TA+CCL100%</v>
      </c>
      <c r="O120" s="25">
        <f>+VLOOKUP(B120,[1]Balance_Gatún!$A$13:$AC$5087,14)/408.7</f>
        <v>5.3720946756068724</v>
      </c>
      <c r="P120" s="24">
        <f>+VLOOKUP(B120,[1]Balance_Madden!$A$12:$V$5087,12)/35.32</f>
        <v>0.80163906985285904</v>
      </c>
      <c r="Q120" s="25">
        <f>+VLOOKUP(B120,[1]Balance_Gatún!$A$13:$AD$5087,15)/35.32</f>
        <v>6.9499168034142587</v>
      </c>
      <c r="R120" s="24">
        <f>+VLOOKUP(B120,[1]Balance_Madden!$A$12:$V$5087,14)/35.32</f>
        <v>21.549090938482529</v>
      </c>
      <c r="S120" s="26">
        <f>[1]Balance_Gatún!X119/35.32</f>
        <v>80.753316971039638</v>
      </c>
      <c r="T120" s="25">
        <v>56.833445306837056</v>
      </c>
      <c r="U120" s="25">
        <v>31.990266633606449</v>
      </c>
      <c r="V120" s="29">
        <f>LOOKUP(D120,[1]Parámetros!$A$7:$A$24,[1]Parámetros!$B$7:$B$24)</f>
        <v>49.5</v>
      </c>
      <c r="W120" s="30" t="str">
        <f t="shared" si="7"/>
        <v/>
      </c>
      <c r="X120" s="31" t="str">
        <f t="shared" si="8"/>
        <v/>
      </c>
      <c r="Y120" s="30" t="str">
        <f>IF($W120="Cambio Calado",COUNTIF($W$14:W120,"Cambio Calado"),"")</f>
        <v/>
      </c>
      <c r="Z120" s="31" t="str">
        <f t="shared" si="9"/>
        <v/>
      </c>
      <c r="AA120" s="30" t="str">
        <f t="shared" si="10"/>
        <v/>
      </c>
      <c r="AB120" s="29">
        <f>IFERROR(LOOKUP($A120,$Z$14:$Z120,$AA$14:$AA120),$U120)</f>
        <v>49.5</v>
      </c>
      <c r="AC120" s="32">
        <f>IFERROR($A121-LOOKUP($A121,$Z$14:$Z120),"")</f>
        <v>15</v>
      </c>
      <c r="AD120" s="1" cm="1">
        <f t="array" ref="AD120">IF(B120&lt;&gt;"",80,_xludf.NA())</f>
        <v>80</v>
      </c>
    </row>
    <row r="121" spans="1:30">
      <c r="A121" s="22">
        <f t="shared" si="6"/>
        <v>46311</v>
      </c>
      <c r="B121" s="9">
        <f>+[1]Balance_Madden!A119</f>
        <v>46311</v>
      </c>
      <c r="C121" s="24">
        <f>+VLOOKUP(B121,[1]Balance_Madden!$A$12:$E$5000,2)</f>
        <v>243.958</v>
      </c>
      <c r="D121" s="25">
        <f>+VLOOKUP(B121,[1]Balance_Gatún!$A$13:$E$5087,2)</f>
        <v>84.632615729476285</v>
      </c>
      <c r="E121" s="24">
        <f>+VLOOKUP(B121,[1]Balance_Madden!$A$12:$E$5087,5)/35.32</f>
        <v>21.555520951302377</v>
      </c>
      <c r="F121" s="26">
        <f>+VLOOKUP(B121,[1]Balance_Gatún!$A$13:$E$5087,5)/35.32</f>
        <v>24.071517553793885</v>
      </c>
      <c r="G121" s="24">
        <f>+VLOOKUP(B121,[1]Balance_Madden!$A$12:$K$5087,9)/111</f>
        <v>2.7027027027027026</v>
      </c>
      <c r="H121" s="25">
        <f>+VLOOKUP(B121,[1]Balance_Gatún!$A$13:$U$5087,21)/186</f>
        <v>0</v>
      </c>
      <c r="I121" s="24">
        <f>+(VLOOKUP(B121,[1]Balance_Madden!$A$12:$K$5087,10)/35.32)+VLOOKUP(B121,[1]Balance_Madden!$A$12:$K$5087,11)/35.32</f>
        <v>0</v>
      </c>
      <c r="J121" s="25">
        <f>+VLOOKUP(B121,[1]Balance_Gatún!$A$13:$AD$5087,23)/35.32+ VLOOKUP(B121,[1]Balance_Gatún!$A$13:$AD$5087,17)/35.32</f>
        <v>0</v>
      </c>
      <c r="K121" s="24">
        <f>+VLOOKUP(B121,[1]Balance_Gatún!$A$13:$AC$5087,10)</f>
        <v>18</v>
      </c>
      <c r="L121" s="25" t="str">
        <f>+VLOOKUP(B121,[1]Balance_Gatún!$A$13:$AC$5087,11)</f>
        <v>XFILL_PMG100%</v>
      </c>
      <c r="M121" s="25">
        <f>+VLOOKUP(B121,[1]Balance_Gatún!$A$13:$AC$5087,12)</f>
        <v>10</v>
      </c>
      <c r="N121" s="25" t="str">
        <f>+VLOOKUP(B121,[1]Balance_Gatún!$A$13:$AC$5087,13)</f>
        <v>TA+CCL100%</v>
      </c>
      <c r="O121" s="25">
        <f>+VLOOKUP(B121,[1]Balance_Gatún!$A$13:$AC$5087,14)/408.7</f>
        <v>5.3669581381188065</v>
      </c>
      <c r="P121" s="24">
        <f>+VLOOKUP(B121,[1]Balance_Madden!$A$12:$V$5087,12)/35.32</f>
        <v>1.140448913206517</v>
      </c>
      <c r="Q121" s="25">
        <f>+VLOOKUP(B121,[1]Balance_Gatún!$A$13:$AD$5087,15)/35.32</f>
        <v>9.881387856128578</v>
      </c>
      <c r="R121" s="24">
        <f>+VLOOKUP(B121,[1]Balance_Madden!$A$12:$V$5087,14)/35.32</f>
        <v>21.887900781836187</v>
      </c>
      <c r="S121" s="26">
        <f>[1]Balance_Gatún!X120/35.32</f>
        <v>83.625351362616584</v>
      </c>
      <c r="T121" s="25">
        <v>99.547395493714404</v>
      </c>
      <c r="U121" s="25">
        <v>73.72867094699798</v>
      </c>
      <c r="V121" s="29">
        <f>LOOKUP(D121,[1]Parámetros!$A$7:$A$24,[1]Parámetros!$B$7:$B$24)</f>
        <v>49.5</v>
      </c>
      <c r="W121" s="30" t="str">
        <f t="shared" si="7"/>
        <v/>
      </c>
      <c r="X121" s="31" t="str">
        <f t="shared" si="8"/>
        <v/>
      </c>
      <c r="Y121" s="30" t="str">
        <f>IF($W121="Cambio Calado",COUNTIF($W$14:W121,"Cambio Calado"),"")</f>
        <v/>
      </c>
      <c r="Z121" s="31" t="str">
        <f t="shared" si="9"/>
        <v/>
      </c>
      <c r="AA121" s="30" t="str">
        <f t="shared" si="10"/>
        <v/>
      </c>
      <c r="AB121" s="29">
        <f>IFERROR(LOOKUP($A121,$Z$14:$Z121,$AA$14:$AA121),$U121)</f>
        <v>49.5</v>
      </c>
      <c r="AC121" s="32">
        <f>IFERROR($A122-LOOKUP($A122,$Z$14:$Z121),"")</f>
        <v>16</v>
      </c>
      <c r="AD121" s="1" cm="1">
        <f t="array" ref="AD121">IF(B121&lt;&gt;"",80,_xludf.NA())</f>
        <v>80</v>
      </c>
    </row>
    <row r="122" spans="1:30">
      <c r="A122" s="22">
        <f t="shared" si="6"/>
        <v>46312</v>
      </c>
      <c r="B122" s="9">
        <f>+[1]Balance_Madden!A120</f>
        <v>46312</v>
      </c>
      <c r="C122" s="24">
        <f>+VLOOKUP(B122,[1]Balance_Madden!$A$12:$E$5000,2)</f>
        <v>243.95500000000001</v>
      </c>
      <c r="D122" s="25">
        <f>+VLOOKUP(B122,[1]Balance_Gatún!$A$13:$E$5087,2)</f>
        <v>84.598242968716633</v>
      </c>
      <c r="E122" s="24">
        <f>+VLOOKUP(B122,[1]Balance_Madden!$A$12:$E$5087,5)/35.32</f>
        <v>39.874830124575311</v>
      </c>
      <c r="F122" s="26">
        <f>+VLOOKUP(B122,[1]Balance_Gatún!$A$13:$E$5087,5)/35.32</f>
        <v>37.020328425821063</v>
      </c>
      <c r="G122" s="24">
        <f>+VLOOKUP(B122,[1]Balance_Madden!$A$12:$K$5087,9)/111</f>
        <v>2.7027027027027026</v>
      </c>
      <c r="H122" s="25">
        <f>+VLOOKUP(B122,[1]Balance_Gatún!$A$13:$U$5087,21)/186</f>
        <v>0</v>
      </c>
      <c r="I122" s="24">
        <f>+(VLOOKUP(B122,[1]Balance_Madden!$A$12:$K$5087,10)/35.32)+VLOOKUP(B122,[1]Balance_Madden!$A$12:$K$5087,11)/35.32</f>
        <v>0</v>
      </c>
      <c r="J122" s="25">
        <f>+VLOOKUP(B122,[1]Balance_Gatún!$A$13:$AD$5087,23)/35.32+ VLOOKUP(B122,[1]Balance_Gatún!$A$13:$AD$5087,17)/35.32</f>
        <v>0</v>
      </c>
      <c r="K122" s="24">
        <f>+VLOOKUP(B122,[1]Balance_Gatún!$A$13:$AC$5087,10)</f>
        <v>18</v>
      </c>
      <c r="L122" s="25" t="str">
        <f>+VLOOKUP(B122,[1]Balance_Gatún!$A$13:$AC$5087,11)</f>
        <v>XFILL_PMG100%</v>
      </c>
      <c r="M122" s="25">
        <f>+VLOOKUP(B122,[1]Balance_Gatún!$A$13:$AC$5087,12)</f>
        <v>10</v>
      </c>
      <c r="N122" s="25" t="str">
        <f>+VLOOKUP(B122,[1]Balance_Gatún!$A$13:$AC$5087,13)</f>
        <v>TA+CCL100%</v>
      </c>
      <c r="O122" s="25">
        <f>+VLOOKUP(B122,[1]Balance_Gatún!$A$13:$AC$5087,14)/408.7</f>
        <v>5.3615908745781802</v>
      </c>
      <c r="P122" s="24">
        <f>+VLOOKUP(B122,[1]Balance_Madden!$A$12:$V$5087,12)/35.32</f>
        <v>2.4517908324730344</v>
      </c>
      <c r="Q122" s="25">
        <f>+VLOOKUP(B122,[1]Balance_Gatún!$A$13:$AD$5087,15)/35.32</f>
        <v>21.234984206899941</v>
      </c>
      <c r="R122" s="24">
        <f>+VLOOKUP(B122,[1]Balance_Madden!$A$12:$V$5087,14)/35.32</f>
        <v>23.199242701102705</v>
      </c>
      <c r="S122" s="26">
        <f>[1]Balance_Gatún!X121/35.32</f>
        <v>94.916841240877915</v>
      </c>
      <c r="T122" s="25">
        <v>75.515808974979151</v>
      </c>
      <c r="U122" s="25">
        <v>77.051664943345386</v>
      </c>
      <c r="V122" s="29">
        <f>LOOKUP(D122,[1]Parámetros!$A$7:$A$24,[1]Parámetros!$B$7:$B$24)</f>
        <v>49.5</v>
      </c>
      <c r="W122" s="30" t="str">
        <f t="shared" si="7"/>
        <v/>
      </c>
      <c r="X122" s="31" t="str">
        <f t="shared" si="8"/>
        <v/>
      </c>
      <c r="Y122" s="30" t="str">
        <f>IF($W122="Cambio Calado",COUNTIF($W$14:W122,"Cambio Calado"),"")</f>
        <v/>
      </c>
      <c r="Z122" s="31" t="str">
        <f t="shared" si="9"/>
        <v/>
      </c>
      <c r="AA122" s="30" t="str">
        <f t="shared" si="10"/>
        <v/>
      </c>
      <c r="AB122" s="29">
        <f>IFERROR(LOOKUP($A122,$Z$14:$Z122,$AA$14:$AA122),$U122)</f>
        <v>49.5</v>
      </c>
      <c r="AC122" s="32">
        <f>IFERROR($A123-LOOKUP($A123,$Z$14:$Z122),"")</f>
        <v>17</v>
      </c>
      <c r="AD122" s="1" cm="1">
        <f t="array" ref="AD122">IF(B122&lt;&gt;"",80,_xludf.NA())</f>
        <v>80</v>
      </c>
    </row>
    <row r="123" spans="1:30">
      <c r="A123" s="22">
        <f t="shared" si="6"/>
        <v>46313</v>
      </c>
      <c r="B123" s="9">
        <f>+[1]Balance_Madden!A121</f>
        <v>46313</v>
      </c>
      <c r="C123" s="24">
        <f>+VLOOKUP(B123,[1]Balance_Madden!$A$12:$E$5000,2)</f>
        <v>244.065</v>
      </c>
      <c r="D123" s="25">
        <f>+VLOOKUP(B123,[1]Balance_Gatún!$A$13:$E$5087,2)</f>
        <v>84.564971805652718</v>
      </c>
      <c r="E123" s="24">
        <f>+VLOOKUP(B123,[1]Balance_Madden!$A$12:$E$5087,5)/35.32</f>
        <v>30.81766704416761</v>
      </c>
      <c r="F123" s="26">
        <f>+VLOOKUP(B123,[1]Balance_Gatún!$A$13:$E$5087,5)/35.32</f>
        <v>34.870583238958098</v>
      </c>
      <c r="G123" s="24">
        <f>+VLOOKUP(B123,[1]Balance_Madden!$A$12:$K$5087,9)/111</f>
        <v>2.7027027027027026</v>
      </c>
      <c r="H123" s="25">
        <f>+VLOOKUP(B123,[1]Balance_Gatún!$A$13:$U$5087,21)/186</f>
        <v>0</v>
      </c>
      <c r="I123" s="24">
        <f>+(VLOOKUP(B123,[1]Balance_Madden!$A$12:$K$5087,10)/35.32)+VLOOKUP(B123,[1]Balance_Madden!$A$12:$K$5087,11)/35.32</f>
        <v>0</v>
      </c>
      <c r="J123" s="25">
        <f>+VLOOKUP(B123,[1]Balance_Gatún!$A$13:$AD$5087,23)/35.32+ VLOOKUP(B123,[1]Balance_Gatún!$A$13:$AD$5087,17)/35.32</f>
        <v>0</v>
      </c>
      <c r="K123" s="24">
        <f>+VLOOKUP(B123,[1]Balance_Gatún!$A$13:$AC$5087,10)</f>
        <v>18</v>
      </c>
      <c r="L123" s="25" t="str">
        <f>+VLOOKUP(B123,[1]Balance_Gatún!$A$13:$AC$5087,11)</f>
        <v>XFILL_PMG100%</v>
      </c>
      <c r="M123" s="25">
        <f>+VLOOKUP(B123,[1]Balance_Gatún!$A$13:$AC$5087,12)</f>
        <v>10</v>
      </c>
      <c r="N123" s="25" t="str">
        <f>+VLOOKUP(B123,[1]Balance_Gatún!$A$13:$AC$5087,13)</f>
        <v>TA+CCL100%</v>
      </c>
      <c r="O123" s="25">
        <f>+VLOOKUP(B123,[1]Balance_Gatún!$A$13:$AC$5087,14)/408.7</f>
        <v>5.3563956241379875</v>
      </c>
      <c r="P123" s="24">
        <f>+VLOOKUP(B123,[1]Balance_Madden!$A$12:$V$5087,12)/35.32</f>
        <v>1.0434609184956147</v>
      </c>
      <c r="Q123" s="25">
        <f>+VLOOKUP(B123,[1]Balance_Gatún!$A$13:$AD$5087,15)/35.32</f>
        <v>9.0210551249016095</v>
      </c>
      <c r="R123" s="24">
        <f>+VLOOKUP(B123,[1]Balance_Madden!$A$12:$V$5087,14)/35.32</f>
        <v>21.790912787125283</v>
      </c>
      <c r="S123" s="26">
        <f>[1]Balance_Gatún!X122/35.32</f>
        <v>82.642796109759914</v>
      </c>
      <c r="T123" s="25">
        <v>60.474222055556616</v>
      </c>
      <c r="U123" s="25">
        <v>54.672552926518669</v>
      </c>
      <c r="V123" s="29">
        <f>LOOKUP(D123,[1]Parámetros!$A$7:$A$24,[1]Parámetros!$B$7:$B$24)</f>
        <v>49.5</v>
      </c>
      <c r="W123" s="30" t="str">
        <f t="shared" si="7"/>
        <v/>
      </c>
      <c r="X123" s="31" t="str">
        <f t="shared" si="8"/>
        <v/>
      </c>
      <c r="Y123" s="30" t="str">
        <f>IF($W123="Cambio Calado",COUNTIF($W$14:W123,"Cambio Calado"),"")</f>
        <v/>
      </c>
      <c r="Z123" s="31" t="str">
        <f t="shared" si="9"/>
        <v/>
      </c>
      <c r="AA123" s="30" t="str">
        <f t="shared" si="10"/>
        <v/>
      </c>
      <c r="AB123" s="29">
        <f>IFERROR(LOOKUP($A123,$Z$14:$Z123,$AA$14:$AA123),$U123)</f>
        <v>49.5</v>
      </c>
      <c r="AC123" s="32">
        <f>IFERROR($A124-LOOKUP($A124,$Z$14:$Z123),"")</f>
        <v>18</v>
      </c>
      <c r="AD123" s="1" cm="1">
        <f t="array" ref="AD123">IF(B123&lt;&gt;"",80,_xludf.NA())</f>
        <v>80</v>
      </c>
    </row>
    <row r="124" spans="1:30">
      <c r="A124" s="22">
        <f t="shared" si="6"/>
        <v>46314</v>
      </c>
      <c r="B124" s="9">
        <f>+[1]Balance_Madden!A122</f>
        <v>46314</v>
      </c>
      <c r="C124" s="24">
        <f>+VLOOKUP(B124,[1]Balance_Madden!$A$12:$E$5000,2)</f>
        <v>244.125</v>
      </c>
      <c r="D124" s="25">
        <f>+VLOOKUP(B124,[1]Balance_Gatún!$A$13:$E$5087,2)</f>
        <v>84.538509139032143</v>
      </c>
      <c r="E124" s="24">
        <f>+VLOOKUP(B124,[1]Balance_Madden!$A$12:$E$5087,5)/35.32</f>
        <v>27.062287655719139</v>
      </c>
      <c r="F124" s="26">
        <f>+VLOOKUP(B124,[1]Balance_Gatún!$A$13:$E$5087,5)/35.32</f>
        <v>26.7492355605889</v>
      </c>
      <c r="G124" s="24">
        <f>+VLOOKUP(B124,[1]Balance_Madden!$A$12:$K$5087,9)/111</f>
        <v>2.7027027027027026</v>
      </c>
      <c r="H124" s="25">
        <f>+VLOOKUP(B124,[1]Balance_Gatún!$A$13:$U$5087,21)/186</f>
        <v>0</v>
      </c>
      <c r="I124" s="24">
        <f>+(VLOOKUP(B124,[1]Balance_Madden!$A$12:$K$5087,10)/35.32)+VLOOKUP(B124,[1]Balance_Madden!$A$12:$K$5087,11)/35.32</f>
        <v>0</v>
      </c>
      <c r="J124" s="25">
        <f>+VLOOKUP(B124,[1]Balance_Gatún!$A$13:$AD$5087,23)/35.32+ VLOOKUP(B124,[1]Balance_Gatún!$A$13:$AD$5087,17)/35.32</f>
        <v>0</v>
      </c>
      <c r="K124" s="24">
        <f>+VLOOKUP(B124,[1]Balance_Gatún!$A$13:$AC$5087,10)</f>
        <v>18</v>
      </c>
      <c r="L124" s="25" t="str">
        <f>+VLOOKUP(B124,[1]Balance_Gatún!$A$13:$AC$5087,11)</f>
        <v>XFILL_PMG100%</v>
      </c>
      <c r="M124" s="25">
        <f>+VLOOKUP(B124,[1]Balance_Gatún!$A$13:$AC$5087,12)</f>
        <v>10</v>
      </c>
      <c r="N124" s="25" t="str">
        <f>+VLOOKUP(B124,[1]Balance_Gatún!$A$13:$AC$5087,13)</f>
        <v>TA+CCL100%</v>
      </c>
      <c r="O124" s="25">
        <f>+VLOOKUP(B124,[1]Balance_Gatún!$A$13:$AC$5087,14)/408.7</f>
        <v>5.3522635118897588</v>
      </c>
      <c r="P124" s="24">
        <f>+VLOOKUP(B124,[1]Balance_Madden!$A$12:$V$5087,12)/35.32</f>
        <v>0.93062798179440476</v>
      </c>
      <c r="Q124" s="25">
        <f>+VLOOKUP(B124,[1]Balance_Gatún!$A$13:$AD$5087,15)/35.32</f>
        <v>8.036777194654702</v>
      </c>
      <c r="R124" s="24">
        <f>+VLOOKUP(B124,[1]Balance_Madden!$A$12:$V$5087,14)/35.32</f>
        <v>21.678079850424073</v>
      </c>
      <c r="S124" s="26">
        <f>[1]Balance_Gatún!X123/35.32</f>
        <v>81.610704072042708</v>
      </c>
      <c r="T124" s="25">
        <v>45.903176419873461</v>
      </c>
      <c r="U124" s="25">
        <v>44.427563304352809</v>
      </c>
      <c r="V124" s="29">
        <f>LOOKUP(D124,[1]Parámetros!$A$7:$A$24,[1]Parámetros!$B$7:$B$24)</f>
        <v>49.5</v>
      </c>
      <c r="W124" s="30" t="str">
        <f t="shared" si="7"/>
        <v/>
      </c>
      <c r="X124" s="31" t="str">
        <f t="shared" si="8"/>
        <v/>
      </c>
      <c r="Y124" s="30" t="str">
        <f>IF($W124="Cambio Calado",COUNTIF($W$14:W124,"Cambio Calado"),"")</f>
        <v/>
      </c>
      <c r="Z124" s="31" t="str">
        <f t="shared" si="9"/>
        <v/>
      </c>
      <c r="AA124" s="30" t="str">
        <f t="shared" si="10"/>
        <v/>
      </c>
      <c r="AB124" s="29">
        <f>IFERROR(LOOKUP($A124,$Z$14:$Z124,$AA$14:$AA124),$U124)</f>
        <v>49.5</v>
      </c>
      <c r="AC124" s="32">
        <f>IFERROR($A125-LOOKUP($A125,$Z$14:$Z124),"")</f>
        <v>19</v>
      </c>
      <c r="AD124" s="1" cm="1">
        <f t="array" ref="AD124">IF(B124&lt;&gt;"",80,_xludf.NA())</f>
        <v>80</v>
      </c>
    </row>
    <row r="125" spans="1:30">
      <c r="A125" s="22">
        <f t="shared" si="6"/>
        <v>46315</v>
      </c>
      <c r="B125" s="9">
        <f>+[1]Balance_Madden!A123</f>
        <v>46315</v>
      </c>
      <c r="C125" s="24">
        <f>+VLOOKUP(B125,[1]Balance_Madden!$A$12:$E$5000,2)</f>
        <v>244.16</v>
      </c>
      <c r="D125" s="25">
        <f>+VLOOKUP(B125,[1]Balance_Gatún!$A$13:$E$5087,2)</f>
        <v>84.507259005915557</v>
      </c>
      <c r="E125" s="24">
        <f>+VLOOKUP(B125,[1]Balance_Madden!$A$12:$E$5087,5)/35.32</f>
        <v>26.841364665911666</v>
      </c>
      <c r="F125" s="26">
        <f>+VLOOKUP(B125,[1]Balance_Gatún!$A$13:$E$5087,5)/35.32</f>
        <v>92.197650056625136</v>
      </c>
      <c r="G125" s="24">
        <f>+VLOOKUP(B125,[1]Balance_Madden!$A$12:$K$5087,9)/111</f>
        <v>2.7027027027027026</v>
      </c>
      <c r="H125" s="25">
        <f>+VLOOKUP(B125,[1]Balance_Gatún!$A$13:$U$5087,21)/186</f>
        <v>0</v>
      </c>
      <c r="I125" s="24">
        <f>+(VLOOKUP(B125,[1]Balance_Madden!$A$12:$K$5087,10)/35.32)+VLOOKUP(B125,[1]Balance_Madden!$A$12:$K$5087,11)/35.32</f>
        <v>0</v>
      </c>
      <c r="J125" s="25">
        <f>+VLOOKUP(B125,[1]Balance_Gatún!$A$13:$AD$5087,23)/35.32+ VLOOKUP(B125,[1]Balance_Gatún!$A$13:$AD$5087,17)/35.32</f>
        <v>0</v>
      </c>
      <c r="K125" s="24">
        <f>+VLOOKUP(B125,[1]Balance_Gatún!$A$13:$AC$5087,10)</f>
        <v>18</v>
      </c>
      <c r="L125" s="25" t="str">
        <f>+VLOOKUP(B125,[1]Balance_Gatún!$A$13:$AC$5087,11)</f>
        <v>XFILL_PMG100%</v>
      </c>
      <c r="M125" s="25">
        <f>+VLOOKUP(B125,[1]Balance_Gatún!$A$13:$AC$5087,12)</f>
        <v>10</v>
      </c>
      <c r="N125" s="25" t="str">
        <f>+VLOOKUP(B125,[1]Balance_Gatún!$A$13:$AC$5087,13)</f>
        <v>TA+CCL100%</v>
      </c>
      <c r="O125" s="25">
        <f>+VLOOKUP(B125,[1]Balance_Gatún!$A$13:$AC$5087,14)/408.7</f>
        <v>5.3473838427444944</v>
      </c>
      <c r="P125" s="24">
        <f>+VLOOKUP(B125,[1]Balance_Madden!$A$12:$V$5087,12)/35.32</f>
        <v>2.3311259340904584</v>
      </c>
      <c r="Q125" s="25">
        <f>+VLOOKUP(B125,[1]Balance_Gatún!$A$13:$AD$5087,15)/35.32</f>
        <v>20.11438604242149</v>
      </c>
      <c r="R125" s="24">
        <f>+VLOOKUP(B125,[1]Balance_Madden!$A$12:$V$5087,14)/35.32</f>
        <v>23.07857780272013</v>
      </c>
      <c r="S125" s="26">
        <f>[1]Balance_Gatún!X124/35.32</f>
        <v>93.631848571574238</v>
      </c>
      <c r="T125" s="25">
        <v>100.09624266776075</v>
      </c>
      <c r="U125" s="25">
        <v>69.10508592452905</v>
      </c>
      <c r="V125" s="29">
        <f>LOOKUP(D125,[1]Parámetros!$A$7:$A$24,[1]Parámetros!$B$7:$B$24)</f>
        <v>49.5</v>
      </c>
      <c r="W125" s="30" t="str">
        <f t="shared" si="7"/>
        <v/>
      </c>
      <c r="X125" s="31" t="str">
        <f t="shared" si="8"/>
        <v/>
      </c>
      <c r="Y125" s="30" t="str">
        <f>IF($W125="Cambio Calado",COUNTIF($W$14:W125,"Cambio Calado"),"")</f>
        <v/>
      </c>
      <c r="Z125" s="31" t="str">
        <f t="shared" si="9"/>
        <v/>
      </c>
      <c r="AA125" s="30" t="str">
        <f t="shared" si="10"/>
        <v/>
      </c>
      <c r="AB125" s="29">
        <f>IFERROR(LOOKUP($A125,$Z$14:$Z125,$AA$14:$AA125),$U125)</f>
        <v>49.5</v>
      </c>
      <c r="AC125" s="32">
        <f>IFERROR($A126-LOOKUP($A126,$Z$14:$Z125),"")</f>
        <v>20</v>
      </c>
      <c r="AD125" s="1" cm="1">
        <f t="array" ref="AD125">IF(B125&lt;&gt;"",80,_xludf.NA())</f>
        <v>80</v>
      </c>
    </row>
    <row r="126" spans="1:30">
      <c r="A126" s="22">
        <f t="shared" si="6"/>
        <v>46316</v>
      </c>
      <c r="B126" s="9">
        <f>+[1]Balance_Madden!A124</f>
        <v>46316</v>
      </c>
      <c r="C126" s="24">
        <f>+VLOOKUP(B126,[1]Balance_Madden!$A$12:$E$5000,2)</f>
        <v>244.185</v>
      </c>
      <c r="D126" s="25">
        <f>+VLOOKUP(B126,[1]Balance_Gatún!$A$13:$E$5087,2)</f>
        <v>84.512017689612023</v>
      </c>
      <c r="E126" s="24">
        <f>+VLOOKUP(B126,[1]Balance_Madden!$A$12:$E$5087,5)/35.32</f>
        <v>82.288788221970549</v>
      </c>
      <c r="F126" s="26">
        <f>+VLOOKUP(B126,[1]Balance_Gatún!$A$13:$E$5087,5)/35.32</f>
        <v>59.473442808607018</v>
      </c>
      <c r="G126" s="24">
        <f>+VLOOKUP(B126,[1]Balance_Madden!$A$12:$K$5087,9)/111</f>
        <v>2.7027027027027026</v>
      </c>
      <c r="H126" s="25">
        <f>+VLOOKUP(B126,[1]Balance_Gatún!$A$13:$U$5087,21)/186</f>
        <v>0</v>
      </c>
      <c r="I126" s="24">
        <f>+(VLOOKUP(B126,[1]Balance_Madden!$A$12:$K$5087,10)/35.32)+VLOOKUP(B126,[1]Balance_Madden!$A$12:$K$5087,11)/35.32</f>
        <v>0</v>
      </c>
      <c r="J126" s="25">
        <f>+VLOOKUP(B126,[1]Balance_Gatún!$A$13:$AD$5087,23)/35.32+ VLOOKUP(B126,[1]Balance_Gatún!$A$13:$AD$5087,17)/35.32</f>
        <v>0</v>
      </c>
      <c r="K126" s="24">
        <f>+VLOOKUP(B126,[1]Balance_Gatún!$A$13:$AC$5087,10)</f>
        <v>18</v>
      </c>
      <c r="L126" s="25" t="str">
        <f>+VLOOKUP(B126,[1]Balance_Gatún!$A$13:$AC$5087,11)</f>
        <v>XFILL_PMG100%</v>
      </c>
      <c r="M126" s="25">
        <f>+VLOOKUP(B126,[1]Balance_Gatún!$A$13:$AC$5087,12)</f>
        <v>10</v>
      </c>
      <c r="N126" s="25" t="str">
        <f>+VLOOKUP(B126,[1]Balance_Gatún!$A$13:$AC$5087,13)</f>
        <v>TA+CCL100%</v>
      </c>
      <c r="O126" s="25">
        <f>+VLOOKUP(B126,[1]Balance_Gatún!$A$13:$AC$5087,14)/408.7</f>
        <v>5.3481269052434319</v>
      </c>
      <c r="P126" s="24">
        <f>+VLOOKUP(B126,[1]Balance_Madden!$A$12:$V$5087,12)/35.32</f>
        <v>1.0359185812106781</v>
      </c>
      <c r="Q126" s="25">
        <f>+VLOOKUP(B126,[1]Balance_Gatún!$A$13:$AD$5087,15)/35.32</f>
        <v>8.9362652077664624</v>
      </c>
      <c r="R126" s="24">
        <f>+VLOOKUP(B126,[1]Balance_Madden!$A$12:$V$5087,14)/35.32</f>
        <v>21.783370449840348</v>
      </c>
      <c r="S126" s="26">
        <f>[1]Balance_Gatún!X125/35.32</f>
        <v>82.46232597144116</v>
      </c>
      <c r="T126" s="25">
        <v>113.75105955066908</v>
      </c>
      <c r="U126" s="25">
        <v>97.620255058317312</v>
      </c>
      <c r="V126" s="29">
        <f>LOOKUP(D126,[1]Parámetros!$A$7:$A$24,[1]Parámetros!$B$7:$B$24)</f>
        <v>49.5</v>
      </c>
      <c r="W126" s="30" t="str">
        <f t="shared" si="7"/>
        <v/>
      </c>
      <c r="X126" s="31" t="str">
        <f t="shared" si="8"/>
        <v/>
      </c>
      <c r="Y126" s="30" t="str">
        <f>IF($W126="Cambio Calado",COUNTIF($W$14:W126,"Cambio Calado"),"")</f>
        <v/>
      </c>
      <c r="Z126" s="31" t="str">
        <f t="shared" si="9"/>
        <v/>
      </c>
      <c r="AA126" s="30" t="str">
        <f t="shared" si="10"/>
        <v/>
      </c>
      <c r="AB126" s="29">
        <f>IFERROR(LOOKUP($A126,$Z$14:$Z126,$AA$14:$AA126),$U126)</f>
        <v>49.5</v>
      </c>
      <c r="AC126" s="32">
        <f>IFERROR($A127-LOOKUP($A127,$Z$14:$Z126),"")</f>
        <v>21</v>
      </c>
      <c r="AD126" s="1" cm="1">
        <f t="array" ref="AD126">IF(B126&lt;&gt;"",80,_xludf.NA())</f>
        <v>80</v>
      </c>
    </row>
    <row r="127" spans="1:30">
      <c r="A127" s="22">
        <f t="shared" si="6"/>
        <v>46317</v>
      </c>
      <c r="B127" s="9">
        <f>+[1]Balance_Madden!A125</f>
        <v>46317</v>
      </c>
      <c r="C127" s="24">
        <f>+VLOOKUP(B127,[1]Balance_Madden!$A$12:$E$5000,2)</f>
        <v>244.58699999999999</v>
      </c>
      <c r="D127" s="25">
        <f>+VLOOKUP(B127,[1]Balance_Gatún!$A$13:$E$5087,2)</f>
        <v>84.502246585624349</v>
      </c>
      <c r="E127" s="24">
        <f>+VLOOKUP(B127,[1]Balance_Madden!$A$12:$E$5087,5)/35.32</f>
        <v>36.561240090600229</v>
      </c>
      <c r="F127" s="26">
        <f>+VLOOKUP(B127,[1]Balance_Gatún!$A$13:$E$5087,5)/35.32</f>
        <v>52.546432616081539</v>
      </c>
      <c r="G127" s="24">
        <f>+VLOOKUP(B127,[1]Balance_Madden!$A$12:$K$5087,9)/111</f>
        <v>2.7027027027027026</v>
      </c>
      <c r="H127" s="25">
        <f>+VLOOKUP(B127,[1]Balance_Gatún!$A$13:$U$5087,21)/186</f>
        <v>0</v>
      </c>
      <c r="I127" s="24">
        <f>+(VLOOKUP(B127,[1]Balance_Madden!$A$12:$K$5087,10)/35.32)+VLOOKUP(B127,[1]Balance_Madden!$A$12:$K$5087,11)/35.32</f>
        <v>0</v>
      </c>
      <c r="J127" s="25">
        <f>+VLOOKUP(B127,[1]Balance_Gatún!$A$13:$AD$5087,23)/35.32+ VLOOKUP(B127,[1]Balance_Gatún!$A$13:$AD$5087,17)/35.32</f>
        <v>0</v>
      </c>
      <c r="K127" s="24">
        <f>+VLOOKUP(B127,[1]Balance_Gatún!$A$13:$AC$5087,10)</f>
        <v>18</v>
      </c>
      <c r="L127" s="25" t="str">
        <f>+VLOOKUP(B127,[1]Balance_Gatún!$A$13:$AC$5087,11)</f>
        <v>XFILL_PMG100%</v>
      </c>
      <c r="M127" s="25">
        <f>+VLOOKUP(B127,[1]Balance_Gatún!$A$13:$AC$5087,12)</f>
        <v>10</v>
      </c>
      <c r="N127" s="25" t="str">
        <f>+VLOOKUP(B127,[1]Balance_Gatún!$A$13:$AC$5087,13)</f>
        <v>TA+CCL100%</v>
      </c>
      <c r="O127" s="25">
        <f>+VLOOKUP(B127,[1]Balance_Gatún!$A$13:$AC$5087,14)/408.7</f>
        <v>5.346601159594095</v>
      </c>
      <c r="P127" s="24">
        <f>+VLOOKUP(B127,[1]Balance_Madden!$A$12:$V$5087,12)/35.32</f>
        <v>1.4070107004051948</v>
      </c>
      <c r="Q127" s="25">
        <f>+VLOOKUP(B127,[1]Balance_Gatún!$A$13:$AD$5087,15)/35.32</f>
        <v>12.074653018282223</v>
      </c>
      <c r="R127" s="24">
        <f>+VLOOKUP(B127,[1]Balance_Madden!$A$12:$V$5087,14)/35.32</f>
        <v>22.154462569034862</v>
      </c>
      <c r="S127" s="26">
        <f>[1]Balance_Gatún!X126/35.32</f>
        <v>85.583058848579697</v>
      </c>
      <c r="T127" s="25">
        <v>57.053931840383413</v>
      </c>
      <c r="U127" s="25">
        <v>58.894078501749277</v>
      </c>
      <c r="V127" s="29">
        <f>LOOKUP(D127,[1]Parámetros!$A$7:$A$24,[1]Parámetros!$B$7:$B$24)</f>
        <v>49.5</v>
      </c>
      <c r="W127" s="30" t="str">
        <f t="shared" si="7"/>
        <v/>
      </c>
      <c r="X127" s="31" t="str">
        <f t="shared" si="8"/>
        <v/>
      </c>
      <c r="Y127" s="30" t="str">
        <f>IF($W127="Cambio Calado",COUNTIF($W$14:W127,"Cambio Calado"),"")</f>
        <v/>
      </c>
      <c r="Z127" s="31" t="str">
        <f t="shared" si="9"/>
        <v/>
      </c>
      <c r="AA127" s="30" t="str">
        <f t="shared" si="10"/>
        <v/>
      </c>
      <c r="AB127" s="29">
        <f>IFERROR(LOOKUP($A127,$Z$14:$Z127,$AA$14:$AA127),$U127)</f>
        <v>49.5</v>
      </c>
      <c r="AC127" s="32">
        <f>IFERROR($A128-LOOKUP($A128,$Z$14:$Z127),"")</f>
        <v>22</v>
      </c>
      <c r="AD127" s="1" cm="1">
        <f t="array" ref="AD127">IF(B127&lt;&gt;"",80,_xludf.NA())</f>
        <v>80</v>
      </c>
    </row>
    <row r="128" spans="1:30">
      <c r="A128" s="22">
        <f t="shared" si="6"/>
        <v>46318</v>
      </c>
      <c r="B128" s="9">
        <f>+[1]Balance_Madden!A126</f>
        <v>46318</v>
      </c>
      <c r="C128" s="24">
        <f>+VLOOKUP(B128,[1]Balance_Madden!$A$12:$E$5000,2)</f>
        <v>244.68199999999999</v>
      </c>
      <c r="D128" s="25">
        <f>+VLOOKUP(B128,[1]Balance_Gatún!$A$13:$E$5087,2)</f>
        <v>84.485699604737675</v>
      </c>
      <c r="E128" s="24">
        <f>+VLOOKUP(B128,[1]Balance_Madden!$A$12:$E$5087,5)/35.32</f>
        <v>30.375877689694224</v>
      </c>
      <c r="F128" s="26">
        <f>+VLOOKUP(B128,[1]Balance_Gatún!$A$13:$E$5087,5)/35.32</f>
        <v>44.544507361268401</v>
      </c>
      <c r="G128" s="24">
        <f>+VLOOKUP(B128,[1]Balance_Madden!$A$12:$K$5087,9)/111</f>
        <v>2.7027027027027026</v>
      </c>
      <c r="H128" s="25">
        <f>+VLOOKUP(B128,[1]Balance_Gatún!$A$13:$U$5087,21)/186</f>
        <v>0</v>
      </c>
      <c r="I128" s="24">
        <f>+(VLOOKUP(B128,[1]Balance_Madden!$A$12:$K$5087,10)/35.32)+VLOOKUP(B128,[1]Balance_Madden!$A$12:$K$5087,11)/35.32</f>
        <v>0</v>
      </c>
      <c r="J128" s="25">
        <f>+VLOOKUP(B128,[1]Balance_Gatún!$A$13:$AD$5087,23)/35.32+ VLOOKUP(B128,[1]Balance_Gatún!$A$13:$AD$5087,17)/35.32</f>
        <v>0</v>
      </c>
      <c r="K128" s="24">
        <f>+VLOOKUP(B128,[1]Balance_Gatún!$A$13:$AC$5087,10)</f>
        <v>18</v>
      </c>
      <c r="L128" s="25" t="str">
        <f>+VLOOKUP(B128,[1]Balance_Gatún!$A$13:$AC$5087,11)</f>
        <v>XFILL_PMG100%</v>
      </c>
      <c r="M128" s="25">
        <f>+VLOOKUP(B128,[1]Balance_Gatún!$A$13:$AC$5087,12)</f>
        <v>10</v>
      </c>
      <c r="N128" s="25" t="str">
        <f>+VLOOKUP(B128,[1]Balance_Gatún!$A$13:$AC$5087,13)</f>
        <v>TA+CCL100%</v>
      </c>
      <c r="O128" s="25">
        <f>+VLOOKUP(B128,[1]Balance_Gatún!$A$13:$AC$5087,14)/408.7</f>
        <v>5.3440173692537858</v>
      </c>
      <c r="P128" s="24">
        <f>+VLOOKUP(B128,[1]Balance_Madden!$A$12:$V$5087,12)/35.32</f>
        <v>1.3395938328453054</v>
      </c>
      <c r="Q128" s="25">
        <f>+VLOOKUP(B128,[1]Balance_Gatún!$A$13:$AD$5087,15)/35.32</f>
        <v>11.479950155225847</v>
      </c>
      <c r="R128" s="24">
        <f>+VLOOKUP(B128,[1]Balance_Madden!$A$12:$V$5087,14)/35.32</f>
        <v>22.087045701474977</v>
      </c>
      <c r="S128" s="26">
        <f>[1]Balance_Gatún!X127/35.32</f>
        <v>84.958458049167589</v>
      </c>
      <c r="T128" s="25">
        <v>60.969628923458295</v>
      </c>
      <c r="U128" s="25">
        <v>43.867333741881502</v>
      </c>
      <c r="V128" s="29">
        <f>LOOKUP(D128,[1]Parámetros!$A$7:$A$24,[1]Parámetros!$B$7:$B$24)</f>
        <v>49</v>
      </c>
      <c r="W128" s="30" t="str">
        <f t="shared" si="7"/>
        <v>Cambio Calado</v>
      </c>
      <c r="X128" s="31">
        <f t="shared" si="8"/>
        <v>46318</v>
      </c>
      <c r="Y128" s="30">
        <f>IF($W128="Cambio Calado",COUNTIF($W$14:W128,"Cambio Calado"),"")</f>
        <v>8</v>
      </c>
      <c r="Z128" s="31">
        <f t="shared" si="9"/>
        <v>46318</v>
      </c>
      <c r="AA128" s="30">
        <f t="shared" si="10"/>
        <v>49</v>
      </c>
      <c r="AB128" s="29">
        <f>IFERROR(LOOKUP($A128,$Z$14:$Z128,$AA$14:$AA128),$U128)</f>
        <v>49</v>
      </c>
      <c r="AC128" s="32">
        <f>IFERROR($A129-LOOKUP($A129,$Z$14:$Z128),"")</f>
        <v>1</v>
      </c>
      <c r="AD128" s="1" cm="1">
        <f t="array" ref="AD128">IF(B128&lt;&gt;"",80,_xludf.NA())</f>
        <v>80</v>
      </c>
    </row>
    <row r="129" spans="1:30">
      <c r="A129" s="22">
        <f t="shared" si="6"/>
        <v>46319</v>
      </c>
      <c r="B129" s="9">
        <f>+[1]Balance_Madden!A127</f>
        <v>46319</v>
      </c>
      <c r="C129" s="24">
        <f>+VLOOKUP(B129,[1]Balance_Madden!$A$12:$E$5000,2)</f>
        <v>244.73699999999999</v>
      </c>
      <c r="D129" s="25">
        <f>+VLOOKUP(B129,[1]Balance_Gatún!$A$13:$E$5087,2)</f>
        <v>84.464173639223787</v>
      </c>
      <c r="E129" s="24">
        <f>+VLOOKUP(B129,[1]Balance_Madden!$A$12:$E$5087,5)/35.32</f>
        <v>79.572961494903737</v>
      </c>
      <c r="F129" s="26">
        <f>+VLOOKUP(B129,[1]Balance_Gatún!$A$13:$E$5087,5)/35.32</f>
        <v>117.02236693091731</v>
      </c>
      <c r="G129" s="24">
        <f>+VLOOKUP(B129,[1]Balance_Madden!$A$12:$K$5087,9)/111</f>
        <v>2.7027027027027026</v>
      </c>
      <c r="H129" s="25">
        <f>+VLOOKUP(B129,[1]Balance_Gatún!$A$13:$U$5087,21)/186</f>
        <v>0</v>
      </c>
      <c r="I129" s="24">
        <f>+(VLOOKUP(B129,[1]Balance_Madden!$A$12:$K$5087,10)/35.32)+VLOOKUP(B129,[1]Balance_Madden!$A$12:$K$5087,11)/35.32</f>
        <v>0</v>
      </c>
      <c r="J129" s="25">
        <f>+VLOOKUP(B129,[1]Balance_Gatún!$A$13:$AD$5087,23)/35.32+ VLOOKUP(B129,[1]Balance_Gatún!$A$13:$AD$5087,17)/35.32</f>
        <v>0</v>
      </c>
      <c r="K129" s="24">
        <f>+VLOOKUP(B129,[1]Balance_Gatún!$A$13:$AC$5087,10)</f>
        <v>18</v>
      </c>
      <c r="L129" s="25" t="str">
        <f>+VLOOKUP(B129,[1]Balance_Gatún!$A$13:$AC$5087,11)</f>
        <v>XFILL_PMG100%</v>
      </c>
      <c r="M129" s="25">
        <f>+VLOOKUP(B129,[1]Balance_Gatún!$A$13:$AC$5087,12)</f>
        <v>10</v>
      </c>
      <c r="N129" s="25" t="str">
        <f>+VLOOKUP(B129,[1]Balance_Gatún!$A$13:$AC$5087,13)</f>
        <v>TA+CCL100%</v>
      </c>
      <c r="O129" s="25">
        <f>+VLOOKUP(B129,[1]Balance_Gatún!$A$13:$AC$5087,14)/408.7</f>
        <v>5.3406561167001341</v>
      </c>
      <c r="P129" s="24">
        <f>+VLOOKUP(B129,[1]Balance_Madden!$A$12:$V$5087,12)/35.32</f>
        <v>2.0531624462509019</v>
      </c>
      <c r="Q129" s="25">
        <f>+VLOOKUP(B129,[1]Balance_Gatún!$A$13:$AD$5087,15)/35.32</f>
        <v>17.578052844020462</v>
      </c>
      <c r="R129" s="24">
        <f>+VLOOKUP(B129,[1]Balance_Madden!$A$12:$V$5087,14)/35.32</f>
        <v>22.800614314880573</v>
      </c>
      <c r="S129" s="26">
        <f>[1]Balance_Gatún!X128/35.32</f>
        <v>91.017666516029081</v>
      </c>
      <c r="T129" s="25">
        <v>51.39400126353123</v>
      </c>
      <c r="U129" s="25">
        <v>74.251272557746603</v>
      </c>
      <c r="V129" s="29">
        <f>LOOKUP(D129,[1]Parámetros!$A$7:$A$24,[1]Parámetros!$B$7:$B$24)</f>
        <v>49</v>
      </c>
      <c r="W129" s="30" t="str">
        <f t="shared" si="7"/>
        <v/>
      </c>
      <c r="X129" s="31" t="str">
        <f t="shared" si="8"/>
        <v/>
      </c>
      <c r="Y129" s="30" t="str">
        <f>IF($W129="Cambio Calado",COUNTIF($W$14:W129,"Cambio Calado"),"")</f>
        <v/>
      </c>
      <c r="Z129" s="31" t="str">
        <f t="shared" si="9"/>
        <v/>
      </c>
      <c r="AA129" s="30" t="str">
        <f t="shared" si="10"/>
        <v/>
      </c>
      <c r="AB129" s="29">
        <f>IFERROR(LOOKUP($A129,$Z$14:$Z129,$AA$14:$AA129),$U129)</f>
        <v>49</v>
      </c>
      <c r="AC129" s="32">
        <f>IFERROR($A130-LOOKUP($A130,$Z$14:$Z129),"")</f>
        <v>2</v>
      </c>
      <c r="AD129" s="1" cm="1">
        <f t="array" ref="AD129">IF(B129&lt;&gt;"",80,_xludf.NA())</f>
        <v>80</v>
      </c>
    </row>
    <row r="130" spans="1:30">
      <c r="A130" s="22">
        <f t="shared" si="6"/>
        <v>46320</v>
      </c>
      <c r="B130" s="9">
        <f>+[1]Balance_Madden!A128</f>
        <v>46320</v>
      </c>
      <c r="C130" s="24">
        <f>+VLOOKUP(B130,[1]Balance_Madden!$A$12:$E$5000,2)</f>
        <v>245.107</v>
      </c>
      <c r="D130" s="25">
        <f>+VLOOKUP(B130,[1]Balance_Gatún!$A$13:$E$5087,2)</f>
        <v>84.487438070422627</v>
      </c>
      <c r="E130" s="24">
        <f>+VLOOKUP(B130,[1]Balance_Madden!$A$12:$E$5087,5)/35.32</f>
        <v>66.176075877689698</v>
      </c>
      <c r="F130" s="26">
        <f>+VLOOKUP(B130,[1]Balance_Gatún!$A$13:$E$5087,5)/35.32</f>
        <v>79.141308040770113</v>
      </c>
      <c r="G130" s="24">
        <f>+VLOOKUP(B130,[1]Balance_Madden!$A$12:$K$5087,9)/111</f>
        <v>2.7027027027027026</v>
      </c>
      <c r="H130" s="25">
        <f>+VLOOKUP(B130,[1]Balance_Gatún!$A$13:$U$5087,21)/186</f>
        <v>0</v>
      </c>
      <c r="I130" s="24">
        <f>+(VLOOKUP(B130,[1]Balance_Madden!$A$12:$K$5087,10)/35.32)+VLOOKUP(B130,[1]Balance_Madden!$A$12:$K$5087,11)/35.32</f>
        <v>0</v>
      </c>
      <c r="J130" s="25">
        <f>+VLOOKUP(B130,[1]Balance_Gatún!$A$13:$AD$5087,23)/35.32+ VLOOKUP(B130,[1]Balance_Gatún!$A$13:$AD$5087,17)/35.32</f>
        <v>0</v>
      </c>
      <c r="K130" s="24">
        <f>+VLOOKUP(B130,[1]Balance_Gatún!$A$13:$AC$5087,10)</f>
        <v>18</v>
      </c>
      <c r="L130" s="25" t="str">
        <f>+VLOOKUP(B130,[1]Balance_Gatún!$A$13:$AC$5087,11)</f>
        <v>XFILL_PMG100%</v>
      </c>
      <c r="M130" s="25">
        <f>+VLOOKUP(B130,[1]Balance_Gatún!$A$13:$AC$5087,12)</f>
        <v>10</v>
      </c>
      <c r="N130" s="25" t="str">
        <f>+VLOOKUP(B130,[1]Balance_Gatún!$A$13:$AC$5087,13)</f>
        <v>TA+CCL100%</v>
      </c>
      <c r="O130" s="25">
        <f>+VLOOKUP(B130,[1]Balance_Gatún!$A$13:$AC$5087,14)/408.7</f>
        <v>5.3442888284930588</v>
      </c>
      <c r="P130" s="24">
        <f>+VLOOKUP(B130,[1]Balance_Madden!$A$12:$V$5087,12)/35.32</f>
        <v>0.72538311089561558</v>
      </c>
      <c r="Q130" s="25">
        <f>+VLOOKUP(B130,[1]Balance_Gatún!$A$13:$AD$5087,15)/35.32</f>
        <v>6.1834006377326203</v>
      </c>
      <c r="R130" s="24">
        <f>+VLOOKUP(B130,[1]Balance_Madden!$A$12:$V$5087,14)/35.32</f>
        <v>21.472834979525285</v>
      </c>
      <c r="S130" s="26">
        <f>[1]Balance_Gatún!X129/35.32</f>
        <v>79.665049680912503</v>
      </c>
      <c r="T130" s="25">
        <v>85.433425096942514</v>
      </c>
      <c r="U130" s="25">
        <v>72.800633080122722</v>
      </c>
      <c r="V130" s="29">
        <f>LOOKUP(D130,[1]Parámetros!$A$7:$A$24,[1]Parámetros!$B$7:$B$24)</f>
        <v>49</v>
      </c>
      <c r="W130" s="30" t="str">
        <f t="shared" si="7"/>
        <v/>
      </c>
      <c r="X130" s="31" t="str">
        <f t="shared" si="8"/>
        <v/>
      </c>
      <c r="Y130" s="30" t="str">
        <f>IF($W130="Cambio Calado",COUNTIF($W$14:W130,"Cambio Calado"),"")</f>
        <v/>
      </c>
      <c r="Z130" s="31" t="str">
        <f t="shared" si="9"/>
        <v/>
      </c>
      <c r="AA130" s="30" t="str">
        <f t="shared" si="10"/>
        <v/>
      </c>
      <c r="AB130" s="29">
        <f>IFERROR(LOOKUP($A130,$Z$14:$Z130,$AA$14:$AA130),$U130)</f>
        <v>49</v>
      </c>
      <c r="AC130" s="32">
        <f>IFERROR($A131-LOOKUP($A131,$Z$14:$Z130),"")</f>
        <v>3</v>
      </c>
      <c r="AD130" s="1" cm="1">
        <f t="array" ref="AD130">IF(B130&lt;&gt;"",80,_xludf.NA())</f>
        <v>80</v>
      </c>
    </row>
    <row r="131" spans="1:30">
      <c r="A131" s="22">
        <f t="shared" si="6"/>
        <v>46321</v>
      </c>
      <c r="B131" s="9">
        <f>+[1]Balance_Madden!A129</f>
        <v>46321</v>
      </c>
      <c r="C131" s="24">
        <f>+VLOOKUP(B131,[1]Balance_Madden!$A$12:$E$5000,2)</f>
        <v>245.386</v>
      </c>
      <c r="D131" s="25">
        <f>+VLOOKUP(B131,[1]Balance_Gatún!$A$13:$E$5087,2)</f>
        <v>84.492811784620798</v>
      </c>
      <c r="E131" s="24">
        <f>+VLOOKUP(B131,[1]Balance_Madden!$A$12:$E$5087,5)/35.32</f>
        <v>56.975792751981878</v>
      </c>
      <c r="F131" s="26">
        <f>+VLOOKUP(B131,[1]Balance_Gatún!$A$13:$E$5087,5)/35.32</f>
        <v>52.789269535673839</v>
      </c>
      <c r="G131" s="24">
        <f>+VLOOKUP(B131,[1]Balance_Madden!$A$12:$K$5087,9)/111</f>
        <v>2.7027027027027026</v>
      </c>
      <c r="H131" s="25">
        <f>+VLOOKUP(B131,[1]Balance_Gatún!$A$13:$U$5087,21)/186</f>
        <v>0</v>
      </c>
      <c r="I131" s="24">
        <f>+(VLOOKUP(B131,[1]Balance_Madden!$A$12:$K$5087,10)/35.32)+VLOOKUP(B131,[1]Balance_Madden!$A$12:$K$5087,11)/35.32</f>
        <v>0</v>
      </c>
      <c r="J131" s="25">
        <f>+VLOOKUP(B131,[1]Balance_Gatún!$A$13:$AD$5087,23)/35.32+ VLOOKUP(B131,[1]Balance_Gatún!$A$13:$AD$5087,17)/35.32</f>
        <v>0</v>
      </c>
      <c r="K131" s="24">
        <f>+VLOOKUP(B131,[1]Balance_Gatún!$A$13:$AC$5087,10)</f>
        <v>18</v>
      </c>
      <c r="L131" s="25" t="str">
        <f>+VLOOKUP(B131,[1]Balance_Gatún!$A$13:$AC$5087,11)</f>
        <v>XFILL_PMG100%</v>
      </c>
      <c r="M131" s="25">
        <f>+VLOOKUP(B131,[1]Balance_Gatún!$A$13:$AC$5087,12)</f>
        <v>10</v>
      </c>
      <c r="N131" s="25" t="str">
        <f>+VLOOKUP(B131,[1]Balance_Gatún!$A$13:$AC$5087,13)</f>
        <v>TA+CCL100%</v>
      </c>
      <c r="O131" s="25">
        <f>+VLOOKUP(B131,[1]Balance_Gatún!$A$13:$AC$5087,14)/408.7</f>
        <v>5.3451279272345076</v>
      </c>
      <c r="P131" s="24">
        <f>+VLOOKUP(B131,[1]Balance_Madden!$A$12:$V$5087,12)/35.32</f>
        <v>0.6778072252077989</v>
      </c>
      <c r="Q131" s="25">
        <f>+VLOOKUP(B131,[1]Balance_Gatún!$A$13:$AD$5087,15)/35.32</f>
        <v>5.7580962866886711</v>
      </c>
      <c r="R131" s="24">
        <f>+VLOOKUP(B131,[1]Balance_Madden!$A$12:$V$5087,14)/35.32</f>
        <v>21.425259093837468</v>
      </c>
      <c r="S131" s="26">
        <f>[1]Balance_Gatún!X130/35.32</f>
        <v>79.249454833142337</v>
      </c>
      <c r="T131" s="25">
        <v>71.62648060046638</v>
      </c>
      <c r="U131" s="25">
        <v>46.148220617700396</v>
      </c>
      <c r="V131" s="29">
        <f>LOOKUP(D131,[1]Parámetros!$A$7:$A$24,[1]Parámetros!$B$7:$B$24)</f>
        <v>49.5</v>
      </c>
      <c r="W131" s="30" t="str">
        <f t="shared" si="7"/>
        <v>Cambio Calado</v>
      </c>
      <c r="X131" s="31">
        <f t="shared" si="8"/>
        <v>46321</v>
      </c>
      <c r="Y131" s="30">
        <f>IF($W131="Cambio Calado",COUNTIF($W$14:W131,"Cambio Calado"),"")</f>
        <v>9</v>
      </c>
      <c r="Z131" s="31">
        <f t="shared" si="9"/>
        <v>46321</v>
      </c>
      <c r="AA131" s="30">
        <f t="shared" si="10"/>
        <v>49.5</v>
      </c>
      <c r="AB131" s="29">
        <f>IFERROR(LOOKUP($A131,$Z$14:$Z131,$AA$14:$AA131),$U131)</f>
        <v>49.5</v>
      </c>
      <c r="AC131" s="32">
        <f>IFERROR($A132-LOOKUP($A132,$Z$14:$Z131),"")</f>
        <v>1</v>
      </c>
      <c r="AD131" s="1" cm="1">
        <f t="array" ref="AD131">IF(B131&lt;&gt;"",80,_xludf.NA())</f>
        <v>80</v>
      </c>
    </row>
    <row r="132" spans="1:30">
      <c r="A132" s="22">
        <f t="shared" si="6"/>
        <v>46322</v>
      </c>
      <c r="B132" s="9">
        <f>+[1]Balance_Madden!A130</f>
        <v>46322</v>
      </c>
      <c r="C132" s="24">
        <f>+VLOOKUP(B132,[1]Balance_Madden!$A$12:$E$5000,2)</f>
        <v>245.608</v>
      </c>
      <c r="D132" s="25">
        <f>+VLOOKUP(B132,[1]Balance_Gatún!$A$13:$E$5087,2)</f>
        <v>84.48069759460833</v>
      </c>
      <c r="E132" s="24">
        <f>+VLOOKUP(B132,[1]Balance_Madden!$A$12:$E$5087,5)/35.32</f>
        <v>51.165090600226499</v>
      </c>
      <c r="F132" s="26">
        <f>+VLOOKUP(B132,[1]Balance_Gatún!$A$13:$E$5087,5)/35.32</f>
        <v>51.471659116647793</v>
      </c>
      <c r="G132" s="24">
        <f>+VLOOKUP(B132,[1]Balance_Madden!$A$12:$K$5087,9)/111</f>
        <v>2.7027027027027026</v>
      </c>
      <c r="H132" s="25">
        <f>+VLOOKUP(B132,[1]Balance_Gatún!$A$13:$U$5087,21)/186</f>
        <v>0</v>
      </c>
      <c r="I132" s="24">
        <f>+(VLOOKUP(B132,[1]Balance_Madden!$A$12:$K$5087,10)/35.32)+VLOOKUP(B132,[1]Balance_Madden!$A$12:$K$5087,11)/35.32</f>
        <v>0</v>
      </c>
      <c r="J132" s="25">
        <f>+VLOOKUP(B132,[1]Balance_Gatún!$A$13:$AD$5087,23)/35.32+ VLOOKUP(B132,[1]Balance_Gatún!$A$13:$AD$5087,17)/35.32</f>
        <v>0</v>
      </c>
      <c r="K132" s="24">
        <f>+VLOOKUP(B132,[1]Balance_Gatún!$A$13:$AC$5087,10)</f>
        <v>18</v>
      </c>
      <c r="L132" s="25" t="str">
        <f>+VLOOKUP(B132,[1]Balance_Gatún!$A$13:$AC$5087,11)</f>
        <v>XFILL_PMG100%</v>
      </c>
      <c r="M132" s="25">
        <f>+VLOOKUP(B132,[1]Balance_Gatún!$A$13:$AC$5087,12)</f>
        <v>10</v>
      </c>
      <c r="N132" s="25" t="str">
        <f>+VLOOKUP(B132,[1]Balance_Gatún!$A$13:$AC$5087,13)</f>
        <v>TA+CCL100%</v>
      </c>
      <c r="O132" s="25">
        <f>+VLOOKUP(B132,[1]Balance_Gatún!$A$13:$AC$5087,14)/408.7</f>
        <v>5.3432363116371233</v>
      </c>
      <c r="P132" s="24">
        <f>+VLOOKUP(B132,[1]Balance_Madden!$A$12:$V$5087,12)/35.32</f>
        <v>0.62063788511894302</v>
      </c>
      <c r="Q132" s="25">
        <f>+VLOOKUP(B132,[1]Balance_Gatún!$A$13:$AD$5087,15)/35.32</f>
        <v>5.2570122445727492</v>
      </c>
      <c r="R132" s="24">
        <f>+VLOOKUP(B132,[1]Balance_Madden!$A$12:$V$5087,14)/35.32</f>
        <v>21.368089753748613</v>
      </c>
      <c r="S132" s="26">
        <f>[1]Balance_Gatún!X131/35.32</f>
        <v>78.726482249275236</v>
      </c>
      <c r="T132" s="25">
        <v>43.717313470291721</v>
      </c>
      <c r="U132" s="25">
        <v>40.497187379686039</v>
      </c>
      <c r="V132" s="29">
        <f>LOOKUP(D132,[1]Parámetros!$A$7:$A$24,[1]Parámetros!$B$7:$B$24)</f>
        <v>49</v>
      </c>
      <c r="W132" s="30" t="str">
        <f t="shared" si="7"/>
        <v>Cambio Calado</v>
      </c>
      <c r="X132" s="31">
        <f t="shared" si="8"/>
        <v>46322</v>
      </c>
      <c r="Y132" s="30">
        <f>IF($W132="Cambio Calado",COUNTIF($W$14:W132,"Cambio Calado"),"")</f>
        <v>10</v>
      </c>
      <c r="Z132" s="31">
        <f t="shared" si="9"/>
        <v>46322</v>
      </c>
      <c r="AA132" s="30">
        <f t="shared" si="10"/>
        <v>49</v>
      </c>
      <c r="AB132" s="29">
        <f>IFERROR(LOOKUP($A132,$Z$14:$Z132,$AA$14:$AA132),$U132)</f>
        <v>49</v>
      </c>
      <c r="AC132" s="32">
        <f>IFERROR($A133-LOOKUP($A133,$Z$14:$Z132),"")</f>
        <v>1</v>
      </c>
      <c r="AD132" s="1" cm="1">
        <f t="array" ref="AD132">IF(B132&lt;&gt;"",80,_xludf.NA())</f>
        <v>80</v>
      </c>
    </row>
    <row r="133" spans="1:30">
      <c r="A133" s="22">
        <f t="shared" si="6"/>
        <v>46323</v>
      </c>
      <c r="B133" s="9">
        <f>+[1]Balance_Madden!A131</f>
        <v>46323</v>
      </c>
      <c r="C133" s="24">
        <f>+VLOOKUP(B133,[1]Balance_Madden!$A$12:$E$5000,2)</f>
        <v>245.79400000000001</v>
      </c>
      <c r="D133" s="25">
        <f>+VLOOKUP(B133,[1]Balance_Gatún!$A$13:$E$5087,2)</f>
        <v>84.468045641404032</v>
      </c>
      <c r="E133" s="24">
        <f>+VLOOKUP(B133,[1]Balance_Madden!$A$12:$E$5087,5)/35.32</f>
        <v>48.582559456398641</v>
      </c>
      <c r="F133" s="26">
        <f>+VLOOKUP(B133,[1]Balance_Gatún!$A$13:$E$5087,5)/35.32</f>
        <v>44.554246885617211</v>
      </c>
      <c r="G133" s="24">
        <f>+VLOOKUP(B133,[1]Balance_Madden!$A$12:$K$5087,9)/111</f>
        <v>2.7027027027027026</v>
      </c>
      <c r="H133" s="25">
        <f>+VLOOKUP(B133,[1]Balance_Gatún!$A$13:$U$5087,21)/186</f>
        <v>0</v>
      </c>
      <c r="I133" s="24">
        <f>+(VLOOKUP(B133,[1]Balance_Madden!$A$12:$K$5087,10)/35.32)+VLOOKUP(B133,[1]Balance_Madden!$A$12:$K$5087,11)/35.32</f>
        <v>0</v>
      </c>
      <c r="J133" s="25">
        <f>+VLOOKUP(B133,[1]Balance_Gatún!$A$13:$AD$5087,23)/35.32+ VLOOKUP(B133,[1]Balance_Gatún!$A$13:$AD$5087,17)/35.32</f>
        <v>0</v>
      </c>
      <c r="K133" s="24">
        <f>+VLOOKUP(B133,[1]Balance_Gatún!$A$13:$AC$5087,10)</f>
        <v>18</v>
      </c>
      <c r="L133" s="25" t="str">
        <f>+VLOOKUP(B133,[1]Balance_Gatún!$A$13:$AC$5087,11)</f>
        <v>XFILL_PMG100%</v>
      </c>
      <c r="M133" s="25">
        <f>+VLOOKUP(B133,[1]Balance_Gatún!$A$13:$AC$5087,12)</f>
        <v>10</v>
      </c>
      <c r="N133" s="25" t="str">
        <f>+VLOOKUP(B133,[1]Balance_Gatún!$A$13:$AC$5087,13)</f>
        <v>TA+CCL100%</v>
      </c>
      <c r="O133" s="25">
        <f>+VLOOKUP(B133,[1]Balance_Gatún!$A$13:$AC$5087,14)/408.7</f>
        <v>5.3412607249908834</v>
      </c>
      <c r="P133" s="24">
        <f>+VLOOKUP(B133,[1]Balance_Madden!$A$12:$V$5087,12)/35.32</f>
        <v>1.2807619984054353</v>
      </c>
      <c r="Q133" s="25">
        <f>+VLOOKUP(B133,[1]Balance_Gatún!$A$13:$AD$5087,15)/35.32</f>
        <v>10.821587252395485</v>
      </c>
      <c r="R133" s="24">
        <f>+VLOOKUP(B133,[1]Balance_Madden!$A$12:$V$5087,14)/35.32</f>
        <v>22.028213867035102</v>
      </c>
      <c r="S133" s="26">
        <f>[1]Balance_Gatún!X132/35.32</f>
        <v>84.268197057145599</v>
      </c>
      <c r="T133" s="25">
        <v>94.845521073450229</v>
      </c>
      <c r="U133" s="25">
        <v>44.838127189272456</v>
      </c>
      <c r="V133" s="29">
        <f>LOOKUP(D133,[1]Parámetros!$A$7:$A$24,[1]Parámetros!$B$7:$B$24)</f>
        <v>49</v>
      </c>
      <c r="W133" s="30" t="str">
        <f t="shared" si="7"/>
        <v/>
      </c>
      <c r="X133" s="31" t="str">
        <f t="shared" si="8"/>
        <v/>
      </c>
      <c r="Y133" s="30" t="str">
        <f>IF($W133="Cambio Calado",COUNTIF($W$14:W133,"Cambio Calado"),"")</f>
        <v/>
      </c>
      <c r="Z133" s="31" t="str">
        <f t="shared" si="9"/>
        <v/>
      </c>
      <c r="AA133" s="30" t="str">
        <f t="shared" si="10"/>
        <v/>
      </c>
      <c r="AB133" s="29">
        <f>IFERROR(LOOKUP($A133,$Z$14:$Z133,$AA$14:$AA133),$U133)</f>
        <v>49</v>
      </c>
      <c r="AC133" s="32">
        <f>IFERROR($A134-LOOKUP($A134,$Z$14:$Z133),"")</f>
        <v>2</v>
      </c>
      <c r="AD133" s="1" cm="1">
        <f t="array" ref="AD133">IF(B133&lt;&gt;"",80,_xludf.NA())</f>
        <v>80</v>
      </c>
    </row>
    <row r="134" spans="1:30">
      <c r="A134" s="22">
        <f t="shared" si="6"/>
        <v>46324</v>
      </c>
      <c r="B134" s="9">
        <f>+[1]Balance_Madden!A132</f>
        <v>46324</v>
      </c>
      <c r="C134" s="24">
        <f>+VLOOKUP(B134,[1]Balance_Madden!$A$12:$E$5000,2)</f>
        <v>245.96</v>
      </c>
      <c r="D134" s="25">
        <f>+VLOOKUP(B134,[1]Balance_Gatún!$A$13:$E$5087,2)</f>
        <v>84.446987135297491</v>
      </c>
      <c r="E134" s="24">
        <f>+VLOOKUP(B134,[1]Balance_Madden!$A$12:$E$5087,5)/35.32</f>
        <v>45.838618346545864</v>
      </c>
      <c r="F134" s="26">
        <f>+VLOOKUP(B134,[1]Balance_Gatún!$A$13:$E$5087,5)/35.32</f>
        <v>43.533097395243487</v>
      </c>
      <c r="G134" s="24">
        <f>+VLOOKUP(B134,[1]Balance_Madden!$A$12:$K$5087,9)/111</f>
        <v>2.7027027027027026</v>
      </c>
      <c r="H134" s="25">
        <f>+VLOOKUP(B134,[1]Balance_Gatún!$A$13:$U$5087,21)/186</f>
        <v>0</v>
      </c>
      <c r="I134" s="24">
        <f>+(VLOOKUP(B134,[1]Balance_Madden!$A$12:$K$5087,10)/35.32)+VLOOKUP(B134,[1]Balance_Madden!$A$12:$K$5087,11)/35.32</f>
        <v>0</v>
      </c>
      <c r="J134" s="25">
        <f>+VLOOKUP(B134,[1]Balance_Gatún!$A$13:$AD$5087,23)/35.32+ VLOOKUP(B134,[1]Balance_Gatún!$A$13:$AD$5087,17)/35.32</f>
        <v>0</v>
      </c>
      <c r="K134" s="24">
        <f>+VLOOKUP(B134,[1]Balance_Gatún!$A$13:$AC$5087,10)</f>
        <v>18</v>
      </c>
      <c r="L134" s="25" t="str">
        <f>+VLOOKUP(B134,[1]Balance_Gatún!$A$13:$AC$5087,11)</f>
        <v>XFILL_PMG100%</v>
      </c>
      <c r="M134" s="25">
        <f>+VLOOKUP(B134,[1]Balance_Gatún!$A$13:$AC$5087,12)</f>
        <v>10</v>
      </c>
      <c r="N134" s="25" t="str">
        <f>+VLOOKUP(B134,[1]Balance_Gatún!$A$13:$AC$5087,13)</f>
        <v>TA+CCL100%</v>
      </c>
      <c r="O134" s="25">
        <f>+VLOOKUP(B134,[1]Balance_Gatún!$A$13:$AC$5087,14)/408.7</f>
        <v>5.3379724656381917</v>
      </c>
      <c r="P134" s="24">
        <f>+VLOOKUP(B134,[1]Balance_Madden!$A$12:$V$5087,12)/35.32</f>
        <v>1.1759847918461122</v>
      </c>
      <c r="Q134" s="25">
        <f>+VLOOKUP(B134,[1]Balance_Gatún!$A$13:$AD$5087,15)/35.32</f>
        <v>9.9130884446850498</v>
      </c>
      <c r="R134" s="24">
        <f>+VLOOKUP(B134,[1]Balance_Madden!$A$12:$V$5087,14)/35.32</f>
        <v>21.923436660475783</v>
      </c>
      <c r="S134" s="26">
        <f>[1]Balance_Gatún!X133/35.32</f>
        <v>83.321648657208513</v>
      </c>
      <c r="T134" s="25">
        <v>85.908200429490464</v>
      </c>
      <c r="U134" s="25">
        <v>40.291184593691185</v>
      </c>
      <c r="V134" s="29">
        <f>LOOKUP(D134,[1]Parámetros!$A$7:$A$24,[1]Parámetros!$B$7:$B$24)</f>
        <v>49</v>
      </c>
      <c r="W134" s="30" t="str">
        <f t="shared" si="7"/>
        <v/>
      </c>
      <c r="X134" s="31" t="str">
        <f t="shared" si="8"/>
        <v/>
      </c>
      <c r="Y134" s="30" t="str">
        <f>IF($W134="Cambio Calado",COUNTIF($W$14:W134,"Cambio Calado"),"")</f>
        <v/>
      </c>
      <c r="Z134" s="31" t="str">
        <f t="shared" si="9"/>
        <v/>
      </c>
      <c r="AA134" s="30" t="str">
        <f t="shared" si="10"/>
        <v/>
      </c>
      <c r="AB134" s="29">
        <f>IFERROR(LOOKUP($A134,$Z$14:$Z134,$AA$14:$AA134),$U134)</f>
        <v>49</v>
      </c>
      <c r="AC134" s="32">
        <f>IFERROR($A135-LOOKUP($A135,$Z$14:$Z134),"")</f>
        <v>3</v>
      </c>
      <c r="AD134" s="1" cm="1">
        <f t="array" ref="AD134">IF(B134&lt;&gt;"",80,_xludf.NA())</f>
        <v>80</v>
      </c>
    </row>
    <row r="135" spans="1:30">
      <c r="A135" s="22">
        <f t="shared" si="6"/>
        <v>46325</v>
      </c>
      <c r="B135" s="9">
        <f>+[1]Balance_Madden!A133</f>
        <v>46325</v>
      </c>
      <c r="C135" s="24">
        <f>+VLOOKUP(B135,[1]Balance_Madden!$A$12:$E$5000,2)</f>
        <v>246.10900000000001</v>
      </c>
      <c r="D135" s="25">
        <f>+VLOOKUP(B135,[1]Balance_Gatún!$A$13:$E$5087,2)</f>
        <v>84.425872726758939</v>
      </c>
      <c r="E135" s="24">
        <f>+VLOOKUP(B135,[1]Balance_Madden!$A$12:$E$5087,5)/35.32</f>
        <v>43.578907134767839</v>
      </c>
      <c r="F135" s="26">
        <f>+VLOOKUP(B135,[1]Balance_Gatún!$A$13:$E$5087,5)/35.32</f>
        <v>39.744988674971687</v>
      </c>
      <c r="G135" s="24">
        <f>+VLOOKUP(B135,[1]Balance_Madden!$A$12:$K$5087,9)/111</f>
        <v>2.7027027027027026</v>
      </c>
      <c r="H135" s="25">
        <f>+VLOOKUP(B135,[1]Balance_Gatún!$A$13:$U$5087,21)/186</f>
        <v>0</v>
      </c>
      <c r="I135" s="24">
        <f>+(VLOOKUP(B135,[1]Balance_Madden!$A$12:$K$5087,10)/35.32)+VLOOKUP(B135,[1]Balance_Madden!$A$12:$K$5087,11)/35.32</f>
        <v>0</v>
      </c>
      <c r="J135" s="25">
        <f>+VLOOKUP(B135,[1]Balance_Gatún!$A$13:$AD$5087,23)/35.32+ VLOOKUP(B135,[1]Balance_Gatún!$A$13:$AD$5087,17)/35.32</f>
        <v>0</v>
      </c>
      <c r="K135" s="24">
        <f>+VLOOKUP(B135,[1]Balance_Gatún!$A$13:$AC$5087,10)</f>
        <v>18</v>
      </c>
      <c r="L135" s="25" t="str">
        <f>+VLOOKUP(B135,[1]Balance_Gatún!$A$13:$AC$5087,11)</f>
        <v>XFILL_PMG100%</v>
      </c>
      <c r="M135" s="25">
        <f>+VLOOKUP(B135,[1]Balance_Gatún!$A$13:$AC$5087,12)</f>
        <v>10</v>
      </c>
      <c r="N135" s="25" t="str">
        <f>+VLOOKUP(B135,[1]Balance_Gatún!$A$13:$AC$5087,13)</f>
        <v>TA+CCL100%</v>
      </c>
      <c r="O135" s="25">
        <f>+VLOOKUP(B135,[1]Balance_Gatún!$A$13:$AC$5087,14)/408.7</f>
        <v>5.3346754771907632</v>
      </c>
      <c r="P135" s="24">
        <f>+VLOOKUP(B135,[1]Balance_Madden!$A$12:$V$5087,12)/35.32</f>
        <v>0.9379206533799449</v>
      </c>
      <c r="Q135" s="25">
        <f>+VLOOKUP(B135,[1]Balance_Gatún!$A$13:$AD$5087,15)/35.32</f>
        <v>7.8895219566846748</v>
      </c>
      <c r="R135" s="24">
        <f>+VLOOKUP(B135,[1]Balance_Madden!$A$12:$V$5087,14)/35.32</f>
        <v>21.685372522009615</v>
      </c>
      <c r="S135" s="26">
        <f>[1]Balance_Gatún!X134/35.32</f>
        <v>81.259931569591387</v>
      </c>
      <c r="T135" s="25">
        <v>40.034455211041333</v>
      </c>
      <c r="U135" s="25">
        <v>39.557654685497894</v>
      </c>
      <c r="V135" s="29">
        <f>LOOKUP(D135,[1]Parámetros!$A$7:$A$24,[1]Parámetros!$B$7:$B$24)</f>
        <v>49</v>
      </c>
      <c r="W135" s="30" t="str">
        <f t="shared" si="7"/>
        <v/>
      </c>
      <c r="X135" s="31" t="str">
        <f t="shared" si="8"/>
        <v/>
      </c>
      <c r="Y135" s="30" t="str">
        <f>IF($W135="Cambio Calado",COUNTIF($W$14:W135,"Cambio Calado"),"")</f>
        <v/>
      </c>
      <c r="Z135" s="31" t="str">
        <f t="shared" si="9"/>
        <v/>
      </c>
      <c r="AA135" s="30" t="str">
        <f t="shared" si="10"/>
        <v/>
      </c>
      <c r="AB135" s="29">
        <f>IFERROR(LOOKUP($A135,$Z$14:$Z135,$AA$14:$AA135),$U135)</f>
        <v>49</v>
      </c>
      <c r="AC135" s="32">
        <f>IFERROR($A136-LOOKUP($A136,$Z$14:$Z135),"")</f>
        <v>4</v>
      </c>
      <c r="AD135" s="1" cm="1">
        <f t="array" ref="AD135">IF(B135&lt;&gt;"",80,_xludf.NA())</f>
        <v>80</v>
      </c>
    </row>
    <row r="136" spans="1:30">
      <c r="A136" s="22">
        <f t="shared" si="6"/>
        <v>46326</v>
      </c>
      <c r="B136" s="9">
        <f>+[1]Balance_Madden!A134</f>
        <v>46326</v>
      </c>
      <c r="C136" s="24">
        <f>+VLOOKUP(B136,[1]Balance_Madden!$A$12:$E$5000,2)</f>
        <v>246.245</v>
      </c>
      <c r="D136" s="25">
        <f>+VLOOKUP(B136,[1]Balance_Gatún!$A$13:$E$5087,2)</f>
        <v>84.403587466289849</v>
      </c>
      <c r="E136" s="24">
        <f>+VLOOKUP(B136,[1]Balance_Madden!$A$12:$E$5087,5)/35.32</f>
        <v>36.911381653454136</v>
      </c>
      <c r="F136" s="26">
        <f>+VLOOKUP(B136,[1]Balance_Gatún!$A$13:$E$5087,5)/35.32</f>
        <v>46.340430351075874</v>
      </c>
      <c r="G136" s="24">
        <f>+VLOOKUP(B136,[1]Balance_Madden!$A$12:$K$5087,9)/111</f>
        <v>2.7027027027027026</v>
      </c>
      <c r="H136" s="25">
        <f>+VLOOKUP(B136,[1]Balance_Gatún!$A$13:$U$5087,21)/186</f>
        <v>0</v>
      </c>
      <c r="I136" s="24">
        <f>+(VLOOKUP(B136,[1]Balance_Madden!$A$12:$K$5087,10)/35.32)+VLOOKUP(B136,[1]Balance_Madden!$A$12:$K$5087,11)/35.32</f>
        <v>0</v>
      </c>
      <c r="J136" s="25">
        <f>+VLOOKUP(B136,[1]Balance_Gatún!$A$13:$AD$5087,23)/35.32+ VLOOKUP(B136,[1]Balance_Gatún!$A$13:$AD$5087,17)/35.32</f>
        <v>0</v>
      </c>
      <c r="K136" s="24">
        <f>+VLOOKUP(B136,[1]Balance_Gatún!$A$13:$AC$5087,10)</f>
        <v>18</v>
      </c>
      <c r="L136" s="25" t="str">
        <f>+VLOOKUP(B136,[1]Balance_Gatún!$A$13:$AC$5087,11)</f>
        <v>XFILL_PMG100%</v>
      </c>
      <c r="M136" s="25">
        <f>+VLOOKUP(B136,[1]Balance_Gatún!$A$13:$AC$5087,12)</f>
        <v>10</v>
      </c>
      <c r="N136" s="25" t="str">
        <f>+VLOOKUP(B136,[1]Balance_Gatún!$A$13:$AC$5087,13)</f>
        <v>TA+CCL100%</v>
      </c>
      <c r="O136" s="25">
        <f>+VLOOKUP(B136,[1]Balance_Gatún!$A$13:$AC$5087,14)/408.7</f>
        <v>5.331195661680872</v>
      </c>
      <c r="P136" s="24">
        <f>+VLOOKUP(B136,[1]Balance_Madden!$A$12:$V$5087,12)/35.32</f>
        <v>1.5212381849254628</v>
      </c>
      <c r="Q136" s="25">
        <f>+VLOOKUP(B136,[1]Balance_Gatún!$A$13:$AD$5087,15)/35.32</f>
        <v>12.770962371238742</v>
      </c>
      <c r="R136" s="24">
        <f>+VLOOKUP(B136,[1]Balance_Madden!$A$12:$V$5087,14)/35.32</f>
        <v>22.268690053555133</v>
      </c>
      <c r="S136" s="26">
        <f>[1]Balance_Gatún!X135/35.32</f>
        <v>86.101105829023908</v>
      </c>
      <c r="T136" s="25">
        <v>154.68412596180875</v>
      </c>
      <c r="U136" s="25">
        <v>56.949022130690039</v>
      </c>
      <c r="V136" s="29">
        <f>LOOKUP(D136,[1]Parámetros!$A$7:$A$24,[1]Parámetros!$B$7:$B$24)</f>
        <v>49</v>
      </c>
      <c r="W136" s="30" t="str">
        <f t="shared" si="7"/>
        <v/>
      </c>
      <c r="X136" s="31" t="str">
        <f t="shared" si="8"/>
        <v/>
      </c>
      <c r="Y136" s="30" t="str">
        <f>IF($W136="Cambio Calado",COUNTIF($W$14:W136,"Cambio Calado"),"")</f>
        <v/>
      </c>
      <c r="Z136" s="31" t="str">
        <f t="shared" si="9"/>
        <v/>
      </c>
      <c r="AA136" s="30" t="str">
        <f t="shared" si="10"/>
        <v/>
      </c>
      <c r="AB136" s="29">
        <f>IFERROR(LOOKUP($A136,$Z$14:$Z136,$AA$14:$AA136),$U136)</f>
        <v>49</v>
      </c>
      <c r="AC136" s="32">
        <f>IFERROR($A137-LOOKUP($A137,$Z$14:$Z136),"")</f>
        <v>5</v>
      </c>
      <c r="AD136" s="1" cm="1">
        <f t="array" ref="AD136">IF(B136&lt;&gt;"",80,_xludf.NA())</f>
        <v>80</v>
      </c>
    </row>
    <row r="137" spans="1:30">
      <c r="A137" s="22">
        <f t="shared" si="6"/>
        <v>46327</v>
      </c>
      <c r="B137" s="9">
        <f>+[1]Balance_Madden!A135</f>
        <v>46327</v>
      </c>
      <c r="C137" s="24">
        <f>+VLOOKUP(B137,[1]Balance_Madden!$A$12:$E$5000,2)</f>
        <v>246.33600000000001</v>
      </c>
      <c r="D137" s="25">
        <f>+VLOOKUP(B137,[1]Balance_Gatún!$A$13:$E$5087,2)</f>
        <v>84.382480376878092</v>
      </c>
      <c r="E137" s="24">
        <f>+VLOOKUP(B137,[1]Balance_Madden!$A$12:$E$5087,5)/35.32</f>
        <v>64.293856172140423</v>
      </c>
      <c r="F137" s="26">
        <f>+VLOOKUP(B137,[1]Balance_Gatún!$A$13:$E$5087,5)/35.32</f>
        <v>55.560843714609291</v>
      </c>
      <c r="G137" s="24">
        <f>+VLOOKUP(B137,[1]Balance_Madden!$A$12:$K$5087,9)/111</f>
        <v>2.7027027027027026</v>
      </c>
      <c r="H137" s="25">
        <f>+VLOOKUP(B137,[1]Balance_Gatún!$A$13:$U$5087,21)/186</f>
        <v>0</v>
      </c>
      <c r="I137" s="24">
        <f>+(VLOOKUP(B137,[1]Balance_Madden!$A$12:$K$5087,10)/35.32)+VLOOKUP(B137,[1]Balance_Madden!$A$12:$K$5087,11)/35.32</f>
        <v>0</v>
      </c>
      <c r="J137" s="25">
        <f>+VLOOKUP(B137,[1]Balance_Gatún!$A$13:$AD$5087,23)/35.32+ VLOOKUP(B137,[1]Balance_Gatún!$A$13:$AD$5087,17)/35.32</f>
        <v>0</v>
      </c>
      <c r="K137" s="24">
        <f>+VLOOKUP(B137,[1]Balance_Gatún!$A$13:$AC$5087,10)</f>
        <v>18</v>
      </c>
      <c r="L137" s="25" t="str">
        <f>+VLOOKUP(B137,[1]Balance_Gatún!$A$13:$AC$5087,11)</f>
        <v>XFILL_PMG100%</v>
      </c>
      <c r="M137" s="25">
        <f>+VLOOKUP(B137,[1]Balance_Gatún!$A$13:$AC$5087,12)</f>
        <v>10</v>
      </c>
      <c r="N137" s="25" t="str">
        <f>+VLOOKUP(B137,[1]Balance_Gatún!$A$13:$AC$5087,13)</f>
        <v>TA+CCL100%</v>
      </c>
      <c r="O137" s="25">
        <f>+VLOOKUP(B137,[1]Balance_Gatún!$A$13:$AC$5087,14)/408.7</f>
        <v>5.3278998161059246</v>
      </c>
      <c r="P137" s="24">
        <f>+VLOOKUP(B137,[1]Balance_Madden!$A$12:$V$5087,12)/35.32</f>
        <v>1.4961735590186176</v>
      </c>
      <c r="Q137" s="25">
        <f>+VLOOKUP(B137,[1]Balance_Gatún!$A$13:$AD$5087,15)/35.32</f>
        <v>12.542963855743523</v>
      </c>
      <c r="R137" s="24">
        <f>+VLOOKUP(B137,[1]Balance_Madden!$A$12:$V$5087,14)/35.32</f>
        <v>22.24362542764829</v>
      </c>
      <c r="S137" s="26">
        <f>[1]Balance_Gatún!X136/35.32</f>
        <v>85.834969938486779</v>
      </c>
      <c r="T137" s="25">
        <v>134.47879779015221</v>
      </c>
      <c r="U137" s="25">
        <v>45.026535618167458</v>
      </c>
      <c r="V137" s="29">
        <f>LOOKUP(D137,[1]Parámetros!$A$7:$A$24,[1]Parámetros!$B$7:$B$24)</f>
        <v>49</v>
      </c>
      <c r="W137" s="30" t="str">
        <f t="shared" si="7"/>
        <v/>
      </c>
      <c r="X137" s="31" t="str">
        <f t="shared" si="8"/>
        <v/>
      </c>
      <c r="Y137" s="30" t="str">
        <f>IF($W137="Cambio Calado",COUNTIF($W$14:W137,"Cambio Calado"),"")</f>
        <v/>
      </c>
      <c r="Z137" s="31" t="str">
        <f t="shared" si="9"/>
        <v/>
      </c>
      <c r="AA137" s="30" t="str">
        <f t="shared" si="10"/>
        <v/>
      </c>
      <c r="AB137" s="29">
        <f>IFERROR(LOOKUP($A137,$Z$14:$Z137,$AA$14:$AA137),$U137)</f>
        <v>49</v>
      </c>
      <c r="AC137" s="32">
        <f>IFERROR($A138-LOOKUP($A138,$Z$14:$Z137),"")</f>
        <v>6</v>
      </c>
      <c r="AD137" s="1" cm="1">
        <f t="array" ref="AD137">IF(B137&lt;&gt;"",80,_xludf.NA())</f>
        <v>80</v>
      </c>
    </row>
    <row r="138" spans="1:30">
      <c r="A138" s="22">
        <f t="shared" si="6"/>
        <v>46328</v>
      </c>
      <c r="B138" s="9">
        <f>+[1]Balance_Madden!A136</f>
        <v>46328</v>
      </c>
      <c r="C138" s="24">
        <f>+VLOOKUP(B138,[1]Balance_Madden!$A$12:$E$5000,2)</f>
        <v>246.59800000000001</v>
      </c>
      <c r="D138" s="25">
        <f>+VLOOKUP(B138,[1]Balance_Gatún!$A$13:$E$5087,2)</f>
        <v>84.367773988702766</v>
      </c>
      <c r="E138" s="24">
        <f>+VLOOKUP(B138,[1]Balance_Madden!$A$12:$E$5087,5)/35.32</f>
        <v>112.39493204983013</v>
      </c>
      <c r="F138" s="26">
        <f>+VLOOKUP(B138,[1]Balance_Gatún!$A$13:$E$5087,5)/35.32</f>
        <v>84.937712344280854</v>
      </c>
      <c r="G138" s="24">
        <f>+VLOOKUP(B138,[1]Balance_Madden!$A$12:$K$5087,9)/111</f>
        <v>2.7027027027027026</v>
      </c>
      <c r="H138" s="25">
        <f>+VLOOKUP(B138,[1]Balance_Gatún!$A$13:$U$5087,21)/186</f>
        <v>0</v>
      </c>
      <c r="I138" s="24">
        <f>+(VLOOKUP(B138,[1]Balance_Madden!$A$12:$K$5087,10)/35.32)+VLOOKUP(B138,[1]Balance_Madden!$A$12:$K$5087,11)/35.32</f>
        <v>0</v>
      </c>
      <c r="J138" s="25">
        <f>+VLOOKUP(B138,[1]Balance_Gatún!$A$13:$AD$5087,23)/35.32+ VLOOKUP(B138,[1]Balance_Gatún!$A$13:$AD$5087,17)/35.32</f>
        <v>0</v>
      </c>
      <c r="K138" s="24">
        <f>+VLOOKUP(B138,[1]Balance_Gatún!$A$13:$AC$5087,10)</f>
        <v>18</v>
      </c>
      <c r="L138" s="25" t="str">
        <f>+VLOOKUP(B138,[1]Balance_Gatún!$A$13:$AC$5087,11)</f>
        <v>XFILL_PMG100%</v>
      </c>
      <c r="M138" s="25">
        <f>+VLOOKUP(B138,[1]Balance_Gatún!$A$13:$AC$5087,12)</f>
        <v>10</v>
      </c>
      <c r="N138" s="25" t="str">
        <f>+VLOOKUP(B138,[1]Balance_Gatún!$A$13:$AC$5087,13)</f>
        <v>TA+CCL100%</v>
      </c>
      <c r="O138" s="25">
        <f>+VLOOKUP(B138,[1]Balance_Gatún!$A$13:$AC$5087,14)/408.7</f>
        <v>5.3256034320121435</v>
      </c>
      <c r="P138" s="24">
        <f>+VLOOKUP(B138,[1]Balance_Madden!$A$12:$V$5087,12)/35.32</f>
        <v>1.3029863399431698</v>
      </c>
      <c r="Q138" s="25">
        <f>+VLOOKUP(B138,[1]Balance_Gatún!$A$13:$AD$5087,15)/35.32</f>
        <v>10.885893195820735</v>
      </c>
      <c r="R138" s="24">
        <f>+VLOOKUP(B138,[1]Balance_Madden!$A$12:$V$5087,14)/35.32</f>
        <v>22.050438208572839</v>
      </c>
      <c r="S138" s="26">
        <f>[1]Balance_Gatún!X137/35.32</f>
        <v>84.151327019811774</v>
      </c>
      <c r="T138" s="25">
        <v>147.32603309026803</v>
      </c>
      <c r="U138" s="25">
        <v>108.19965762334256</v>
      </c>
      <c r="V138" s="29">
        <f>LOOKUP(D138,[1]Parámetros!$A$7:$A$24,[1]Parámetros!$B$7:$B$24)</f>
        <v>49</v>
      </c>
      <c r="W138" s="30" t="str">
        <f t="shared" si="7"/>
        <v/>
      </c>
      <c r="X138" s="31" t="str">
        <f t="shared" si="8"/>
        <v/>
      </c>
      <c r="Y138" s="30" t="str">
        <f>IF($W138="Cambio Calado",COUNTIF($W$14:W138,"Cambio Calado"),"")</f>
        <v/>
      </c>
      <c r="Z138" s="31" t="str">
        <f t="shared" si="9"/>
        <v/>
      </c>
      <c r="AA138" s="30" t="str">
        <f t="shared" si="10"/>
        <v/>
      </c>
      <c r="AB138" s="29">
        <f>IFERROR(LOOKUP($A138,$Z$14:$Z138,$AA$14:$AA138),$U138)</f>
        <v>49</v>
      </c>
      <c r="AC138" s="32">
        <f>IFERROR($A139-LOOKUP($A139,$Z$14:$Z138),"")</f>
        <v>7</v>
      </c>
      <c r="AD138" s="1" cm="1">
        <f t="array" ref="AD138">IF(B138&lt;&gt;"",80,_xludf.NA())</f>
        <v>80</v>
      </c>
    </row>
    <row r="139" spans="1:30">
      <c r="A139" s="22">
        <f t="shared" si="6"/>
        <v>46329</v>
      </c>
      <c r="B139" s="9">
        <f>+[1]Balance_Madden!A137</f>
        <v>46329</v>
      </c>
      <c r="C139" s="24">
        <f>+VLOOKUP(B139,[1]Balance_Madden!$A$12:$E$5000,2)</f>
        <v>247.16300000000001</v>
      </c>
      <c r="D139" s="25">
        <f>+VLOOKUP(B139,[1]Balance_Gatún!$A$13:$E$5087,2)</f>
        <v>84.374040406966159</v>
      </c>
      <c r="E139" s="24">
        <f>+VLOOKUP(B139,[1]Balance_Madden!$A$12:$E$5087,5)/35.32</f>
        <v>57.508805209513021</v>
      </c>
      <c r="F139" s="26">
        <f>+VLOOKUP(B139,[1]Balance_Gatún!$A$13:$E$5087,5)/35.32</f>
        <v>56.625141562853905</v>
      </c>
      <c r="G139" s="24">
        <f>+VLOOKUP(B139,[1]Balance_Madden!$A$12:$K$5087,9)/111</f>
        <v>2.7027027027027026</v>
      </c>
      <c r="H139" s="25">
        <f>+VLOOKUP(B139,[1]Balance_Gatún!$A$13:$U$5087,21)/186</f>
        <v>0</v>
      </c>
      <c r="I139" s="24">
        <f>+(VLOOKUP(B139,[1]Balance_Madden!$A$12:$K$5087,10)/35.32)+VLOOKUP(B139,[1]Balance_Madden!$A$12:$K$5087,11)/35.32</f>
        <v>0</v>
      </c>
      <c r="J139" s="25">
        <f>+VLOOKUP(B139,[1]Balance_Gatún!$A$13:$AD$5087,23)/35.32+ VLOOKUP(B139,[1]Balance_Gatún!$A$13:$AD$5087,17)/35.32</f>
        <v>0</v>
      </c>
      <c r="K139" s="24">
        <f>+VLOOKUP(B139,[1]Balance_Gatún!$A$13:$AC$5087,10)</f>
        <v>18</v>
      </c>
      <c r="L139" s="25" t="str">
        <f>+VLOOKUP(B139,[1]Balance_Gatún!$A$13:$AC$5087,11)</f>
        <v>XFILL_PMG100%</v>
      </c>
      <c r="M139" s="25">
        <f>+VLOOKUP(B139,[1]Balance_Gatún!$A$13:$AC$5087,12)</f>
        <v>10</v>
      </c>
      <c r="N139" s="25" t="str">
        <f>+VLOOKUP(B139,[1]Balance_Gatún!$A$13:$AC$5087,13)</f>
        <v>TA+CCL100%</v>
      </c>
      <c r="O139" s="25">
        <f>+VLOOKUP(B139,[1]Balance_Gatún!$A$13:$AC$5087,14)/408.7</f>
        <v>5.3265819253752635</v>
      </c>
      <c r="P139" s="24">
        <f>+VLOOKUP(B139,[1]Balance_Madden!$A$12:$V$5087,12)/35.32</f>
        <v>1.8056246432114291</v>
      </c>
      <c r="Q139" s="25">
        <f>+VLOOKUP(B139,[1]Balance_Gatún!$A$13:$AD$5087,15)/35.32</f>
        <v>14.981292686674825</v>
      </c>
      <c r="R139" s="24">
        <f>+VLOOKUP(B139,[1]Balance_Madden!$A$12:$V$5087,14)/35.32</f>
        <v>22.553076511841098</v>
      </c>
      <c r="S139" s="26">
        <f>[1]Balance_Gatún!X138/35.32</f>
        <v>88.258048997571493</v>
      </c>
      <c r="T139" s="25">
        <v>153.71348700386881</v>
      </c>
      <c r="U139" s="25">
        <v>72.267083988264702</v>
      </c>
      <c r="V139" s="29">
        <f>LOOKUP(D139,[1]Parámetros!$A$7:$A$24,[1]Parámetros!$B$7:$B$24)</f>
        <v>49</v>
      </c>
      <c r="W139" s="30" t="str">
        <f t="shared" si="7"/>
        <v/>
      </c>
      <c r="X139" s="31" t="str">
        <f t="shared" si="8"/>
        <v/>
      </c>
      <c r="Y139" s="30" t="str">
        <f>IF($W139="Cambio Calado",COUNTIF($W$14:W139,"Cambio Calado"),"")</f>
        <v/>
      </c>
      <c r="Z139" s="31" t="str">
        <f t="shared" si="9"/>
        <v/>
      </c>
      <c r="AA139" s="30" t="str">
        <f t="shared" si="10"/>
        <v/>
      </c>
      <c r="AB139" s="29">
        <f>IFERROR(LOOKUP($A139,$Z$14:$Z139,$AA$14:$AA139),$U139)</f>
        <v>49</v>
      </c>
      <c r="AC139" s="32">
        <f>IFERROR($A140-LOOKUP($A140,$Z$14:$Z139),"")</f>
        <v>8</v>
      </c>
      <c r="AD139" s="1" cm="1">
        <f t="array" ref="AD139">IF(B139&lt;&gt;"",80,_xludf.NA())</f>
        <v>80</v>
      </c>
    </row>
    <row r="140" spans="1:30">
      <c r="A140" s="22">
        <f t="shared" si="6"/>
        <v>46330</v>
      </c>
      <c r="B140" s="9">
        <f>+[1]Balance_Madden!A138</f>
        <v>46330</v>
      </c>
      <c r="C140" s="24">
        <f>+VLOOKUP(B140,[1]Balance_Madden!$A$12:$E$5000,2)</f>
        <v>247.381</v>
      </c>
      <c r="D140" s="25">
        <f>+VLOOKUP(B140,[1]Balance_Gatún!$A$13:$E$5087,2)</f>
        <v>84.358414805947703</v>
      </c>
      <c r="E140" s="24">
        <f>+VLOOKUP(B140,[1]Balance_Madden!$A$12:$E$5087,5)/35.32</f>
        <v>46.483125707814274</v>
      </c>
      <c r="F140" s="26">
        <f>+VLOOKUP(B140,[1]Balance_Gatún!$A$13:$E$5087,5)/35.32</f>
        <v>113.25028312570781</v>
      </c>
      <c r="G140" s="24">
        <f>+VLOOKUP(B140,[1]Balance_Madden!$A$12:$K$5087,9)/111</f>
        <v>2.7027027027027026</v>
      </c>
      <c r="H140" s="25">
        <f>+VLOOKUP(B140,[1]Balance_Gatún!$A$13:$U$5087,21)/186</f>
        <v>0</v>
      </c>
      <c r="I140" s="24">
        <f>+(VLOOKUP(B140,[1]Balance_Madden!$A$12:$K$5087,10)/35.32)+VLOOKUP(B140,[1]Balance_Madden!$A$12:$K$5087,11)/35.32</f>
        <v>0</v>
      </c>
      <c r="J140" s="25">
        <f>+VLOOKUP(B140,[1]Balance_Gatún!$A$13:$AD$5087,23)/35.32+ VLOOKUP(B140,[1]Balance_Gatún!$A$13:$AD$5087,17)/35.32</f>
        <v>0</v>
      </c>
      <c r="K140" s="24">
        <f>+VLOOKUP(B140,[1]Balance_Gatún!$A$13:$AC$5087,10)</f>
        <v>18</v>
      </c>
      <c r="L140" s="25" t="str">
        <f>+VLOOKUP(B140,[1]Balance_Gatún!$A$13:$AC$5087,11)</f>
        <v>XFILL_PMG100%</v>
      </c>
      <c r="M140" s="25">
        <f>+VLOOKUP(B140,[1]Balance_Gatún!$A$13:$AC$5087,12)</f>
        <v>10</v>
      </c>
      <c r="N140" s="25" t="str">
        <f>+VLOOKUP(B140,[1]Balance_Gatún!$A$13:$AC$5087,13)</f>
        <v>TA+CCL100%</v>
      </c>
      <c r="O140" s="25">
        <f>+VLOOKUP(B140,[1]Balance_Gatún!$A$13:$AC$5087,14)/408.7</f>
        <v>5.3241420073473469</v>
      </c>
      <c r="P140" s="24">
        <f>+VLOOKUP(B140,[1]Balance_Madden!$A$12:$V$5087,12)/35.32</f>
        <v>2.2031710481272047</v>
      </c>
      <c r="Q140" s="25">
        <f>+VLOOKUP(B140,[1]Balance_Gatún!$A$13:$AD$5087,15)/35.32</f>
        <v>18.226978627121802</v>
      </c>
      <c r="R140" s="24">
        <f>+VLOOKUP(B140,[1]Balance_Madden!$A$12:$V$5087,14)/35.32</f>
        <v>22.950622916756878</v>
      </c>
      <c r="S140" s="26">
        <f>[1]Balance_Gatún!X139/35.32</f>
        <v>91.475501798210729</v>
      </c>
      <c r="T140" s="25">
        <v>92.294960472008114</v>
      </c>
      <c r="U140" s="25">
        <v>47.76335913785843</v>
      </c>
      <c r="V140" s="29">
        <f>LOOKUP(D140,[1]Parámetros!$A$7:$A$24,[1]Parámetros!$B$7:$B$24)</f>
        <v>49</v>
      </c>
      <c r="W140" s="30" t="str">
        <f t="shared" si="7"/>
        <v/>
      </c>
      <c r="X140" s="31" t="str">
        <f t="shared" si="8"/>
        <v/>
      </c>
      <c r="Y140" s="30" t="str">
        <f>IF($W140="Cambio Calado",COUNTIF($W$14:W140,"Cambio Calado"),"")</f>
        <v/>
      </c>
      <c r="Z140" s="31" t="str">
        <f t="shared" si="9"/>
        <v/>
      </c>
      <c r="AA140" s="30" t="str">
        <f t="shared" si="10"/>
        <v/>
      </c>
      <c r="AB140" s="29">
        <f>IFERROR(LOOKUP($A140,$Z$14:$Z140,$AA$14:$AA140),$U140)</f>
        <v>49</v>
      </c>
      <c r="AC140" s="32">
        <f>IFERROR($A141-LOOKUP($A141,$Z$14:$Z140),"")</f>
        <v>9</v>
      </c>
      <c r="AD140" s="1" cm="1">
        <f t="array" ref="AD140">IF(B140&lt;&gt;"",80,_xludf.NA())</f>
        <v>80</v>
      </c>
    </row>
    <row r="141" spans="1:30">
      <c r="A141" s="22">
        <f t="shared" si="6"/>
        <v>46331</v>
      </c>
      <c r="B141" s="9">
        <f>+[1]Balance_Madden!A139</f>
        <v>46331</v>
      </c>
      <c r="C141" s="24">
        <f>+VLOOKUP(B141,[1]Balance_Madden!$A$12:$E$5000,2)</f>
        <v>247.52799999999999</v>
      </c>
      <c r="D141" s="25">
        <f>+VLOOKUP(B141,[1]Balance_Gatún!$A$13:$E$5087,2)</f>
        <v>84.37885420486711</v>
      </c>
      <c r="E141" s="24">
        <f>+VLOOKUP(B141,[1]Balance_Madden!$A$12:$E$5087,5)/35.32</f>
        <v>56.539524348810872</v>
      </c>
      <c r="F141" s="26">
        <f>+VLOOKUP(B141,[1]Balance_Gatún!$A$13:$E$5087,5)/35.32</f>
        <v>47.157446206115516</v>
      </c>
      <c r="G141" s="24">
        <f>+VLOOKUP(B141,[1]Balance_Madden!$A$12:$K$5087,9)/111</f>
        <v>2.7027027027027026</v>
      </c>
      <c r="H141" s="25">
        <f>+VLOOKUP(B141,[1]Balance_Gatún!$A$13:$U$5087,21)/186</f>
        <v>0</v>
      </c>
      <c r="I141" s="24">
        <f>+(VLOOKUP(B141,[1]Balance_Madden!$A$12:$K$5087,10)/35.32)+VLOOKUP(B141,[1]Balance_Madden!$A$12:$K$5087,11)/35.32</f>
        <v>0</v>
      </c>
      <c r="J141" s="25">
        <f>+VLOOKUP(B141,[1]Balance_Gatún!$A$13:$AD$5087,23)/35.32+ VLOOKUP(B141,[1]Balance_Gatún!$A$13:$AD$5087,17)/35.32</f>
        <v>0</v>
      </c>
      <c r="K141" s="24">
        <f>+VLOOKUP(B141,[1]Balance_Gatún!$A$13:$AC$5087,10)</f>
        <v>18</v>
      </c>
      <c r="L141" s="25" t="str">
        <f>+VLOOKUP(B141,[1]Balance_Gatún!$A$13:$AC$5087,11)</f>
        <v>XFILL_PMG100%</v>
      </c>
      <c r="M141" s="25">
        <f>+VLOOKUP(B141,[1]Balance_Gatún!$A$13:$AC$5087,12)</f>
        <v>10</v>
      </c>
      <c r="N141" s="25" t="str">
        <f>+VLOOKUP(B141,[1]Balance_Gatún!$A$13:$AC$5087,13)</f>
        <v>TA+CCL100%</v>
      </c>
      <c r="O141" s="25">
        <f>+VLOOKUP(B141,[1]Balance_Gatún!$A$13:$AC$5087,14)/408.7</f>
        <v>5.3273335938882012</v>
      </c>
      <c r="P141" s="24">
        <f>+VLOOKUP(B141,[1]Balance_Madden!$A$12:$V$5087,12)/35.32</f>
        <v>1.061881420275794</v>
      </c>
      <c r="Q141" s="25">
        <f>+VLOOKUP(B141,[1]Balance_Gatún!$A$13:$AD$5087,15)/35.32</f>
        <v>8.7713975532437622</v>
      </c>
      <c r="R141" s="24">
        <f>+VLOOKUP(B141,[1]Balance_Madden!$A$12:$V$5087,14)/35.32</f>
        <v>21.809333288905464</v>
      </c>
      <c r="S141" s="26">
        <f>[1]Balance_Gatún!X140/35.32</f>
        <v>82.056851681842502</v>
      </c>
      <c r="T141" s="25">
        <v>72.899853934388091</v>
      </c>
      <c r="U141" s="25">
        <v>38.617409553917199</v>
      </c>
      <c r="V141" s="29">
        <f>LOOKUP(D141,[1]Parámetros!$A$7:$A$24,[1]Parámetros!$B$7:$B$24)</f>
        <v>49</v>
      </c>
      <c r="W141" s="30" t="str">
        <f t="shared" si="7"/>
        <v/>
      </c>
      <c r="X141" s="31" t="str">
        <f t="shared" si="8"/>
        <v/>
      </c>
      <c r="Y141" s="30" t="str">
        <f>IF($W141="Cambio Calado",COUNTIF($W$14:W141,"Cambio Calado"),"")</f>
        <v/>
      </c>
      <c r="Z141" s="31" t="str">
        <f t="shared" si="9"/>
        <v/>
      </c>
      <c r="AA141" s="30" t="str">
        <f t="shared" si="10"/>
        <v/>
      </c>
      <c r="AB141" s="29">
        <f>IFERROR(LOOKUP($A141,$Z$14:$Z141,$AA$14:$AA141),$U141)</f>
        <v>49</v>
      </c>
      <c r="AC141" s="32">
        <f>IFERROR($A142-LOOKUP($A142,$Z$14:$Z141),"")</f>
        <v>10</v>
      </c>
      <c r="AD141" s="1" cm="1">
        <f t="array" ref="AD141">IF(B141&lt;&gt;"",80,_xludf.NA())</f>
        <v>80</v>
      </c>
    </row>
    <row r="142" spans="1:30">
      <c r="A142" s="22">
        <f t="shared" ref="A142:A205" si="11">+INT(B142)</f>
        <v>46332</v>
      </c>
      <c r="B142" s="9">
        <f>+[1]Balance_Madden!A140</f>
        <v>46332</v>
      </c>
      <c r="C142" s="24">
        <f>+VLOOKUP(B142,[1]Balance_Madden!$A$12:$E$5000,2)</f>
        <v>247.745</v>
      </c>
      <c r="D142" s="25">
        <f>+VLOOKUP(B142,[1]Balance_Gatún!$A$13:$E$5087,2)</f>
        <v>84.36102360482424</v>
      </c>
      <c r="E142" s="24">
        <f>+VLOOKUP(B142,[1]Balance_Madden!$A$12:$E$5087,5)/35.32</f>
        <v>41.636664779161947</v>
      </c>
      <c r="F142" s="26">
        <f>+VLOOKUP(B142,[1]Balance_Gatún!$A$13:$E$5087,5)/35.32</f>
        <v>31.167638731596824</v>
      </c>
      <c r="G142" s="24">
        <f>+VLOOKUP(B142,[1]Balance_Madden!$A$12:$K$5087,9)/111</f>
        <v>2.7027027027027026</v>
      </c>
      <c r="H142" s="25">
        <f>+VLOOKUP(B142,[1]Balance_Gatún!$A$13:$U$5087,21)/186</f>
        <v>0</v>
      </c>
      <c r="I142" s="24">
        <f>+(VLOOKUP(B142,[1]Balance_Madden!$A$12:$K$5087,10)/35.32)+VLOOKUP(B142,[1]Balance_Madden!$A$12:$K$5087,11)/35.32</f>
        <v>0</v>
      </c>
      <c r="J142" s="25">
        <f>+VLOOKUP(B142,[1]Balance_Gatún!$A$13:$AD$5087,23)/35.32+ VLOOKUP(B142,[1]Balance_Gatún!$A$13:$AD$5087,17)/35.32</f>
        <v>0</v>
      </c>
      <c r="K142" s="24">
        <f>+VLOOKUP(B142,[1]Balance_Gatún!$A$13:$AC$5087,10)</f>
        <v>18</v>
      </c>
      <c r="L142" s="25" t="str">
        <f>+VLOOKUP(B142,[1]Balance_Gatún!$A$13:$AC$5087,11)</f>
        <v>XFILL_PMG100%</v>
      </c>
      <c r="M142" s="25">
        <f>+VLOOKUP(B142,[1]Balance_Gatún!$A$13:$AC$5087,12)</f>
        <v>10</v>
      </c>
      <c r="N142" s="25" t="str">
        <f>+VLOOKUP(B142,[1]Balance_Gatún!$A$13:$AC$5087,13)</f>
        <v>TA+CCL100%</v>
      </c>
      <c r="O142" s="25">
        <f>+VLOOKUP(B142,[1]Balance_Gatún!$A$13:$AC$5087,14)/408.7</f>
        <v>5.3245493680243898</v>
      </c>
      <c r="P142" s="24">
        <f>+VLOOKUP(B142,[1]Balance_Madden!$A$12:$V$5087,12)/35.32</f>
        <v>1.8697271261090218</v>
      </c>
      <c r="Q142" s="25">
        <f>+VLOOKUP(B142,[1]Balance_Gatún!$A$13:$AD$5087,15)/35.32</f>
        <v>15.399680694581031</v>
      </c>
      <c r="R142" s="24">
        <f>+VLOOKUP(B142,[1]Balance_Madden!$A$12:$V$5087,14)/35.32</f>
        <v>22.617178994738694</v>
      </c>
      <c r="S142" s="26">
        <f>[1]Balance_Gatún!X141/35.32</f>
        <v>88.65291757769451</v>
      </c>
      <c r="T142" s="25">
        <v>55.520688700808741</v>
      </c>
      <c r="U142" s="25">
        <v>34.356003309927182</v>
      </c>
      <c r="V142" s="29">
        <f>LOOKUP(D142,[1]Parámetros!$A$7:$A$24,[1]Parámetros!$B$7:$B$24)</f>
        <v>49</v>
      </c>
      <c r="W142" s="30" t="str">
        <f t="shared" ref="W142:W197" si="12">IF(V142&lt;&gt;V141,"Cambio Calado","")</f>
        <v/>
      </c>
      <c r="X142" s="31" t="str">
        <f t="shared" si="8"/>
        <v/>
      </c>
      <c r="Y142" s="30" t="str">
        <f>IF($W142="Cambio Calado",COUNTIF($W$14:W142,"Cambio Calado"),"")</f>
        <v/>
      </c>
      <c r="Z142" s="31" t="str">
        <f t="shared" si="9"/>
        <v/>
      </c>
      <c r="AA142" s="30" t="str">
        <f t="shared" si="10"/>
        <v/>
      </c>
      <c r="AB142" s="29">
        <f>IFERROR(LOOKUP($A142,$Z$14:$Z142,$AA$14:$AA142),$U142)</f>
        <v>49</v>
      </c>
      <c r="AC142" s="32">
        <f>IFERROR($A143-LOOKUP($A143,$Z$14:$Z142),"")</f>
        <v>11</v>
      </c>
      <c r="AD142" s="1" cm="1">
        <f t="array" ref="AD142">IF(B142&lt;&gt;"",80,_xludf.NA())</f>
        <v>80</v>
      </c>
    </row>
    <row r="143" spans="1:30">
      <c r="A143" s="22">
        <f t="shared" si="11"/>
        <v>46333</v>
      </c>
      <c r="B143" s="9">
        <f>+[1]Balance_Madden!A141</f>
        <v>46333</v>
      </c>
      <c r="C143" s="24">
        <f>+VLOOKUP(B143,[1]Balance_Madden!$A$12:$E$5000,2)</f>
        <v>247.863</v>
      </c>
      <c r="D143" s="25">
        <f>+VLOOKUP(B143,[1]Balance_Gatún!$A$13:$E$5087,2)</f>
        <v>84.327931149583179</v>
      </c>
      <c r="E143" s="24">
        <f>+VLOOKUP(B143,[1]Balance_Madden!$A$12:$E$5087,5)/35.32</f>
        <v>48.966874292185729</v>
      </c>
      <c r="F143" s="26">
        <f>+VLOOKUP(B143,[1]Balance_Gatún!$A$13:$E$5087,5)/35.32</f>
        <v>54.66333522083805</v>
      </c>
      <c r="G143" s="24">
        <f>+VLOOKUP(B143,[1]Balance_Madden!$A$12:$K$5087,9)/111</f>
        <v>2.7027027027027026</v>
      </c>
      <c r="H143" s="25">
        <f>+VLOOKUP(B143,[1]Balance_Gatún!$A$13:$U$5087,21)/186</f>
        <v>0</v>
      </c>
      <c r="I143" s="24">
        <f>+(VLOOKUP(B143,[1]Balance_Madden!$A$12:$K$5087,10)/35.32)+VLOOKUP(B143,[1]Balance_Madden!$A$12:$K$5087,11)/35.32</f>
        <v>0</v>
      </c>
      <c r="J143" s="25">
        <f>+VLOOKUP(B143,[1]Balance_Gatún!$A$13:$AD$5087,23)/35.32+ VLOOKUP(B143,[1]Balance_Gatún!$A$13:$AD$5087,17)/35.32</f>
        <v>0</v>
      </c>
      <c r="K143" s="24">
        <f>+VLOOKUP(B143,[1]Balance_Gatún!$A$13:$AC$5087,10)</f>
        <v>18</v>
      </c>
      <c r="L143" s="25" t="str">
        <f>+VLOOKUP(B143,[1]Balance_Gatún!$A$13:$AC$5087,11)</f>
        <v>XFILL_PMG100%</v>
      </c>
      <c r="M143" s="25">
        <f>+VLOOKUP(B143,[1]Balance_Gatún!$A$13:$AC$5087,12)</f>
        <v>10</v>
      </c>
      <c r="N143" s="25" t="str">
        <f>+VLOOKUP(B143,[1]Balance_Gatún!$A$13:$AC$5087,13)</f>
        <v>TA+CCL100%</v>
      </c>
      <c r="O143" s="25">
        <f>+VLOOKUP(B143,[1]Balance_Gatún!$A$13:$AC$5087,14)/408.7</f>
        <v>5.3193820225869022</v>
      </c>
      <c r="P143" s="24">
        <f>+VLOOKUP(B143,[1]Balance_Madden!$A$12:$V$5087,12)/35.32</f>
        <v>1.8049807112136667</v>
      </c>
      <c r="Q143" s="25">
        <f>+VLOOKUP(B143,[1]Balance_Gatún!$A$13:$AD$5087,15)/35.32</f>
        <v>14.838574562574671</v>
      </c>
      <c r="R143" s="24">
        <f>+VLOOKUP(B143,[1]Balance_Madden!$A$12:$V$5087,14)/35.32</f>
        <v>22.552432579843337</v>
      </c>
      <c r="S143" s="26">
        <f>[1]Balance_Gatún!X142/35.32</f>
        <v>88.032018295056744</v>
      </c>
      <c r="T143" s="25">
        <v>84.332708855904201</v>
      </c>
      <c r="U143" s="25">
        <v>34.304646299100277</v>
      </c>
      <c r="V143" s="29">
        <f>LOOKUP(D143,[1]Parámetros!$A$7:$A$24,[1]Parámetros!$B$7:$B$24)</f>
        <v>49</v>
      </c>
      <c r="W143" s="30" t="str">
        <f t="shared" si="12"/>
        <v/>
      </c>
      <c r="X143" s="31" t="str">
        <f t="shared" ref="X143:X197" si="13">IF(W143&lt;&gt;"",INT(A143),"")</f>
        <v/>
      </c>
      <c r="Y143" s="30" t="str">
        <f>IF($W143="Cambio Calado",COUNTIF($W$14:W143,"Cambio Calado"),"")</f>
        <v/>
      </c>
      <c r="Z143" s="31" t="str">
        <f t="shared" ref="Z143:Z197" si="14">IF($W143="Cambio Calado",$X143,"")</f>
        <v/>
      </c>
      <c r="AA143" s="30" t="str">
        <f t="shared" ref="AA143:AA197" si="15">IF($W143="Cambio Calado",$V143,"")</f>
        <v/>
      </c>
      <c r="AB143" s="29">
        <f>IFERROR(LOOKUP($A143,$Z$14:$Z143,$AA$14:$AA143),$U143)</f>
        <v>49</v>
      </c>
      <c r="AC143" s="32">
        <f>IFERROR($A144-LOOKUP($A144,$Z$14:$Z143),"")</f>
        <v>12</v>
      </c>
      <c r="AD143" s="1" cm="1">
        <f t="array" ref="AD143">IF(B143&lt;&gt;"",80,_xludf.NA())</f>
        <v>80</v>
      </c>
    </row>
    <row r="144" spans="1:30">
      <c r="A144" s="22">
        <f t="shared" si="11"/>
        <v>46334</v>
      </c>
      <c r="B144" s="9">
        <f>+[1]Balance_Madden!A142</f>
        <v>46334</v>
      </c>
      <c r="C144" s="24">
        <f>+VLOOKUP(B144,[1]Balance_Madden!$A$12:$E$5000,2)</f>
        <v>248.02799999999999</v>
      </c>
      <c r="D144" s="25">
        <f>+VLOOKUP(B144,[1]Balance_Gatún!$A$13:$E$5087,2)</f>
        <v>84.311123545046172</v>
      </c>
      <c r="E144" s="24">
        <f>+VLOOKUP(B144,[1]Balance_Madden!$A$12:$E$5087,5)/35.32</f>
        <v>42.434201585503963</v>
      </c>
      <c r="F144" s="26">
        <f>+VLOOKUP(B144,[1]Balance_Gatún!$A$13:$E$5087,5)/35.32</f>
        <v>30.936325028312574</v>
      </c>
      <c r="G144" s="24">
        <f>+VLOOKUP(B144,[1]Balance_Madden!$A$12:$K$5087,9)/111</f>
        <v>2.7027027027027026</v>
      </c>
      <c r="H144" s="25">
        <f>+VLOOKUP(B144,[1]Balance_Gatún!$A$13:$U$5087,21)/186</f>
        <v>0</v>
      </c>
      <c r="I144" s="24">
        <f>+(VLOOKUP(B144,[1]Balance_Madden!$A$12:$K$5087,10)/35.32)+VLOOKUP(B144,[1]Balance_Madden!$A$12:$K$5087,11)/35.32</f>
        <v>0</v>
      </c>
      <c r="J144" s="25">
        <f>+VLOOKUP(B144,[1]Balance_Gatún!$A$13:$AD$5087,23)/35.32+ VLOOKUP(B144,[1]Balance_Gatún!$A$13:$AD$5087,17)/35.32</f>
        <v>0</v>
      </c>
      <c r="K144" s="24">
        <f>+VLOOKUP(B144,[1]Balance_Gatún!$A$13:$AC$5087,10)</f>
        <v>18</v>
      </c>
      <c r="L144" s="25" t="str">
        <f>+VLOOKUP(B144,[1]Balance_Gatún!$A$13:$AC$5087,11)</f>
        <v>XFILL_PMG100%</v>
      </c>
      <c r="M144" s="25">
        <f>+VLOOKUP(B144,[1]Balance_Gatún!$A$13:$AC$5087,12)</f>
        <v>10</v>
      </c>
      <c r="N144" s="25" t="str">
        <f>+VLOOKUP(B144,[1]Balance_Gatún!$A$13:$AC$5087,13)</f>
        <v>TA+CCL100%</v>
      </c>
      <c r="O144" s="25">
        <f>+VLOOKUP(B144,[1]Balance_Gatún!$A$13:$AC$5087,14)/408.7</f>
        <v>5.3167575361900274</v>
      </c>
      <c r="P144" s="24">
        <f>+VLOOKUP(B144,[1]Balance_Madden!$A$12:$V$5087,12)/35.32</f>
        <v>1.1804591043106432</v>
      </c>
      <c r="Q144" s="25">
        <f>+VLOOKUP(B144,[1]Balance_Gatún!$A$13:$AD$5087,15)/35.32</f>
        <v>9.6827079856784408</v>
      </c>
      <c r="R144" s="24">
        <f>+VLOOKUP(B144,[1]Balance_Madden!$A$12:$V$5087,14)/35.32</f>
        <v>21.927910972940314</v>
      </c>
      <c r="S144" s="26">
        <f>[1]Balance_Gatún!X143/35.32</f>
        <v>82.845782873585136</v>
      </c>
      <c r="T144" s="25">
        <v>78.910895454299464</v>
      </c>
      <c r="U144" s="25">
        <v>35.218633636930932</v>
      </c>
      <c r="V144" s="29">
        <f>LOOKUP(D144,[1]Parámetros!$A$7:$A$24,[1]Parámetros!$B$7:$B$24)</f>
        <v>49</v>
      </c>
      <c r="W144" s="30" t="str">
        <f t="shared" si="12"/>
        <v/>
      </c>
      <c r="X144" s="31" t="str">
        <f t="shared" si="13"/>
        <v/>
      </c>
      <c r="Y144" s="30" t="str">
        <f>IF($W144="Cambio Calado",COUNTIF($W$14:W144,"Cambio Calado"),"")</f>
        <v/>
      </c>
      <c r="Z144" s="31" t="str">
        <f t="shared" si="14"/>
        <v/>
      </c>
      <c r="AA144" s="30" t="str">
        <f t="shared" si="15"/>
        <v/>
      </c>
      <c r="AB144" s="29">
        <f>IFERROR(LOOKUP($A144,$Z$14:$Z144,$AA$14:$AA144),$U144)</f>
        <v>49</v>
      </c>
      <c r="AC144" s="32">
        <f>IFERROR($A145-LOOKUP($A145,$Z$14:$Z144),"")</f>
        <v>13</v>
      </c>
      <c r="AD144" s="1" cm="1">
        <f t="array" ref="AD144">IF(B144&lt;&gt;"",80,_xludf.NA())</f>
        <v>80</v>
      </c>
    </row>
    <row r="145" spans="1:30">
      <c r="A145" s="22">
        <f t="shared" si="11"/>
        <v>46335</v>
      </c>
      <c r="B145" s="9">
        <f>+[1]Balance_Madden!A143</f>
        <v>46335</v>
      </c>
      <c r="C145" s="24">
        <f>+VLOOKUP(B145,[1]Balance_Madden!$A$12:$E$5000,2)</f>
        <v>248.15600000000001</v>
      </c>
      <c r="D145" s="25">
        <f>+VLOOKUP(B145,[1]Balance_Gatún!$A$13:$E$5087,2)</f>
        <v>84.281779711909692</v>
      </c>
      <c r="E145" s="24">
        <f>+VLOOKUP(B145,[1]Balance_Madden!$A$12:$E$5087,5)/35.32</f>
        <v>57.906285390713478</v>
      </c>
      <c r="F145" s="26">
        <f>+VLOOKUP(B145,[1]Balance_Gatún!$A$13:$E$5087,5)/35.32</f>
        <v>117.87208380520951</v>
      </c>
      <c r="G145" s="24">
        <f>+VLOOKUP(B145,[1]Balance_Madden!$A$12:$K$5087,9)/111</f>
        <v>2.7027027027027026</v>
      </c>
      <c r="H145" s="25">
        <f>+VLOOKUP(B145,[1]Balance_Gatún!$A$13:$U$5087,21)/186</f>
        <v>0</v>
      </c>
      <c r="I145" s="24">
        <f>+(VLOOKUP(B145,[1]Balance_Madden!$A$12:$K$5087,10)/35.32)+VLOOKUP(B145,[1]Balance_Madden!$A$12:$K$5087,11)/35.32</f>
        <v>0</v>
      </c>
      <c r="J145" s="25">
        <f>+VLOOKUP(B145,[1]Balance_Gatún!$A$13:$AD$5087,23)/35.32+ VLOOKUP(B145,[1]Balance_Gatún!$A$13:$AD$5087,17)/35.32</f>
        <v>0</v>
      </c>
      <c r="K145" s="24">
        <f>+VLOOKUP(B145,[1]Balance_Gatún!$A$13:$AC$5087,10)</f>
        <v>18</v>
      </c>
      <c r="L145" s="25" t="str">
        <f>+VLOOKUP(B145,[1]Balance_Gatún!$A$13:$AC$5087,11)</f>
        <v>XFILL_PMG100%</v>
      </c>
      <c r="M145" s="25">
        <f>+VLOOKUP(B145,[1]Balance_Gatún!$A$13:$AC$5087,12)</f>
        <v>10</v>
      </c>
      <c r="N145" s="25" t="str">
        <f>+VLOOKUP(B145,[1]Balance_Gatún!$A$13:$AC$5087,13)</f>
        <v>TA+CCL100%</v>
      </c>
      <c r="O145" s="25">
        <f>+VLOOKUP(B145,[1]Balance_Gatún!$A$13:$AC$5087,14)/408.7</f>
        <v>5.3121755333990111</v>
      </c>
      <c r="P145" s="24">
        <f>+VLOOKUP(B145,[1]Balance_Madden!$A$12:$V$5087,12)/35.32</f>
        <v>0.77204905199799223</v>
      </c>
      <c r="Q145" s="25">
        <f>+VLOOKUP(B145,[1]Balance_Gatún!$A$13:$AD$5087,15)/35.32</f>
        <v>6.3204143736313068</v>
      </c>
      <c r="R145" s="24">
        <f>+VLOOKUP(B145,[1]Balance_Madden!$A$12:$V$5087,14)/35.32</f>
        <v>21.519500920627664</v>
      </c>
      <c r="S145" s="26">
        <f>[1]Balance_Gatún!X144/35.32</f>
        <v>79.430469314179888</v>
      </c>
      <c r="T145" s="25">
        <v>153.39546408649119</v>
      </c>
      <c r="U145" s="25">
        <v>82.483574882405946</v>
      </c>
      <c r="V145" s="29">
        <f>LOOKUP(D145,[1]Parámetros!$A$7:$A$24,[1]Parámetros!$B$7:$B$24)</f>
        <v>49</v>
      </c>
      <c r="W145" s="30" t="str">
        <f t="shared" si="12"/>
        <v/>
      </c>
      <c r="X145" s="31" t="str">
        <f t="shared" si="13"/>
        <v/>
      </c>
      <c r="Y145" s="30" t="str">
        <f>IF($W145="Cambio Calado",COUNTIF($W$14:W145,"Cambio Calado"),"")</f>
        <v/>
      </c>
      <c r="Z145" s="31" t="str">
        <f t="shared" si="14"/>
        <v/>
      </c>
      <c r="AA145" s="30" t="str">
        <f t="shared" si="15"/>
        <v/>
      </c>
      <c r="AB145" s="29">
        <f>IFERROR(LOOKUP($A145,$Z$14:$Z145,$AA$14:$AA145),$U145)</f>
        <v>49</v>
      </c>
      <c r="AC145" s="32">
        <f>IFERROR($A146-LOOKUP($A146,$Z$14:$Z145),"")</f>
        <v>14</v>
      </c>
      <c r="AD145" s="1" cm="1">
        <f t="array" ref="AD145">IF(B145&lt;&gt;"",80,_xludf.NA())</f>
        <v>80</v>
      </c>
    </row>
    <row r="146" spans="1:30">
      <c r="A146" s="22">
        <f t="shared" si="11"/>
        <v>46336</v>
      </c>
      <c r="B146" s="9">
        <f>+[1]Balance_Madden!A144</f>
        <v>46336</v>
      </c>
      <c r="C146" s="24">
        <f>+VLOOKUP(B146,[1]Balance_Madden!$A$12:$E$5000,2)</f>
        <v>248.38300000000001</v>
      </c>
      <c r="D146" s="25">
        <f>+VLOOKUP(B146,[1]Balance_Gatún!$A$13:$E$5087,2)</f>
        <v>84.313501968442111</v>
      </c>
      <c r="E146" s="24">
        <f>+VLOOKUP(B146,[1]Balance_Madden!$A$12:$E$5087,5)/35.32</f>
        <v>122.77446206115516</v>
      </c>
      <c r="F146" s="26">
        <f>+VLOOKUP(B146,[1]Balance_Gatún!$A$13:$E$5087,5)/35.32</f>
        <v>120.71930917327292</v>
      </c>
      <c r="G146" s="24">
        <f>+VLOOKUP(B146,[1]Balance_Madden!$A$12:$K$5087,9)/111</f>
        <v>2.7027027027027026</v>
      </c>
      <c r="H146" s="25">
        <f>+VLOOKUP(B146,[1]Balance_Gatún!$A$13:$U$5087,21)/186</f>
        <v>0</v>
      </c>
      <c r="I146" s="24">
        <f>+(VLOOKUP(B146,[1]Balance_Madden!$A$12:$K$5087,10)/35.32)+VLOOKUP(B146,[1]Balance_Madden!$A$12:$K$5087,11)/35.32</f>
        <v>0</v>
      </c>
      <c r="J146" s="25">
        <f>+VLOOKUP(B146,[1]Balance_Gatún!$A$13:$AD$5087,23)/35.32+ VLOOKUP(B146,[1]Balance_Gatún!$A$13:$AD$5087,17)/35.32</f>
        <v>0</v>
      </c>
      <c r="K146" s="24">
        <f>+VLOOKUP(B146,[1]Balance_Gatún!$A$13:$AC$5087,10)</f>
        <v>18</v>
      </c>
      <c r="L146" s="25" t="str">
        <f>+VLOOKUP(B146,[1]Balance_Gatún!$A$13:$AC$5087,11)</f>
        <v>XFILL_PMG100%</v>
      </c>
      <c r="M146" s="25">
        <f>+VLOOKUP(B146,[1]Balance_Gatún!$A$13:$AC$5087,12)</f>
        <v>10</v>
      </c>
      <c r="N146" s="25" t="str">
        <f>+VLOOKUP(B146,[1]Balance_Gatún!$A$13:$AC$5087,13)</f>
        <v>TA+CCL100%</v>
      </c>
      <c r="O146" s="25">
        <f>+VLOOKUP(B146,[1]Balance_Gatún!$A$13:$AC$5087,14)/408.7</f>
        <v>5.3171289240243196</v>
      </c>
      <c r="P146" s="24">
        <f>+VLOOKUP(B146,[1]Balance_Madden!$A$12:$V$5087,12)/35.32</f>
        <v>1.3648048561657673</v>
      </c>
      <c r="Q146" s="25">
        <f>+VLOOKUP(B146,[1]Balance_Gatún!$A$13:$AD$5087,15)/35.32</f>
        <v>11.146505373253364</v>
      </c>
      <c r="R146" s="24">
        <f>+VLOOKUP(B146,[1]Balance_Madden!$A$12:$V$5087,14)/35.32</f>
        <v>22.112256724795436</v>
      </c>
      <c r="S146" s="26">
        <f>[1]Balance_Gatún!X145/35.32</f>
        <v>84.313877718914156</v>
      </c>
      <c r="T146" s="25">
        <v>152.94291907956011</v>
      </c>
      <c r="U146" s="25">
        <v>111.94700860128678</v>
      </c>
      <c r="V146" s="29">
        <f>LOOKUP(D146,[1]Parámetros!$A$7:$A$24,[1]Parámetros!$B$7:$B$24)</f>
        <v>49</v>
      </c>
      <c r="W146" s="30" t="str">
        <f t="shared" si="12"/>
        <v/>
      </c>
      <c r="X146" s="31" t="str">
        <f t="shared" si="13"/>
        <v/>
      </c>
      <c r="Y146" s="30" t="str">
        <f>IF($W146="Cambio Calado",COUNTIF($W$14:W146,"Cambio Calado"),"")</f>
        <v/>
      </c>
      <c r="Z146" s="31" t="str">
        <f t="shared" si="14"/>
        <v/>
      </c>
      <c r="AA146" s="30" t="str">
        <f t="shared" si="15"/>
        <v/>
      </c>
      <c r="AB146" s="29">
        <f>IFERROR(LOOKUP($A146,$Z$14:$Z146,$AA$14:$AA146),$U146)</f>
        <v>49</v>
      </c>
      <c r="AC146" s="32">
        <f>IFERROR($A147-LOOKUP($A147,$Z$14:$Z146),"")</f>
        <v>15</v>
      </c>
      <c r="AD146" s="1" cm="1">
        <f t="array" ref="AD146">IF(B146&lt;&gt;"",80,_xludf.NA())</f>
        <v>80</v>
      </c>
    </row>
    <row r="147" spans="1:30">
      <c r="A147" s="22">
        <f t="shared" si="11"/>
        <v>46337</v>
      </c>
      <c r="B147" s="9">
        <f>+[1]Balance_Madden!A145</f>
        <v>46337</v>
      </c>
      <c r="C147" s="24">
        <f>+VLOOKUP(B147,[1]Balance_Madden!$A$12:$E$5000,2)</f>
        <v>249.012</v>
      </c>
      <c r="D147" s="25">
        <f>+VLOOKUP(B147,[1]Balance_Gatún!$A$13:$E$5087,2)</f>
        <v>84.343836202476226</v>
      </c>
      <c r="E147" s="24">
        <f>+VLOOKUP(B147,[1]Balance_Madden!$A$12:$E$5087,5)/35.32</f>
        <v>50.456766704416765</v>
      </c>
      <c r="F147" s="26">
        <f>+VLOOKUP(B147,[1]Balance_Gatún!$A$13:$E$5087,5)/35.32</f>
        <v>43.748895809739523</v>
      </c>
      <c r="G147" s="24">
        <f>+VLOOKUP(B147,[1]Balance_Madden!$A$12:$K$5087,9)/111</f>
        <v>2.7027027027027026</v>
      </c>
      <c r="H147" s="25">
        <f>+VLOOKUP(B147,[1]Balance_Gatún!$A$13:$U$5087,21)/186</f>
        <v>0</v>
      </c>
      <c r="I147" s="24">
        <f>+(VLOOKUP(B147,[1]Balance_Madden!$A$12:$K$5087,10)/35.32)+VLOOKUP(B147,[1]Balance_Madden!$A$12:$K$5087,11)/35.32</f>
        <v>0</v>
      </c>
      <c r="J147" s="25">
        <f>+VLOOKUP(B147,[1]Balance_Gatún!$A$13:$AD$5087,23)/35.32+ VLOOKUP(B147,[1]Balance_Gatún!$A$13:$AD$5087,17)/35.32</f>
        <v>0</v>
      </c>
      <c r="K147" s="24">
        <f>+VLOOKUP(B147,[1]Balance_Gatún!$A$13:$AC$5087,10)</f>
        <v>18</v>
      </c>
      <c r="L147" s="25" t="str">
        <f>+VLOOKUP(B147,[1]Balance_Gatún!$A$13:$AC$5087,11)</f>
        <v>XFILL_PMG100%</v>
      </c>
      <c r="M147" s="25">
        <f>+VLOOKUP(B147,[1]Balance_Gatún!$A$13:$AC$5087,12)</f>
        <v>10</v>
      </c>
      <c r="N147" s="25" t="str">
        <f>+VLOOKUP(B147,[1]Balance_Gatún!$A$13:$AC$5087,13)</f>
        <v>TA+CCL100%</v>
      </c>
      <c r="O147" s="25">
        <f>+VLOOKUP(B147,[1]Balance_Gatún!$A$13:$AC$5087,14)/408.7</f>
        <v>5.3218655766750231</v>
      </c>
      <c r="P147" s="24">
        <f>+VLOOKUP(B147,[1]Balance_Madden!$A$12:$V$5087,12)/35.32</f>
        <v>0.63258342407918111</v>
      </c>
      <c r="Q147" s="25">
        <f>+VLOOKUP(B147,[1]Balance_Gatún!$A$13:$AD$5087,15)/35.32</f>
        <v>5.1287932732987249</v>
      </c>
      <c r="R147" s="24">
        <f>+VLOOKUP(B147,[1]Balance_Madden!$A$12:$V$5087,14)/35.32</f>
        <v>21.38003529270885</v>
      </c>
      <c r="S147" s="26">
        <f>[1]Balance_Gatún!X146/35.32</f>
        <v>78.350975073612489</v>
      </c>
      <c r="T147" s="25">
        <v>140.08128447965612</v>
      </c>
      <c r="U147" s="25">
        <v>58.677014706942437</v>
      </c>
      <c r="V147" s="29">
        <f>LOOKUP(D147,[1]Parámetros!$A$7:$A$24,[1]Parámetros!$B$7:$B$24)</f>
        <v>49</v>
      </c>
      <c r="W147" s="30" t="str">
        <f t="shared" si="12"/>
        <v/>
      </c>
      <c r="X147" s="31" t="str">
        <f t="shared" si="13"/>
        <v/>
      </c>
      <c r="Y147" s="30" t="str">
        <f>IF($W147="Cambio Calado",COUNTIF($W$14:W147,"Cambio Calado"),"")</f>
        <v/>
      </c>
      <c r="Z147" s="31" t="str">
        <f t="shared" si="14"/>
        <v/>
      </c>
      <c r="AA147" s="30" t="str">
        <f t="shared" si="15"/>
        <v/>
      </c>
      <c r="AB147" s="29">
        <f>IFERROR(LOOKUP($A147,$Z$14:$Z147,$AA$14:$AA147),$U147)</f>
        <v>49</v>
      </c>
      <c r="AC147" s="32">
        <f>IFERROR($A148-LOOKUP($A148,$Z$14:$Z147),"")</f>
        <v>16</v>
      </c>
      <c r="AD147" s="1" cm="1">
        <f t="array" ref="AD147">IF(B147&lt;&gt;"",80,_xludf.NA())</f>
        <v>80</v>
      </c>
    </row>
    <row r="148" spans="1:30">
      <c r="A148" s="22">
        <f t="shared" si="11"/>
        <v>46338</v>
      </c>
      <c r="B148" s="9">
        <f>+[1]Balance_Madden!A146</f>
        <v>46338</v>
      </c>
      <c r="C148" s="24">
        <f>+VLOOKUP(B148,[1]Balance_Madden!$A$12:$E$5000,2)</f>
        <v>249.19300000000001</v>
      </c>
      <c r="D148" s="25">
        <f>+VLOOKUP(B148,[1]Balance_Gatún!$A$13:$E$5087,2)</f>
        <v>84.326198642390324</v>
      </c>
      <c r="E148" s="24">
        <f>+VLOOKUP(B148,[1]Balance_Madden!$A$12:$E$5087,5)/35.32</f>
        <v>41.517355605889016</v>
      </c>
      <c r="F148" s="26">
        <f>+VLOOKUP(B148,[1]Balance_Gatún!$A$13:$E$5087,5)/35.32</f>
        <v>29.702519818799548</v>
      </c>
      <c r="G148" s="24">
        <f>+VLOOKUP(B148,[1]Balance_Madden!$A$12:$K$5087,9)/111</f>
        <v>2.7027027027027026</v>
      </c>
      <c r="H148" s="25">
        <f>+VLOOKUP(B148,[1]Balance_Gatún!$A$13:$U$5087,21)/186</f>
        <v>0</v>
      </c>
      <c r="I148" s="24">
        <f>+(VLOOKUP(B148,[1]Balance_Madden!$A$12:$K$5087,10)/35.32)+VLOOKUP(B148,[1]Balance_Madden!$A$12:$K$5087,11)/35.32</f>
        <v>0</v>
      </c>
      <c r="J148" s="25">
        <f>+VLOOKUP(B148,[1]Balance_Gatún!$A$13:$AD$5087,23)/35.32+ VLOOKUP(B148,[1]Balance_Gatún!$A$13:$AD$5087,17)/35.32</f>
        <v>0</v>
      </c>
      <c r="K148" s="24">
        <f>+VLOOKUP(B148,[1]Balance_Gatún!$A$13:$AC$5087,10)</f>
        <v>18</v>
      </c>
      <c r="L148" s="25" t="str">
        <f>+VLOOKUP(B148,[1]Balance_Gatún!$A$13:$AC$5087,11)</f>
        <v>XFILL_PMG100%</v>
      </c>
      <c r="M148" s="25">
        <f>+VLOOKUP(B148,[1]Balance_Gatún!$A$13:$AC$5087,12)</f>
        <v>10</v>
      </c>
      <c r="N148" s="25" t="str">
        <f>+VLOOKUP(B148,[1]Balance_Gatún!$A$13:$AC$5087,13)</f>
        <v>TA+CCL100%</v>
      </c>
      <c r="O148" s="25">
        <f>+VLOOKUP(B148,[1]Balance_Gatún!$A$13:$AC$5087,14)/408.7</f>
        <v>5.3191114937587098</v>
      </c>
      <c r="P148" s="24">
        <f>+VLOOKUP(B148,[1]Balance_Madden!$A$12:$V$5087,12)/35.32</f>
        <v>1.3496103489433027</v>
      </c>
      <c r="Q148" s="25">
        <f>+VLOOKUP(B148,[1]Balance_Gatún!$A$13:$AD$5087,15)/35.32</f>
        <v>10.915652866005829</v>
      </c>
      <c r="R148" s="24">
        <f>+VLOOKUP(B148,[1]Balance_Madden!$A$12:$V$5087,14)/35.32</f>
        <v>22.097062217572972</v>
      </c>
      <c r="S148" s="26">
        <f>[1]Balance_Gatún!X147/35.32</f>
        <v>84.105966215359857</v>
      </c>
      <c r="T148" s="25">
        <v>124.55919011001114</v>
      </c>
      <c r="U148" s="25">
        <v>53.627908606119263</v>
      </c>
      <c r="V148" s="29">
        <f>LOOKUP(D148,[1]Parámetros!$A$7:$A$24,[1]Parámetros!$B$7:$B$24)</f>
        <v>49</v>
      </c>
      <c r="W148" s="30" t="str">
        <f t="shared" si="12"/>
        <v/>
      </c>
      <c r="X148" s="31" t="str">
        <f t="shared" si="13"/>
        <v/>
      </c>
      <c r="Y148" s="30" t="str">
        <f>IF($W148="Cambio Calado",COUNTIF($W$14:W148,"Cambio Calado"),"")</f>
        <v/>
      </c>
      <c r="Z148" s="31" t="str">
        <f t="shared" si="14"/>
        <v/>
      </c>
      <c r="AA148" s="30" t="str">
        <f t="shared" si="15"/>
        <v/>
      </c>
      <c r="AB148" s="29">
        <f>IFERROR(LOOKUP($A148,$Z$14:$Z148,$AA$14:$AA148),$U148)</f>
        <v>49</v>
      </c>
      <c r="AC148" s="32">
        <f>IFERROR($A149-LOOKUP($A149,$Z$14:$Z148),"")</f>
        <v>17</v>
      </c>
      <c r="AD148" s="1" cm="1">
        <f t="array" ref="AD148">IF(B148&lt;&gt;"",80,_xludf.NA())</f>
        <v>80</v>
      </c>
    </row>
    <row r="149" spans="1:30">
      <c r="A149" s="22">
        <f t="shared" si="11"/>
        <v>46339</v>
      </c>
      <c r="B149" s="9">
        <f>+[1]Balance_Madden!A147</f>
        <v>46339</v>
      </c>
      <c r="C149" s="24">
        <f>+VLOOKUP(B149,[1]Balance_Madden!$A$12:$E$5000,2)</f>
        <v>249.31399999999999</v>
      </c>
      <c r="D149" s="25">
        <f>+VLOOKUP(B149,[1]Balance_Gatún!$A$13:$E$5087,2)</f>
        <v>84.295174718905741</v>
      </c>
      <c r="E149" s="24">
        <f>+VLOOKUP(B149,[1]Balance_Madden!$A$12:$E$5087,5)/35.32</f>
        <v>37.735277463193654</v>
      </c>
      <c r="F149" s="26">
        <f>+VLOOKUP(B149,[1]Balance_Gatún!$A$13:$E$5087,5)/35.32</f>
        <v>30.746489241223099</v>
      </c>
      <c r="G149" s="24">
        <f>+VLOOKUP(B149,[1]Balance_Madden!$A$12:$K$5087,9)/111</f>
        <v>2.7027027027027026</v>
      </c>
      <c r="H149" s="25">
        <f>+VLOOKUP(B149,[1]Balance_Gatún!$A$13:$U$5087,21)/186</f>
        <v>0</v>
      </c>
      <c r="I149" s="24">
        <f>+(VLOOKUP(B149,[1]Balance_Madden!$A$12:$K$5087,10)/35.32)+VLOOKUP(B149,[1]Balance_Madden!$A$12:$K$5087,11)/35.32</f>
        <v>0</v>
      </c>
      <c r="J149" s="25">
        <f>+VLOOKUP(B149,[1]Balance_Gatún!$A$13:$AD$5087,23)/35.32+ VLOOKUP(B149,[1]Balance_Gatún!$A$13:$AD$5087,17)/35.32</f>
        <v>0</v>
      </c>
      <c r="K149" s="24">
        <f>+VLOOKUP(B149,[1]Balance_Gatún!$A$13:$AC$5087,10)</f>
        <v>18</v>
      </c>
      <c r="L149" s="25" t="str">
        <f>+VLOOKUP(B149,[1]Balance_Gatún!$A$13:$AC$5087,11)</f>
        <v>XFILL_PMG100%</v>
      </c>
      <c r="M149" s="25">
        <f>+VLOOKUP(B149,[1]Balance_Gatún!$A$13:$AC$5087,12)</f>
        <v>10</v>
      </c>
      <c r="N149" s="25" t="str">
        <f>+VLOOKUP(B149,[1]Balance_Gatún!$A$13:$AC$5087,13)</f>
        <v>TA+CCL100%</v>
      </c>
      <c r="O149" s="25">
        <f>+VLOOKUP(B149,[1]Balance_Gatún!$A$13:$AC$5087,14)/408.7</f>
        <v>5.3142671469641547</v>
      </c>
      <c r="P149" s="24">
        <f>+VLOOKUP(B149,[1]Balance_Madden!$A$12:$V$5087,12)/35.32</f>
        <v>0.96148146078515651</v>
      </c>
      <c r="Q149" s="25">
        <f>+VLOOKUP(B149,[1]Balance_Gatún!$A$13:$AD$5087,15)/35.32</f>
        <v>7.7619371902662264</v>
      </c>
      <c r="R149" s="24">
        <f>+VLOOKUP(B149,[1]Balance_Madden!$A$12:$V$5087,14)/35.32</f>
        <v>21.708933329414826</v>
      </c>
      <c r="S149" s="26">
        <f>[1]Balance_Gatún!X148/35.32</f>
        <v>80.896194918585877</v>
      </c>
      <c r="T149" s="25">
        <v>167.78704151538648</v>
      </c>
      <c r="U149" s="25">
        <v>64.978511709950041</v>
      </c>
      <c r="V149" s="29">
        <f>LOOKUP(D149,[1]Parámetros!$A$7:$A$24,[1]Parámetros!$B$7:$B$24)</f>
        <v>49</v>
      </c>
      <c r="W149" s="30" t="str">
        <f t="shared" si="12"/>
        <v/>
      </c>
      <c r="X149" s="31" t="str">
        <f t="shared" si="13"/>
        <v/>
      </c>
      <c r="Y149" s="30" t="str">
        <f>IF($W149="Cambio Calado",COUNTIF($W$14:W149,"Cambio Calado"),"")</f>
        <v/>
      </c>
      <c r="Z149" s="31" t="str">
        <f t="shared" si="14"/>
        <v/>
      </c>
      <c r="AA149" s="30" t="str">
        <f t="shared" si="15"/>
        <v/>
      </c>
      <c r="AB149" s="29">
        <f>IFERROR(LOOKUP($A149,$Z$14:$Z149,$AA$14:$AA149),$U149)</f>
        <v>49</v>
      </c>
      <c r="AC149" s="32">
        <f>IFERROR($A150-LOOKUP($A150,$Z$14:$Z149),"")</f>
        <v>18</v>
      </c>
      <c r="AD149" s="1" cm="1">
        <f t="array" ref="AD149">IF(B149&lt;&gt;"",80,_xludf.NA())</f>
        <v>80</v>
      </c>
    </row>
    <row r="150" spans="1:30">
      <c r="A150" s="22">
        <f t="shared" si="11"/>
        <v>46340</v>
      </c>
      <c r="B150" s="9">
        <f>+[1]Balance_Madden!A148</f>
        <v>46340</v>
      </c>
      <c r="C150" s="24">
        <f>+VLOOKUP(B150,[1]Balance_Madden!$A$12:$E$5000,2)</f>
        <v>249.41399999999999</v>
      </c>
      <c r="D150" s="25">
        <f>+VLOOKUP(B150,[1]Balance_Gatún!$A$13:$E$5087,2)</f>
        <v>84.267014835116399</v>
      </c>
      <c r="E150" s="24">
        <f>+VLOOKUP(B150,[1]Balance_Madden!$A$12:$E$5087,5)/35.32</f>
        <v>47.774433748584372</v>
      </c>
      <c r="F150" s="26">
        <f>+VLOOKUP(B150,[1]Balance_Gatún!$A$13:$E$5087,5)/35.32</f>
        <v>55.435220838052096</v>
      </c>
      <c r="G150" s="24">
        <f>+VLOOKUP(B150,[1]Balance_Madden!$A$12:$K$5087,9)/111</f>
        <v>2.7027027027027026</v>
      </c>
      <c r="H150" s="25">
        <f>+VLOOKUP(B150,[1]Balance_Gatún!$A$13:$U$5087,21)/186</f>
        <v>0</v>
      </c>
      <c r="I150" s="24">
        <f>+(VLOOKUP(B150,[1]Balance_Madden!$A$12:$K$5087,10)/35.32)+VLOOKUP(B150,[1]Balance_Madden!$A$12:$K$5087,11)/35.32</f>
        <v>0</v>
      </c>
      <c r="J150" s="25">
        <f>+VLOOKUP(B150,[1]Balance_Gatún!$A$13:$AD$5087,23)/35.32+ VLOOKUP(B150,[1]Balance_Gatún!$A$13:$AD$5087,17)/35.32</f>
        <v>0</v>
      </c>
      <c r="K150" s="24">
        <f>+VLOOKUP(B150,[1]Balance_Gatún!$A$13:$AC$5087,10)</f>
        <v>18</v>
      </c>
      <c r="L150" s="25" t="str">
        <f>+VLOOKUP(B150,[1]Balance_Gatún!$A$13:$AC$5087,11)</f>
        <v>XFILL_PMG100%</v>
      </c>
      <c r="M150" s="25">
        <f>+VLOOKUP(B150,[1]Balance_Gatún!$A$13:$AC$5087,12)</f>
        <v>10</v>
      </c>
      <c r="N150" s="25" t="str">
        <f>+VLOOKUP(B150,[1]Balance_Gatún!$A$13:$AC$5087,13)</f>
        <v>TA+CCL100%</v>
      </c>
      <c r="O150" s="25">
        <f>+VLOOKUP(B150,[1]Balance_Gatún!$A$13:$AC$5087,14)/408.7</f>
        <v>5.3098700163807928</v>
      </c>
      <c r="P150" s="24">
        <f>+VLOOKUP(B150,[1]Balance_Madden!$A$12:$V$5087,12)/35.32</f>
        <v>2.0014351945116444</v>
      </c>
      <c r="Q150" s="25">
        <f>+VLOOKUP(B150,[1]Balance_Gatún!$A$13:$AD$5087,15)/35.32</f>
        <v>16.131915146523287</v>
      </c>
      <c r="R150" s="24">
        <f>+VLOOKUP(B150,[1]Balance_Madden!$A$12:$V$5087,14)/35.32</f>
        <v>22.748887063141314</v>
      </c>
      <c r="S150" s="26">
        <f>[1]Balance_Gatún!X149/35.32</f>
        <v>89.215292148075676</v>
      </c>
      <c r="T150" s="25">
        <v>154.85647474870919</v>
      </c>
      <c r="U150" s="25">
        <v>97.549360827433318</v>
      </c>
      <c r="V150" s="29">
        <f>LOOKUP(D150,[1]Parámetros!$A$7:$A$24,[1]Parámetros!$B$7:$B$24)</f>
        <v>49</v>
      </c>
      <c r="W150" s="30" t="str">
        <f t="shared" si="12"/>
        <v/>
      </c>
      <c r="X150" s="31" t="str">
        <f t="shared" si="13"/>
        <v/>
      </c>
      <c r="Y150" s="30" t="str">
        <f>IF($W150="Cambio Calado",COUNTIF($W$14:W150,"Cambio Calado"),"")</f>
        <v/>
      </c>
      <c r="Z150" s="31" t="str">
        <f t="shared" si="14"/>
        <v/>
      </c>
      <c r="AA150" s="30" t="str">
        <f t="shared" si="15"/>
        <v/>
      </c>
      <c r="AB150" s="29">
        <f>IFERROR(LOOKUP($A150,$Z$14:$Z150,$AA$14:$AA150),$U150)</f>
        <v>49</v>
      </c>
      <c r="AC150" s="32">
        <f>IFERROR($A151-LOOKUP($A151,$Z$14:$Z150),"")</f>
        <v>19</v>
      </c>
      <c r="AD150" s="1" cm="1">
        <f t="array" ref="AD150">IF(B150&lt;&gt;"",80,_xludf.NA())</f>
        <v>80</v>
      </c>
    </row>
    <row r="151" spans="1:30">
      <c r="A151" s="22">
        <f t="shared" si="11"/>
        <v>46341</v>
      </c>
      <c r="B151" s="9">
        <f>+[1]Balance_Madden!A149</f>
        <v>46341</v>
      </c>
      <c r="C151" s="24">
        <f>+VLOOKUP(B151,[1]Balance_Madden!$A$12:$E$5000,2)</f>
        <v>249.57</v>
      </c>
      <c r="D151" s="25">
        <f>+VLOOKUP(B151,[1]Balance_Gatún!$A$13:$E$5087,2)</f>
        <v>84.249916147112941</v>
      </c>
      <c r="E151" s="24">
        <f>+VLOOKUP(B151,[1]Balance_Madden!$A$12:$E$5087,5)/35.32</f>
        <v>36.862995469988675</v>
      </c>
      <c r="F151" s="26">
        <f>+VLOOKUP(B151,[1]Balance_Gatún!$A$13:$E$5087,5)/35.32</f>
        <v>51.785617214043036</v>
      </c>
      <c r="G151" s="24">
        <f>+VLOOKUP(B151,[1]Balance_Madden!$A$12:$K$5087,9)/111</f>
        <v>2.7027027027027026</v>
      </c>
      <c r="H151" s="25">
        <f>+VLOOKUP(B151,[1]Balance_Gatún!$A$13:$U$5087,21)/186</f>
        <v>0</v>
      </c>
      <c r="I151" s="24">
        <f>+(VLOOKUP(B151,[1]Balance_Madden!$A$12:$K$5087,10)/35.32)+VLOOKUP(B151,[1]Balance_Madden!$A$12:$K$5087,11)/35.32</f>
        <v>0</v>
      </c>
      <c r="J151" s="25">
        <f>+VLOOKUP(B151,[1]Balance_Gatún!$A$13:$AD$5087,23)/35.32+ VLOOKUP(B151,[1]Balance_Gatún!$A$13:$AD$5087,17)/35.32</f>
        <v>0</v>
      </c>
      <c r="K151" s="24">
        <f>+VLOOKUP(B151,[1]Balance_Gatún!$A$13:$AC$5087,10)</f>
        <v>18</v>
      </c>
      <c r="L151" s="25" t="str">
        <f>+VLOOKUP(B151,[1]Balance_Gatún!$A$13:$AC$5087,11)</f>
        <v>XFILL_PMG100%</v>
      </c>
      <c r="M151" s="25">
        <f>+VLOOKUP(B151,[1]Balance_Gatún!$A$13:$AC$5087,12)</f>
        <v>10</v>
      </c>
      <c r="N151" s="25" t="str">
        <f>+VLOOKUP(B151,[1]Balance_Gatún!$A$13:$AC$5087,13)</f>
        <v>TA+CCL100%</v>
      </c>
      <c r="O151" s="25">
        <f>+VLOOKUP(B151,[1]Balance_Gatún!$A$13:$AC$5087,14)/408.7</f>
        <v>5.3072000776652128</v>
      </c>
      <c r="P151" s="24">
        <f>+VLOOKUP(B151,[1]Balance_Madden!$A$12:$V$5087,12)/35.32</f>
        <v>1.0454260516005587</v>
      </c>
      <c r="Q151" s="25">
        <f>+VLOOKUP(B151,[1]Balance_Gatún!$A$13:$AD$5087,15)/35.32</f>
        <v>8.4085106165529222</v>
      </c>
      <c r="R151" s="24">
        <f>+VLOOKUP(B151,[1]Balance_Madden!$A$12:$V$5087,14)/35.32</f>
        <v>21.792877920230229</v>
      </c>
      <c r="S151" s="26">
        <f>[1]Balance_Gatún!X150/35.32</f>
        <v>81.460992828947397</v>
      </c>
      <c r="T151" s="25">
        <v>117.41187734968231</v>
      </c>
      <c r="U151" s="25">
        <v>78.865884490565705</v>
      </c>
      <c r="V151" s="29">
        <f>LOOKUP(D151,[1]Parámetros!$A$7:$A$24,[1]Parámetros!$B$7:$B$24)</f>
        <v>49</v>
      </c>
      <c r="W151" s="30" t="str">
        <f t="shared" si="12"/>
        <v/>
      </c>
      <c r="X151" s="31" t="str">
        <f t="shared" si="13"/>
        <v/>
      </c>
      <c r="Y151" s="30" t="str">
        <f>IF($W151="Cambio Calado",COUNTIF($W$14:W151,"Cambio Calado"),"")</f>
        <v/>
      </c>
      <c r="Z151" s="31" t="str">
        <f t="shared" si="14"/>
        <v/>
      </c>
      <c r="AA151" s="30" t="str">
        <f t="shared" si="15"/>
        <v/>
      </c>
      <c r="AB151" s="29">
        <f>IFERROR(LOOKUP($A151,$Z$14:$Z151,$AA$14:$AA151),$U151)</f>
        <v>49</v>
      </c>
      <c r="AC151" s="32">
        <f>IFERROR($A152-LOOKUP($A152,$Z$14:$Z151),"")</f>
        <v>20</v>
      </c>
      <c r="AD151" s="1" cm="1">
        <f t="array" ref="AD151">IF(B151&lt;&gt;"",80,_xludf.NA())</f>
        <v>80</v>
      </c>
    </row>
    <row r="152" spans="1:30">
      <c r="A152" s="22">
        <f t="shared" si="11"/>
        <v>46342</v>
      </c>
      <c r="B152" s="9">
        <f>+[1]Balance_Madden!A150</f>
        <v>46342</v>
      </c>
      <c r="C152" s="24">
        <f>+VLOOKUP(B152,[1]Balance_Madden!$A$12:$E$5000,2)</f>
        <v>249.66399999999999</v>
      </c>
      <c r="D152" s="25">
        <f>+VLOOKUP(B152,[1]Balance_Gatún!$A$13:$E$5087,2)</f>
        <v>84.235590239703257</v>
      </c>
      <c r="E152" s="24">
        <f>+VLOOKUP(B152,[1]Balance_Madden!$A$12:$E$5087,5)/35.32</f>
        <v>32.338731596828993</v>
      </c>
      <c r="F152" s="26">
        <f>+VLOOKUP(B152,[1]Balance_Gatún!$A$13:$E$5087,5)/35.32</f>
        <v>37.998159682899207</v>
      </c>
      <c r="G152" s="24">
        <f>+VLOOKUP(B152,[1]Balance_Madden!$A$12:$K$5087,9)/111</f>
        <v>2.7027027027027026</v>
      </c>
      <c r="H152" s="25">
        <f>+VLOOKUP(B152,[1]Balance_Gatún!$A$13:$U$5087,21)/186</f>
        <v>0</v>
      </c>
      <c r="I152" s="24">
        <f>+(VLOOKUP(B152,[1]Balance_Madden!$A$12:$K$5087,10)/35.32)+VLOOKUP(B152,[1]Balance_Madden!$A$12:$K$5087,11)/35.32</f>
        <v>0</v>
      </c>
      <c r="J152" s="25">
        <f>+VLOOKUP(B152,[1]Balance_Gatún!$A$13:$AD$5087,23)/35.32+ VLOOKUP(B152,[1]Balance_Gatún!$A$13:$AD$5087,17)/35.32</f>
        <v>0</v>
      </c>
      <c r="K152" s="24">
        <f>+VLOOKUP(B152,[1]Balance_Gatún!$A$13:$AC$5087,10)</f>
        <v>18</v>
      </c>
      <c r="L152" s="25" t="str">
        <f>+VLOOKUP(B152,[1]Balance_Gatún!$A$13:$AC$5087,11)</f>
        <v>XFILL_PMG100%</v>
      </c>
      <c r="M152" s="25">
        <f>+VLOOKUP(B152,[1]Balance_Gatún!$A$13:$AC$5087,12)</f>
        <v>10</v>
      </c>
      <c r="N152" s="25" t="str">
        <f>+VLOOKUP(B152,[1]Balance_Gatún!$A$13:$AC$5087,13)</f>
        <v>TA+CCL100%</v>
      </c>
      <c r="O152" s="25">
        <f>+VLOOKUP(B152,[1]Balance_Gatún!$A$13:$AC$5087,14)/408.7</f>
        <v>5.3049631051664354</v>
      </c>
      <c r="P152" s="24">
        <f>+VLOOKUP(B152,[1]Balance_Madden!$A$12:$V$5087,12)/35.32</f>
        <v>0.98957969840649784</v>
      </c>
      <c r="Q152" s="25">
        <f>+VLOOKUP(B152,[1]Balance_Gatún!$A$13:$AD$5087,15)/35.32</f>
        <v>7.9487906453844079</v>
      </c>
      <c r="R152" s="24">
        <f>+VLOOKUP(B152,[1]Balance_Madden!$A$12:$V$5087,14)/35.32</f>
        <v>21.737031567036166</v>
      </c>
      <c r="S152" s="26">
        <f>[1]Balance_Gatún!X151/35.32</f>
        <v>80.975388071248574</v>
      </c>
      <c r="T152" s="25">
        <v>97.898686443334014</v>
      </c>
      <c r="U152" s="25">
        <v>48.963583846072609</v>
      </c>
      <c r="V152" s="29">
        <f>LOOKUP(D152,[1]Parámetros!$A$7:$A$24,[1]Parámetros!$B$7:$B$24)</f>
        <v>49</v>
      </c>
      <c r="W152" s="30" t="str">
        <f t="shared" si="12"/>
        <v/>
      </c>
      <c r="X152" s="31" t="str">
        <f t="shared" si="13"/>
        <v/>
      </c>
      <c r="Y152" s="30" t="str">
        <f>IF($W152="Cambio Calado",COUNTIF($W$14:W152,"Cambio Calado"),"")</f>
        <v/>
      </c>
      <c r="Z152" s="31" t="str">
        <f t="shared" si="14"/>
        <v/>
      </c>
      <c r="AA152" s="30" t="str">
        <f t="shared" si="15"/>
        <v/>
      </c>
      <c r="AB152" s="29">
        <f>IFERROR(LOOKUP($A152,$Z$14:$Z152,$AA$14:$AA152),$U152)</f>
        <v>49</v>
      </c>
      <c r="AC152" s="32">
        <f>IFERROR($A153-LOOKUP($A153,$Z$14:$Z152),"")</f>
        <v>21</v>
      </c>
      <c r="AD152" s="1" cm="1">
        <f t="array" ref="AD152">IF(B152&lt;&gt;"",80,_xludf.NA())</f>
        <v>80</v>
      </c>
    </row>
    <row r="153" spans="1:30">
      <c r="A153" s="22">
        <f t="shared" si="11"/>
        <v>46343</v>
      </c>
      <c r="B153" s="9">
        <f>+[1]Balance_Madden!A151</f>
        <v>46343</v>
      </c>
      <c r="C153" s="24">
        <f>+VLOOKUP(B153,[1]Balance_Madden!$A$12:$E$5000,2)</f>
        <v>249.73</v>
      </c>
      <c r="D153" s="25">
        <f>+VLOOKUP(B153,[1]Balance_Gatún!$A$13:$E$5087,2)</f>
        <v>84.2122622721525</v>
      </c>
      <c r="E153" s="24">
        <f>+VLOOKUP(B153,[1]Balance_Madden!$A$12:$E$5087,5)/35.32</f>
        <v>32.072593431483583</v>
      </c>
      <c r="F153" s="26">
        <f>+VLOOKUP(B153,[1]Balance_Gatún!$A$13:$E$5087,5)/35.32</f>
        <v>149.10883352208381</v>
      </c>
      <c r="G153" s="24">
        <f>+VLOOKUP(B153,[1]Balance_Madden!$A$12:$K$5087,9)/111</f>
        <v>2.7027027027027026</v>
      </c>
      <c r="H153" s="25">
        <f>+VLOOKUP(B153,[1]Balance_Gatún!$A$13:$U$5087,21)/186</f>
        <v>0</v>
      </c>
      <c r="I153" s="24">
        <f>+(VLOOKUP(B153,[1]Balance_Madden!$A$12:$K$5087,10)/35.32)+VLOOKUP(B153,[1]Balance_Madden!$A$12:$K$5087,11)/35.32</f>
        <v>0</v>
      </c>
      <c r="J153" s="25">
        <f>+VLOOKUP(B153,[1]Balance_Gatún!$A$13:$AD$5087,23)/35.32+ VLOOKUP(B153,[1]Balance_Gatún!$A$13:$AD$5087,17)/35.32</f>
        <v>0</v>
      </c>
      <c r="K153" s="24">
        <f>+VLOOKUP(B153,[1]Balance_Gatún!$A$13:$AC$5087,10)</f>
        <v>18</v>
      </c>
      <c r="L153" s="25" t="str">
        <f>+VLOOKUP(B153,[1]Balance_Gatún!$A$13:$AC$5087,11)</f>
        <v>XFILL_PMG100%</v>
      </c>
      <c r="M153" s="25">
        <f>+VLOOKUP(B153,[1]Balance_Gatún!$A$13:$AC$5087,12)</f>
        <v>10</v>
      </c>
      <c r="N153" s="25" t="str">
        <f>+VLOOKUP(B153,[1]Balance_Gatún!$A$13:$AC$5087,13)</f>
        <v>TA+CCL100%</v>
      </c>
      <c r="O153" s="25">
        <f>+VLOOKUP(B153,[1]Balance_Gatún!$A$13:$AC$5087,14)/408.7</f>
        <v>5.3013204722517395</v>
      </c>
      <c r="P153" s="24">
        <f>+VLOOKUP(B153,[1]Balance_Madden!$A$12:$V$5087,12)/35.32</f>
        <v>1.4613105272601798</v>
      </c>
      <c r="Q153" s="25">
        <f>+VLOOKUP(B153,[1]Balance_Gatún!$A$13:$AD$5087,15)/35.32</f>
        <v>11.725062831489289</v>
      </c>
      <c r="R153" s="24">
        <f>+VLOOKUP(B153,[1]Balance_Madden!$A$12:$V$5087,14)/35.32</f>
        <v>22.208762395889853</v>
      </c>
      <c r="S153" s="26">
        <f>[1]Balance_Gatún!X152/35.32</f>
        <v>84.709510085432825</v>
      </c>
      <c r="T153" s="25">
        <v>69.643414614785726</v>
      </c>
      <c r="U153" s="25">
        <v>64.557155153535959</v>
      </c>
      <c r="V153" s="29">
        <f>LOOKUP(D153,[1]Parámetros!$A$7:$A$24,[1]Parámetros!$B$7:$B$24)</f>
        <v>49</v>
      </c>
      <c r="W153" s="30" t="str">
        <f t="shared" si="12"/>
        <v/>
      </c>
      <c r="X153" s="31" t="str">
        <f t="shared" si="13"/>
        <v/>
      </c>
      <c r="Y153" s="30" t="str">
        <f>IF($W153="Cambio Calado",COUNTIF($W$14:W153,"Cambio Calado"),"")</f>
        <v/>
      </c>
      <c r="Z153" s="31" t="str">
        <f t="shared" si="14"/>
        <v/>
      </c>
      <c r="AA153" s="30" t="str">
        <f t="shared" si="15"/>
        <v/>
      </c>
      <c r="AB153" s="29">
        <f>IFERROR(LOOKUP($A153,$Z$14:$Z153,$AA$14:$AA153),$U153)</f>
        <v>49</v>
      </c>
      <c r="AC153" s="32">
        <f>IFERROR($A154-LOOKUP($A154,$Z$14:$Z153),"")</f>
        <v>22</v>
      </c>
      <c r="AD153" s="1" cm="1">
        <f t="array" ref="AD153">IF(B153&lt;&gt;"",80,_xludf.NA())</f>
        <v>80</v>
      </c>
    </row>
    <row r="154" spans="1:30">
      <c r="A154" s="22">
        <f t="shared" si="11"/>
        <v>46344</v>
      </c>
      <c r="B154" s="9">
        <f>+[1]Balance_Madden!A152</f>
        <v>46344</v>
      </c>
      <c r="C154" s="24">
        <f>+VLOOKUP(B154,[1]Balance_Madden!$A$12:$E$5000,2)</f>
        <v>249.791</v>
      </c>
      <c r="D154" s="25">
        <f>+VLOOKUP(B154,[1]Balance_Gatún!$A$13:$E$5087,2)</f>
        <v>84.261566204698909</v>
      </c>
      <c r="E154" s="24">
        <f>+VLOOKUP(B154,[1]Balance_Madden!$A$12:$E$5087,5)/35.32</f>
        <v>98.871913929784824</v>
      </c>
      <c r="F154" s="26">
        <f>+VLOOKUP(B154,[1]Balance_Gatún!$A$13:$E$5087,5)/35.32</f>
        <v>93.553482446206118</v>
      </c>
      <c r="G154" s="24">
        <f>+VLOOKUP(B154,[1]Balance_Madden!$A$12:$K$5087,9)/111</f>
        <v>2.7027027027027026</v>
      </c>
      <c r="H154" s="25">
        <f>+VLOOKUP(B154,[1]Balance_Gatún!$A$13:$U$5087,21)/186</f>
        <v>0</v>
      </c>
      <c r="I154" s="24">
        <f>+(VLOOKUP(B154,[1]Balance_Madden!$A$12:$K$5087,10)/35.32)+VLOOKUP(B154,[1]Balance_Madden!$A$12:$K$5087,11)/35.32</f>
        <v>0</v>
      </c>
      <c r="J154" s="25">
        <f>+VLOOKUP(B154,[1]Balance_Gatún!$A$13:$AD$5087,23)/35.32+ VLOOKUP(B154,[1]Balance_Gatún!$A$13:$AD$5087,17)/35.32</f>
        <v>0</v>
      </c>
      <c r="K154" s="24">
        <f>+VLOOKUP(B154,[1]Balance_Gatún!$A$13:$AC$5087,10)</f>
        <v>18</v>
      </c>
      <c r="L154" s="25" t="str">
        <f>+VLOOKUP(B154,[1]Balance_Gatún!$A$13:$AC$5087,11)</f>
        <v>XFILL_PMG100%</v>
      </c>
      <c r="M154" s="25">
        <f>+VLOOKUP(B154,[1]Balance_Gatún!$A$13:$AC$5087,12)</f>
        <v>10</v>
      </c>
      <c r="N154" s="25" t="str">
        <f>+VLOOKUP(B154,[1]Balance_Gatún!$A$13:$AC$5087,13)</f>
        <v>TA+CCL100%</v>
      </c>
      <c r="O154" s="25">
        <f>+VLOOKUP(B154,[1]Balance_Gatún!$A$13:$AC$5087,14)/408.7</f>
        <v>5.3090192195655286</v>
      </c>
      <c r="P154" s="24">
        <f>+VLOOKUP(B154,[1]Balance_Madden!$A$12:$V$5087,12)/35.32</f>
        <v>1.8167966944541574</v>
      </c>
      <c r="Q154" s="25">
        <f>+VLOOKUP(B154,[1]Balance_Gatún!$A$13:$AD$5087,15)/35.32</f>
        <v>14.575767359746754</v>
      </c>
      <c r="R154" s="24">
        <f>+VLOOKUP(B154,[1]Balance_Madden!$A$12:$V$5087,14)/35.32</f>
        <v>22.564248563083829</v>
      </c>
      <c r="S154" s="26">
        <f>[1]Balance_Gatún!X153/35.32</f>
        <v>87.649299495546074</v>
      </c>
      <c r="T154" s="25">
        <v>75.40987567522059</v>
      </c>
      <c r="U154" s="25">
        <v>58.963263944642044</v>
      </c>
      <c r="V154" s="29">
        <f>LOOKUP(D154,[1]Parámetros!$A$7:$A$24,[1]Parámetros!$B$7:$B$24)</f>
        <v>49</v>
      </c>
      <c r="W154" s="30" t="str">
        <f t="shared" si="12"/>
        <v/>
      </c>
      <c r="X154" s="31" t="str">
        <f t="shared" si="13"/>
        <v/>
      </c>
      <c r="Y154" s="30" t="str">
        <f>IF($W154="Cambio Calado",COUNTIF($W$14:W154,"Cambio Calado"),"")</f>
        <v/>
      </c>
      <c r="Z154" s="31" t="str">
        <f t="shared" si="14"/>
        <v/>
      </c>
      <c r="AA154" s="30" t="str">
        <f t="shared" si="15"/>
        <v/>
      </c>
      <c r="AB154" s="29">
        <f>IFERROR(LOOKUP($A154,$Z$14:$Z154,$AA$14:$AA154),$U154)</f>
        <v>49</v>
      </c>
      <c r="AC154" s="32">
        <f>IFERROR($A155-LOOKUP($A155,$Z$14:$Z154),"")</f>
        <v>23</v>
      </c>
      <c r="AD154" s="1" cm="1">
        <f t="array" ref="AD154">IF(B154&lt;&gt;"",80,_xludf.NA())</f>
        <v>80</v>
      </c>
    </row>
    <row r="155" spans="1:30">
      <c r="A155" s="22">
        <f t="shared" si="11"/>
        <v>46345</v>
      </c>
      <c r="B155" s="9">
        <f>+[1]Balance_Madden!A153</f>
        <v>46345</v>
      </c>
      <c r="C155" s="24">
        <f>+VLOOKUP(B155,[1]Balance_Madden!$A$12:$E$5000,2)</f>
        <v>250.25200000000001</v>
      </c>
      <c r="D155" s="25">
        <f>+VLOOKUP(B155,[1]Balance_Gatún!$A$13:$E$5087,2)</f>
        <v>84.271301178538224</v>
      </c>
      <c r="E155" s="24">
        <f>+VLOOKUP(B155,[1]Balance_Madden!$A$12:$E$5087,5)/35.32</f>
        <v>43.782446206115516</v>
      </c>
      <c r="F155" s="26">
        <f>+VLOOKUP(B155,[1]Balance_Gatún!$A$13:$E$5087,5)/35.32</f>
        <v>81.793601359003389</v>
      </c>
      <c r="G155" s="24">
        <f>+VLOOKUP(B155,[1]Balance_Madden!$A$12:$K$5087,9)/111</f>
        <v>2.7027027027027026</v>
      </c>
      <c r="H155" s="25">
        <f>+VLOOKUP(B155,[1]Balance_Gatún!$A$13:$U$5087,21)/186</f>
        <v>0</v>
      </c>
      <c r="I155" s="24">
        <f>+(VLOOKUP(B155,[1]Balance_Madden!$A$12:$K$5087,10)/35.32)+VLOOKUP(B155,[1]Balance_Madden!$A$12:$K$5087,11)/35.32</f>
        <v>0</v>
      </c>
      <c r="J155" s="25">
        <f>+VLOOKUP(B155,[1]Balance_Gatún!$A$13:$AD$5087,23)/35.32+ VLOOKUP(B155,[1]Balance_Gatún!$A$13:$AD$5087,17)/35.32</f>
        <v>0</v>
      </c>
      <c r="K155" s="24">
        <f>+VLOOKUP(B155,[1]Balance_Gatún!$A$13:$AC$5087,10)</f>
        <v>18</v>
      </c>
      <c r="L155" s="25" t="str">
        <f>+VLOOKUP(B155,[1]Balance_Gatún!$A$13:$AC$5087,11)</f>
        <v>XFILL_PMG100%</v>
      </c>
      <c r="M155" s="25">
        <f>+VLOOKUP(B155,[1]Balance_Gatún!$A$13:$AC$5087,12)</f>
        <v>10</v>
      </c>
      <c r="N155" s="25" t="str">
        <f>+VLOOKUP(B155,[1]Balance_Gatún!$A$13:$AC$5087,13)</f>
        <v>TA+CCL100%</v>
      </c>
      <c r="O155" s="25">
        <f>+VLOOKUP(B155,[1]Balance_Gatún!$A$13:$AC$5087,14)/408.7</f>
        <v>5.3105393235374514</v>
      </c>
      <c r="P155" s="24">
        <f>+VLOOKUP(B155,[1]Balance_Madden!$A$12:$V$5087,12)/35.32</f>
        <v>1.7789936004798395</v>
      </c>
      <c r="Q155" s="25">
        <f>+VLOOKUP(B155,[1]Balance_Gatún!$A$13:$AD$5087,15)/35.32</f>
        <v>14.194765598238748</v>
      </c>
      <c r="R155" s="24">
        <f>+VLOOKUP(B155,[1]Balance_Madden!$A$12:$V$5087,14)/35.32</f>
        <v>22.526445469109511</v>
      </c>
      <c r="S155" s="26">
        <f>[1]Balance_Gatún!X154/35.32</f>
        <v>87.28588738560444</v>
      </c>
      <c r="T155" s="25">
        <v>119.68132099261564</v>
      </c>
      <c r="U155" s="25">
        <v>57.910364776468988</v>
      </c>
      <c r="V155" s="29">
        <f>LOOKUP(D155,[1]Parámetros!$A$7:$A$24,[1]Parámetros!$B$7:$B$24)</f>
        <v>49</v>
      </c>
      <c r="W155" s="30" t="str">
        <f t="shared" si="12"/>
        <v/>
      </c>
      <c r="X155" s="31" t="str">
        <f t="shared" si="13"/>
        <v/>
      </c>
      <c r="Y155" s="30" t="str">
        <f>IF($W155="Cambio Calado",COUNTIF($W$14:W155,"Cambio Calado"),"")</f>
        <v/>
      </c>
      <c r="Z155" s="31" t="str">
        <f t="shared" si="14"/>
        <v/>
      </c>
      <c r="AA155" s="30" t="str">
        <f t="shared" si="15"/>
        <v/>
      </c>
      <c r="AB155" s="29">
        <f>IFERROR(LOOKUP($A155,$Z$14:$Z155,$AA$14:$AA155),$U155)</f>
        <v>49</v>
      </c>
      <c r="AC155" s="32">
        <f>IFERROR($A156-LOOKUP($A156,$Z$14:$Z155),"")</f>
        <v>24</v>
      </c>
      <c r="AD155" s="1" cm="1">
        <f t="array" ref="AD155">IF(B155&lt;&gt;"",80,_xludf.NA())</f>
        <v>80</v>
      </c>
    </row>
    <row r="156" spans="1:30">
      <c r="A156" s="22">
        <f t="shared" si="11"/>
        <v>46346</v>
      </c>
      <c r="B156" s="9">
        <f>+[1]Balance_Madden!A154</f>
        <v>46346</v>
      </c>
      <c r="C156" s="24">
        <f>+VLOOKUP(B156,[1]Balance_Madden!$A$12:$E$5000,2)</f>
        <v>250.37700000000001</v>
      </c>
      <c r="D156" s="25">
        <f>+VLOOKUP(B156,[1]Balance_Gatún!$A$13:$E$5087,2)</f>
        <v>84.273330440435188</v>
      </c>
      <c r="E156" s="24">
        <f>+VLOOKUP(B156,[1]Balance_Madden!$A$12:$E$5087,5)/35.32</f>
        <v>36.330719139297848</v>
      </c>
      <c r="F156" s="26">
        <f>+VLOOKUP(B156,[1]Balance_Gatún!$A$13:$E$5087,5)/35.32</f>
        <v>68.208918459796152</v>
      </c>
      <c r="G156" s="24">
        <f>+VLOOKUP(B156,[1]Balance_Madden!$A$12:$K$5087,9)/111</f>
        <v>2.7027027027027026</v>
      </c>
      <c r="H156" s="25">
        <f>+VLOOKUP(B156,[1]Balance_Gatún!$A$13:$U$5087,21)/186</f>
        <v>0</v>
      </c>
      <c r="I156" s="24">
        <f>+(VLOOKUP(B156,[1]Balance_Madden!$A$12:$K$5087,10)/35.32)+VLOOKUP(B156,[1]Balance_Madden!$A$12:$K$5087,11)/35.32</f>
        <v>0</v>
      </c>
      <c r="J156" s="25">
        <f>+VLOOKUP(B156,[1]Balance_Gatún!$A$13:$AD$5087,23)/35.32+ VLOOKUP(B156,[1]Balance_Gatún!$A$13:$AD$5087,17)/35.32</f>
        <v>0</v>
      </c>
      <c r="K156" s="24">
        <f>+VLOOKUP(B156,[1]Balance_Gatún!$A$13:$AC$5087,10)</f>
        <v>18</v>
      </c>
      <c r="L156" s="25" t="str">
        <f>+VLOOKUP(B156,[1]Balance_Gatún!$A$13:$AC$5087,11)</f>
        <v>XFILL_PMG100%</v>
      </c>
      <c r="M156" s="25">
        <f>+VLOOKUP(B156,[1]Balance_Gatún!$A$13:$AC$5087,12)</f>
        <v>10</v>
      </c>
      <c r="N156" s="25" t="str">
        <f>+VLOOKUP(B156,[1]Balance_Gatún!$A$13:$AC$5087,13)</f>
        <v>TA+CCL100%</v>
      </c>
      <c r="O156" s="25">
        <f>+VLOOKUP(B156,[1]Balance_Gatún!$A$13:$AC$5087,14)/408.7</f>
        <v>5.3108561902410054</v>
      </c>
      <c r="P156" s="24">
        <f>+VLOOKUP(B156,[1]Balance_Madden!$A$12:$V$5087,12)/35.32</f>
        <v>2.3311226822123019</v>
      </c>
      <c r="Q156" s="25">
        <f>+VLOOKUP(B156,[1]Balance_Gatún!$A$13:$AD$5087,15)/35.32</f>
        <v>18.572651732783999</v>
      </c>
      <c r="R156" s="24">
        <f>+VLOOKUP(B156,[1]Balance_Madden!$A$12:$V$5087,14)/35.32</f>
        <v>23.078574550841974</v>
      </c>
      <c r="S156" s="26">
        <f>[1]Balance_Gatún!X155/35.32</f>
        <v>91.667440094944226</v>
      </c>
      <c r="T156" s="25">
        <v>75.906980209524647</v>
      </c>
      <c r="U156" s="25">
        <v>66.255928951091633</v>
      </c>
      <c r="V156" s="29">
        <f>LOOKUP(D156,[1]Parámetros!$A$7:$A$24,[1]Parámetros!$B$7:$B$24)</f>
        <v>49</v>
      </c>
      <c r="W156" s="30" t="str">
        <f t="shared" si="12"/>
        <v/>
      </c>
      <c r="X156" s="31" t="str">
        <f t="shared" si="13"/>
        <v/>
      </c>
      <c r="Y156" s="30" t="str">
        <f>IF($W156="Cambio Calado",COUNTIF($W$14:W156,"Cambio Calado"),"")</f>
        <v/>
      </c>
      <c r="Z156" s="31" t="str">
        <f t="shared" si="14"/>
        <v/>
      </c>
      <c r="AA156" s="30" t="str">
        <f t="shared" si="15"/>
        <v/>
      </c>
      <c r="AB156" s="29">
        <f>IFERROR(LOOKUP($A156,$Z$14:$Z156,$AA$14:$AA156),$U156)</f>
        <v>49</v>
      </c>
      <c r="AC156" s="32">
        <f>IFERROR($A157-LOOKUP($A157,$Z$14:$Z156),"")</f>
        <v>25</v>
      </c>
      <c r="AD156" s="1" cm="1">
        <f t="array" ref="AD156">IF(B156&lt;&gt;"",80,_xludf.NA())</f>
        <v>80</v>
      </c>
    </row>
    <row r="157" spans="1:30">
      <c r="A157" s="22">
        <f t="shared" si="11"/>
        <v>46347</v>
      </c>
      <c r="B157" s="9">
        <f>+[1]Balance_Madden!A155</f>
        <v>46347</v>
      </c>
      <c r="C157" s="24">
        <f>+VLOOKUP(B157,[1]Balance_Madden!$A$12:$E$5000,2)</f>
        <v>250.45500000000001</v>
      </c>
      <c r="D157" s="25">
        <f>+VLOOKUP(B157,[1]Balance_Gatún!$A$13:$E$5087,2)</f>
        <v>84.263212469041136</v>
      </c>
      <c r="E157" s="24">
        <f>+VLOOKUP(B157,[1]Balance_Madden!$A$12:$E$5087,5)/35.32</f>
        <v>75.550198187995463</v>
      </c>
      <c r="F157" s="26">
        <f>+VLOOKUP(B157,[1]Balance_Gatún!$A$13:$E$5087,5)/35.32</f>
        <v>115.76350509626273</v>
      </c>
      <c r="G157" s="24">
        <f>+VLOOKUP(B157,[1]Balance_Madden!$A$12:$K$5087,9)/111</f>
        <v>2.7027027027027026</v>
      </c>
      <c r="H157" s="25">
        <f>+VLOOKUP(B157,[1]Balance_Gatún!$A$13:$U$5087,21)/186</f>
        <v>0</v>
      </c>
      <c r="I157" s="24">
        <f>+(VLOOKUP(B157,[1]Balance_Madden!$A$12:$K$5087,10)/35.32)+VLOOKUP(B157,[1]Balance_Madden!$A$12:$K$5087,11)/35.32</f>
        <v>0</v>
      </c>
      <c r="J157" s="25">
        <f>+VLOOKUP(B157,[1]Balance_Gatún!$A$13:$AD$5087,23)/35.32+ VLOOKUP(B157,[1]Balance_Gatún!$A$13:$AD$5087,17)/35.32</f>
        <v>0</v>
      </c>
      <c r="K157" s="24">
        <f>+VLOOKUP(B157,[1]Balance_Gatún!$A$13:$AC$5087,10)</f>
        <v>18</v>
      </c>
      <c r="L157" s="25" t="str">
        <f>+VLOOKUP(B157,[1]Balance_Gatún!$A$13:$AC$5087,11)</f>
        <v>XFILL_PMG100%</v>
      </c>
      <c r="M157" s="25">
        <f>+VLOOKUP(B157,[1]Balance_Gatún!$A$13:$AC$5087,12)</f>
        <v>10</v>
      </c>
      <c r="N157" s="25" t="str">
        <f>+VLOOKUP(B157,[1]Balance_Gatún!$A$13:$AC$5087,13)</f>
        <v>TA+CCL100%</v>
      </c>
      <c r="O157" s="25">
        <f>+VLOOKUP(B157,[1]Balance_Gatún!$A$13:$AC$5087,14)/408.7</f>
        <v>5.3092762816806172</v>
      </c>
      <c r="P157" s="24">
        <f>+VLOOKUP(B157,[1]Balance_Madden!$A$12:$V$5087,12)/35.32</f>
        <v>2.3213355911201412</v>
      </c>
      <c r="Q157" s="25">
        <f>+VLOOKUP(B157,[1]Balance_Gatún!$A$13:$AD$5087,15)/35.32</f>
        <v>18.474864394119148</v>
      </c>
      <c r="R157" s="24">
        <f>+VLOOKUP(B157,[1]Balance_Madden!$A$12:$V$5087,14)/35.32</f>
        <v>23.06878745974981</v>
      </c>
      <c r="S157" s="26">
        <f>[1]Balance_Gatún!X156/35.32</f>
        <v>91.551371085027085</v>
      </c>
      <c r="T157" s="25">
        <v>100.84245474729944</v>
      </c>
      <c r="U157" s="25">
        <v>70.309723096960909</v>
      </c>
      <c r="V157" s="29">
        <f>LOOKUP(D157,[1]Parámetros!$A$7:$A$24,[1]Parámetros!$B$7:$B$24)</f>
        <v>49</v>
      </c>
      <c r="W157" s="30" t="str">
        <f t="shared" si="12"/>
        <v/>
      </c>
      <c r="X157" s="31" t="str">
        <f t="shared" si="13"/>
        <v/>
      </c>
      <c r="Y157" s="30" t="str">
        <f>IF($W157="Cambio Calado",COUNTIF($W$14:W157,"Cambio Calado"),"")</f>
        <v/>
      </c>
      <c r="Z157" s="31" t="str">
        <f t="shared" si="14"/>
        <v/>
      </c>
      <c r="AA157" s="30" t="str">
        <f t="shared" si="15"/>
        <v/>
      </c>
      <c r="AB157" s="29">
        <f>IFERROR(LOOKUP($A157,$Z$14:$Z157,$AA$14:$AA157),$U157)</f>
        <v>49</v>
      </c>
      <c r="AC157" s="32">
        <f>IFERROR($A158-LOOKUP($A158,$Z$14:$Z157),"")</f>
        <v>26</v>
      </c>
      <c r="AD157" s="1" cm="1">
        <f t="array" ref="AD157">IF(B157&lt;&gt;"",80,_xludf.NA())</f>
        <v>80</v>
      </c>
    </row>
    <row r="158" spans="1:30">
      <c r="A158" s="22">
        <f t="shared" si="11"/>
        <v>46348</v>
      </c>
      <c r="B158" s="9">
        <f>+[1]Balance_Madden!A156</f>
        <v>46348</v>
      </c>
      <c r="C158" s="24">
        <f>+VLOOKUP(B158,[1]Balance_Madden!$A$12:$E$5000,2)</f>
        <v>250.76400000000001</v>
      </c>
      <c r="D158" s="25">
        <f>+VLOOKUP(B158,[1]Balance_Gatún!$A$13:$E$5087,2)</f>
        <v>84.285323928594863</v>
      </c>
      <c r="E158" s="24">
        <f>+VLOOKUP(B158,[1]Balance_Madden!$A$12:$E$5087,5)/35.32</f>
        <v>62.8417610419026</v>
      </c>
      <c r="F158" s="26">
        <f>+VLOOKUP(B158,[1]Balance_Gatún!$A$13:$E$5087,5)/35.32</f>
        <v>78.330662514156288</v>
      </c>
      <c r="G158" s="24">
        <f>+VLOOKUP(B158,[1]Balance_Madden!$A$12:$K$5087,9)/111</f>
        <v>2.7027027027027026</v>
      </c>
      <c r="H158" s="25">
        <f>+VLOOKUP(B158,[1]Balance_Gatún!$A$13:$U$5087,21)/186</f>
        <v>0</v>
      </c>
      <c r="I158" s="24">
        <f>+(VLOOKUP(B158,[1]Balance_Madden!$A$12:$K$5087,10)/35.32)+VLOOKUP(B158,[1]Balance_Madden!$A$12:$K$5087,11)/35.32</f>
        <v>0</v>
      </c>
      <c r="J158" s="25">
        <f>+VLOOKUP(B158,[1]Balance_Gatún!$A$13:$AD$5087,23)/35.32+ VLOOKUP(B158,[1]Balance_Gatún!$A$13:$AD$5087,17)/35.32</f>
        <v>0</v>
      </c>
      <c r="K158" s="24">
        <f>+VLOOKUP(B158,[1]Balance_Gatún!$A$13:$AC$5087,10)</f>
        <v>18</v>
      </c>
      <c r="L158" s="25" t="str">
        <f>+VLOOKUP(B158,[1]Balance_Gatún!$A$13:$AC$5087,11)</f>
        <v>XFILL_PMG100%</v>
      </c>
      <c r="M158" s="25">
        <f>+VLOOKUP(B158,[1]Balance_Gatún!$A$13:$AC$5087,12)</f>
        <v>10</v>
      </c>
      <c r="N158" s="25" t="str">
        <f>+VLOOKUP(B158,[1]Balance_Gatún!$A$13:$AC$5087,13)</f>
        <v>TA+CCL100%</v>
      </c>
      <c r="O158" s="25">
        <f>+VLOOKUP(B158,[1]Balance_Gatún!$A$13:$AC$5087,14)/408.7</f>
        <v>5.3127289583952564</v>
      </c>
      <c r="P158" s="24">
        <f>+VLOOKUP(B158,[1]Balance_Madden!$A$12:$V$5087,12)/35.32</f>
        <v>2.6690765844414059</v>
      </c>
      <c r="Q158" s="25">
        <f>+VLOOKUP(B158,[1]Balance_Gatún!$A$13:$AD$5087,15)/35.32</f>
        <v>21.169370502880522</v>
      </c>
      <c r="R158" s="24">
        <f>+VLOOKUP(B158,[1]Balance_Madden!$A$12:$V$5087,14)/35.32</f>
        <v>23.416528453071077</v>
      </c>
      <c r="S158" s="26">
        <f>[1]Balance_Gatún!X157/35.32</f>
        <v>94.285829316474562</v>
      </c>
      <c r="T158" s="25">
        <v>43.829946513136989</v>
      </c>
      <c r="U158" s="25">
        <v>46.637933803490782</v>
      </c>
      <c r="V158" s="29">
        <f>LOOKUP(D158,[1]Parámetros!$A$7:$A$24,[1]Parámetros!$B$7:$B$24)</f>
        <v>49</v>
      </c>
      <c r="W158" s="30" t="str">
        <f t="shared" si="12"/>
        <v/>
      </c>
      <c r="X158" s="31" t="str">
        <f t="shared" si="13"/>
        <v/>
      </c>
      <c r="Y158" s="30" t="str">
        <f>IF($W158="Cambio Calado",COUNTIF($W$14:W158,"Cambio Calado"),"")</f>
        <v/>
      </c>
      <c r="Z158" s="31" t="str">
        <f t="shared" si="14"/>
        <v/>
      </c>
      <c r="AA158" s="30" t="str">
        <f t="shared" si="15"/>
        <v/>
      </c>
      <c r="AB158" s="29">
        <f>IFERROR(LOOKUP($A158,$Z$14:$Z158,$AA$14:$AA158),$U158)</f>
        <v>49</v>
      </c>
      <c r="AC158" s="32">
        <f>IFERROR($A159-LOOKUP($A159,$Z$14:$Z158),"")</f>
        <v>27</v>
      </c>
      <c r="AD158" s="1" cm="1">
        <f t="array" ref="AD158">IF(B158&lt;&gt;"",80,_xludf.NA())</f>
        <v>80</v>
      </c>
    </row>
    <row r="159" spans="1:30">
      <c r="A159" s="22">
        <f t="shared" si="11"/>
        <v>46349</v>
      </c>
      <c r="B159" s="9">
        <f>+[1]Balance_Madden!A157</f>
        <v>46349</v>
      </c>
      <c r="C159" s="24">
        <f>+VLOOKUP(B159,[1]Balance_Madden!$A$12:$E$5000,2)</f>
        <v>250.99600000000001</v>
      </c>
      <c r="D159" s="25">
        <f>+VLOOKUP(B159,[1]Balance_Gatún!$A$13:$E$5087,2)</f>
        <v>84.28028004884176</v>
      </c>
      <c r="E159" s="24">
        <f>+VLOOKUP(B159,[1]Balance_Madden!$A$12:$E$5087,5)/35.32</f>
        <v>54.114241223103058</v>
      </c>
      <c r="F159" s="26">
        <f>+VLOOKUP(B159,[1]Balance_Gatún!$A$13:$E$5087,5)/35.32</f>
        <v>52.290402038505093</v>
      </c>
      <c r="G159" s="24">
        <f>+VLOOKUP(B159,[1]Balance_Madden!$A$12:$K$5087,9)/111</f>
        <v>2.7027027027027026</v>
      </c>
      <c r="H159" s="25">
        <f>+VLOOKUP(B159,[1]Balance_Gatún!$A$13:$U$5087,21)/186</f>
        <v>0</v>
      </c>
      <c r="I159" s="24">
        <f>+(VLOOKUP(B159,[1]Balance_Madden!$A$12:$K$5087,10)/35.32)+VLOOKUP(B159,[1]Balance_Madden!$A$12:$K$5087,11)/35.32</f>
        <v>0</v>
      </c>
      <c r="J159" s="25">
        <f>+VLOOKUP(B159,[1]Balance_Gatún!$A$13:$AD$5087,23)/35.32+ VLOOKUP(B159,[1]Balance_Gatún!$A$13:$AD$5087,17)/35.32</f>
        <v>0</v>
      </c>
      <c r="K159" s="24">
        <f>+VLOOKUP(B159,[1]Balance_Gatún!$A$13:$AC$5087,10)</f>
        <v>18</v>
      </c>
      <c r="L159" s="25" t="str">
        <f>+VLOOKUP(B159,[1]Balance_Gatún!$A$13:$AC$5087,11)</f>
        <v>XFILL_PMG100%</v>
      </c>
      <c r="M159" s="25">
        <f>+VLOOKUP(B159,[1]Balance_Gatún!$A$13:$AC$5087,12)</f>
        <v>10</v>
      </c>
      <c r="N159" s="25" t="str">
        <f>+VLOOKUP(B159,[1]Balance_Gatún!$A$13:$AC$5087,13)</f>
        <v>TA+CCL100%</v>
      </c>
      <c r="O159" s="25">
        <f>+VLOOKUP(B159,[1]Balance_Gatún!$A$13:$AC$5087,14)/408.7</f>
        <v>5.3119413628892858</v>
      </c>
      <c r="P159" s="24">
        <f>+VLOOKUP(B159,[1]Balance_Madden!$A$12:$V$5087,12)/35.32</f>
        <v>1.3384552480090359</v>
      </c>
      <c r="Q159" s="25">
        <f>+VLOOKUP(B159,[1]Balance_Gatún!$A$13:$AD$5087,15)/35.32</f>
        <v>10.585448240893237</v>
      </c>
      <c r="R159" s="24">
        <f>+VLOOKUP(B159,[1]Balance_Madden!$A$12:$V$5087,14)/35.32</f>
        <v>22.085907116638708</v>
      </c>
      <c r="S159" s="26">
        <f>[1]Balance_Gatún!X158/35.32</f>
        <v>83.692793513057765</v>
      </c>
      <c r="T159" s="25">
        <v>88.700389971103363</v>
      </c>
      <c r="U159" s="25">
        <v>44.187748261378182</v>
      </c>
      <c r="V159" s="29">
        <f>LOOKUP(D159,[1]Parámetros!$A$7:$A$24,[1]Parámetros!$B$7:$B$24)</f>
        <v>49</v>
      </c>
      <c r="W159" s="30" t="str">
        <f t="shared" si="12"/>
        <v/>
      </c>
      <c r="X159" s="31" t="str">
        <f t="shared" si="13"/>
        <v/>
      </c>
      <c r="Y159" s="30" t="str">
        <f>IF($W159="Cambio Calado",COUNTIF($W$14:W159,"Cambio Calado"),"")</f>
        <v/>
      </c>
      <c r="Z159" s="31" t="str">
        <f t="shared" si="14"/>
        <v/>
      </c>
      <c r="AA159" s="30" t="str">
        <f t="shared" si="15"/>
        <v/>
      </c>
      <c r="AB159" s="29">
        <f>IFERROR(LOOKUP($A159,$Z$14:$Z159,$AA$14:$AA159),$U159)</f>
        <v>49</v>
      </c>
      <c r="AC159" s="32">
        <f>IFERROR($A160-LOOKUP($A160,$Z$14:$Z159),"")</f>
        <v>28</v>
      </c>
      <c r="AD159" s="1" cm="1">
        <f t="array" ref="AD159">IF(B159&lt;&gt;"",80,_xludf.NA())</f>
        <v>80</v>
      </c>
    </row>
    <row r="160" spans="1:30">
      <c r="A160" s="22">
        <f t="shared" si="11"/>
        <v>46350</v>
      </c>
      <c r="B160" s="9">
        <f>+[1]Balance_Madden!A158</f>
        <v>46350</v>
      </c>
      <c r="C160" s="24">
        <f>+VLOOKUP(B160,[1]Balance_Madden!$A$12:$E$5000,2)</f>
        <v>251.184</v>
      </c>
      <c r="D160" s="25">
        <f>+VLOOKUP(B160,[1]Balance_Gatún!$A$13:$E$5087,2)</f>
        <v>84.264791896040308</v>
      </c>
      <c r="E160" s="24">
        <f>+VLOOKUP(B160,[1]Balance_Madden!$A$12:$E$5087,5)/35.32</f>
        <v>48.602151755379388</v>
      </c>
      <c r="F160" s="26">
        <f>+VLOOKUP(B160,[1]Balance_Gatún!$A$13:$E$5087,5)/35.32</f>
        <v>50.988391845979613</v>
      </c>
      <c r="G160" s="24">
        <f>+VLOOKUP(B160,[1]Balance_Madden!$A$12:$K$5087,9)/111</f>
        <v>2.7027027027027026</v>
      </c>
      <c r="H160" s="25">
        <f>+VLOOKUP(B160,[1]Balance_Gatún!$A$13:$U$5087,21)/186</f>
        <v>0</v>
      </c>
      <c r="I160" s="24">
        <f>+(VLOOKUP(B160,[1]Balance_Madden!$A$12:$K$5087,10)/35.32)+VLOOKUP(B160,[1]Balance_Madden!$A$12:$K$5087,11)/35.32</f>
        <v>0</v>
      </c>
      <c r="J160" s="25">
        <f>+VLOOKUP(B160,[1]Balance_Gatún!$A$13:$AD$5087,23)/35.32+ VLOOKUP(B160,[1]Balance_Gatún!$A$13:$AD$5087,17)/35.32</f>
        <v>0</v>
      </c>
      <c r="K160" s="24">
        <f>+VLOOKUP(B160,[1]Balance_Gatún!$A$13:$AC$5087,10)</f>
        <v>18</v>
      </c>
      <c r="L160" s="25" t="str">
        <f>+VLOOKUP(B160,[1]Balance_Gatún!$A$13:$AC$5087,11)</f>
        <v>XFILL_PMG100%</v>
      </c>
      <c r="M160" s="25">
        <f>+VLOOKUP(B160,[1]Balance_Gatún!$A$13:$AC$5087,12)</f>
        <v>10</v>
      </c>
      <c r="N160" s="25" t="str">
        <f>+VLOOKUP(B160,[1]Balance_Gatún!$A$13:$AC$5087,13)</f>
        <v>TA+CCL100%</v>
      </c>
      <c r="O160" s="25">
        <f>+VLOOKUP(B160,[1]Balance_Gatún!$A$13:$AC$5087,14)/408.7</f>
        <v>5.309522907228299</v>
      </c>
      <c r="P160" s="24">
        <f>+VLOOKUP(B160,[1]Balance_Madden!$A$12:$V$5087,12)/35.32</f>
        <v>2.2492249537086395</v>
      </c>
      <c r="Q160" s="25">
        <f>+VLOOKUP(B160,[1]Balance_Gatún!$A$13:$AD$5087,15)/35.32</f>
        <v>17.744767407056329</v>
      </c>
      <c r="R160" s="24">
        <f>+VLOOKUP(B160,[1]Balance_Madden!$A$12:$V$5087,14)/35.32</f>
        <v>22.996676822338308</v>
      </c>
      <c r="S160" s="26">
        <f>[1]Balance_Gatún!X159/35.32</f>
        <v>90.824127887922856</v>
      </c>
      <c r="T160" s="25">
        <v>61.086094323542028</v>
      </c>
      <c r="U160" s="25">
        <v>47.418998607128785</v>
      </c>
      <c r="V160" s="29">
        <f>LOOKUP(D160,[1]Parámetros!$A$7:$A$24,[1]Parámetros!$B$7:$B$24)</f>
        <v>49</v>
      </c>
      <c r="W160" s="30" t="str">
        <f t="shared" si="12"/>
        <v/>
      </c>
      <c r="X160" s="31" t="str">
        <f t="shared" si="13"/>
        <v/>
      </c>
      <c r="Y160" s="30" t="str">
        <f>IF($W160="Cambio Calado",COUNTIF($W$14:W160,"Cambio Calado"),"")</f>
        <v/>
      </c>
      <c r="Z160" s="31" t="str">
        <f t="shared" si="14"/>
        <v/>
      </c>
      <c r="AA160" s="30" t="str">
        <f t="shared" si="15"/>
        <v/>
      </c>
      <c r="AB160" s="29">
        <f>IFERROR(LOOKUP($A160,$Z$14:$Z160,$AA$14:$AA160),$U160)</f>
        <v>49</v>
      </c>
      <c r="AC160" s="32">
        <f>IFERROR($A161-LOOKUP($A161,$Z$14:$Z160),"")</f>
        <v>29</v>
      </c>
      <c r="AD160" s="1" cm="1">
        <f t="array" ref="AD160">IF(B160&lt;&gt;"",80,_xludf.NA())</f>
        <v>80</v>
      </c>
    </row>
    <row r="161" spans="1:30">
      <c r="A161" s="22">
        <f t="shared" si="11"/>
        <v>46351</v>
      </c>
      <c r="B161" s="9">
        <f>+[1]Balance_Madden!A159</f>
        <v>46351</v>
      </c>
      <c r="C161" s="24">
        <f>+VLOOKUP(B161,[1]Balance_Madden!$A$12:$E$5000,2)</f>
        <v>251.334</v>
      </c>
      <c r="D161" s="25">
        <f>+VLOOKUP(B161,[1]Balance_Gatún!$A$13:$E$5087,2)</f>
        <v>84.243597207632661</v>
      </c>
      <c r="E161" s="24">
        <f>+VLOOKUP(B161,[1]Balance_Madden!$A$12:$E$5087,5)/35.32</f>
        <v>46.152321630804074</v>
      </c>
      <c r="F161" s="26">
        <f>+VLOOKUP(B161,[1]Balance_Gatún!$A$13:$E$5087,5)/35.32</f>
        <v>44.152831257078141</v>
      </c>
      <c r="G161" s="24">
        <f>+VLOOKUP(B161,[1]Balance_Madden!$A$12:$K$5087,9)/111</f>
        <v>2.7027027027027026</v>
      </c>
      <c r="H161" s="25">
        <f>+VLOOKUP(B161,[1]Balance_Gatún!$A$13:$U$5087,21)/186</f>
        <v>0</v>
      </c>
      <c r="I161" s="24">
        <f>+(VLOOKUP(B161,[1]Balance_Madden!$A$12:$K$5087,10)/35.32)+VLOOKUP(B161,[1]Balance_Madden!$A$12:$K$5087,11)/35.32</f>
        <v>0</v>
      </c>
      <c r="J161" s="25">
        <f>+VLOOKUP(B161,[1]Balance_Gatún!$A$13:$AD$5087,23)/35.32+ VLOOKUP(B161,[1]Balance_Gatún!$A$13:$AD$5087,17)/35.32</f>
        <v>0</v>
      </c>
      <c r="K161" s="24">
        <f>+VLOOKUP(B161,[1]Balance_Gatún!$A$13:$AC$5087,10)</f>
        <v>18</v>
      </c>
      <c r="L161" s="25" t="str">
        <f>+VLOOKUP(B161,[1]Balance_Gatún!$A$13:$AC$5087,11)</f>
        <v>XFILL_PMG100%</v>
      </c>
      <c r="M161" s="25">
        <f>+VLOOKUP(B161,[1]Balance_Gatún!$A$13:$AC$5087,12)</f>
        <v>10</v>
      </c>
      <c r="N161" s="25" t="str">
        <f>+VLOOKUP(B161,[1]Balance_Gatún!$A$13:$AC$5087,13)</f>
        <v>TA+CCL100%</v>
      </c>
      <c r="O161" s="25">
        <f>+VLOOKUP(B161,[1]Balance_Gatún!$A$13:$AC$5087,14)/408.7</f>
        <v>5.306213383179859</v>
      </c>
      <c r="P161" s="24">
        <f>+VLOOKUP(B161,[1]Balance_Madden!$A$12:$V$5087,12)/35.32</f>
        <v>0.85096476846232216</v>
      </c>
      <c r="Q161" s="25">
        <f>+VLOOKUP(B161,[1]Balance_Gatún!$A$13:$AD$5087,15)/35.32</f>
        <v>6.6995968811044939</v>
      </c>
      <c r="R161" s="24">
        <f>+VLOOKUP(B161,[1]Balance_Madden!$A$12:$V$5087,14)/35.32</f>
        <v>21.598416637091994</v>
      </c>
      <c r="S161" s="26">
        <f>[1]Balance_Gatún!X160/35.32</f>
        <v>79.740661708556601</v>
      </c>
      <c r="T161" s="25">
        <v>99.637261307353199</v>
      </c>
      <c r="U161" s="25">
        <v>31.978673975788425</v>
      </c>
      <c r="V161" s="29">
        <f>LOOKUP(D161,[1]Parámetros!$A$7:$A$24,[1]Parámetros!$B$7:$B$24)</f>
        <v>49</v>
      </c>
      <c r="W161" s="30" t="str">
        <f t="shared" si="12"/>
        <v/>
      </c>
      <c r="X161" s="31" t="str">
        <f t="shared" si="13"/>
        <v/>
      </c>
      <c r="Y161" s="30" t="str">
        <f>IF($W161="Cambio Calado",COUNTIF($W$14:W161,"Cambio Calado"),"")</f>
        <v/>
      </c>
      <c r="Z161" s="31" t="str">
        <f t="shared" si="14"/>
        <v/>
      </c>
      <c r="AA161" s="30" t="str">
        <f t="shared" si="15"/>
        <v/>
      </c>
      <c r="AB161" s="29">
        <f>IFERROR(LOOKUP($A161,$Z$14:$Z161,$AA$14:$AA161),$U161)</f>
        <v>49</v>
      </c>
      <c r="AC161" s="32">
        <f>IFERROR($A162-LOOKUP($A162,$Z$14:$Z161),"")</f>
        <v>30</v>
      </c>
      <c r="AD161" s="1" cm="1">
        <f t="array" ref="AD161">IF(B161&lt;&gt;"",80,_xludf.NA())</f>
        <v>80</v>
      </c>
    </row>
    <row r="162" spans="1:30">
      <c r="A162" s="22">
        <f t="shared" si="11"/>
        <v>46352</v>
      </c>
      <c r="B162" s="9">
        <f>+[1]Balance_Madden!A160</f>
        <v>46352</v>
      </c>
      <c r="C162" s="24">
        <f>+VLOOKUP(B162,[1]Balance_Madden!$A$12:$E$5000,2)</f>
        <v>251.47800000000001</v>
      </c>
      <c r="D162" s="25">
        <f>+VLOOKUP(B162,[1]Balance_Gatún!$A$13:$E$5087,2)</f>
        <v>84.22527057000589</v>
      </c>
      <c r="E162" s="24">
        <f>+VLOOKUP(B162,[1]Balance_Madden!$A$12:$E$5087,5)/35.32</f>
        <v>43.54937712344281</v>
      </c>
      <c r="F162" s="26">
        <f>+VLOOKUP(B162,[1]Balance_Gatún!$A$13:$E$5087,5)/35.32</f>
        <v>43.143771234428087</v>
      </c>
      <c r="G162" s="24">
        <f>+VLOOKUP(B162,[1]Balance_Madden!$A$12:$K$5087,9)/111</f>
        <v>2.7027027027027026</v>
      </c>
      <c r="H162" s="25">
        <f>+VLOOKUP(B162,[1]Balance_Gatún!$A$13:$U$5087,21)/186</f>
        <v>0</v>
      </c>
      <c r="I162" s="24">
        <f>+(VLOOKUP(B162,[1]Balance_Madden!$A$12:$K$5087,10)/35.32)+VLOOKUP(B162,[1]Balance_Madden!$A$12:$K$5087,11)/35.32</f>
        <v>0</v>
      </c>
      <c r="J162" s="25">
        <f>+VLOOKUP(B162,[1]Balance_Gatún!$A$13:$AD$5087,23)/35.32+ VLOOKUP(B162,[1]Balance_Gatún!$A$13:$AD$5087,17)/35.32</f>
        <v>0</v>
      </c>
      <c r="K162" s="24">
        <f>+VLOOKUP(B162,[1]Balance_Gatún!$A$13:$AC$5087,10)</f>
        <v>18</v>
      </c>
      <c r="L162" s="25" t="str">
        <f>+VLOOKUP(B162,[1]Balance_Gatún!$A$13:$AC$5087,11)</f>
        <v>XFILL_PMG100%</v>
      </c>
      <c r="M162" s="25">
        <f>+VLOOKUP(B162,[1]Balance_Gatún!$A$13:$AC$5087,12)</f>
        <v>10</v>
      </c>
      <c r="N162" s="25" t="str">
        <f>+VLOOKUP(B162,[1]Balance_Gatún!$A$13:$AC$5087,13)</f>
        <v>TA+CCL100%</v>
      </c>
      <c r="O162" s="25">
        <f>+VLOOKUP(B162,[1]Balance_Gatún!$A$13:$AC$5087,14)/408.7</f>
        <v>5.3033517016686114</v>
      </c>
      <c r="P162" s="24">
        <f>+VLOOKUP(B162,[1]Balance_Madden!$A$12:$V$5087,12)/35.32</f>
        <v>1.0672660789420025</v>
      </c>
      <c r="Q162" s="25">
        <f>+VLOOKUP(B162,[1]Balance_Gatún!$A$13:$AD$5087,15)/35.32</f>
        <v>8.3860494780743089</v>
      </c>
      <c r="R162" s="24">
        <f>+VLOOKUP(B162,[1]Balance_Madden!$A$12:$V$5087,14)/35.32</f>
        <v>21.814717947571673</v>
      </c>
      <c r="S162" s="26">
        <f>[1]Balance_Gatún!X161/35.32</f>
        <v>81.39400079381501</v>
      </c>
      <c r="T162" s="25">
        <v>76.709577469296008</v>
      </c>
      <c r="U162" s="25">
        <v>66.197048216194773</v>
      </c>
      <c r="V162" s="29">
        <f>LOOKUP(D162,[1]Parámetros!$A$7:$A$24,[1]Parámetros!$B$7:$B$24)</f>
        <v>49</v>
      </c>
      <c r="W162" s="30" t="str">
        <f t="shared" si="12"/>
        <v/>
      </c>
      <c r="X162" s="31" t="str">
        <f t="shared" si="13"/>
        <v/>
      </c>
      <c r="Y162" s="30" t="str">
        <f>IF($W162="Cambio Calado",COUNTIF($W$14:W162,"Cambio Calado"),"")</f>
        <v/>
      </c>
      <c r="Z162" s="31" t="str">
        <f t="shared" si="14"/>
        <v/>
      </c>
      <c r="AA162" s="30" t="str">
        <f t="shared" si="15"/>
        <v/>
      </c>
      <c r="AB162" s="29">
        <f>IFERROR(LOOKUP($A162,$Z$14:$Z162,$AA$14:$AA162),$U162)</f>
        <v>49</v>
      </c>
      <c r="AC162" s="32">
        <f>IFERROR($A163-LOOKUP($A163,$Z$14:$Z162),"")</f>
        <v>31</v>
      </c>
      <c r="AD162" s="1" cm="1">
        <f t="array" ref="AD162">IF(B162&lt;&gt;"",80,_xludf.NA())</f>
        <v>80</v>
      </c>
    </row>
    <row r="163" spans="1:30">
      <c r="A163" s="22">
        <f t="shared" si="11"/>
        <v>46353</v>
      </c>
      <c r="B163" s="9">
        <f>+[1]Balance_Madden!A161</f>
        <v>46353</v>
      </c>
      <c r="C163" s="24">
        <f>+VLOOKUP(B163,[1]Balance_Madden!$A$12:$E$5000,2)</f>
        <v>251.60599999999999</v>
      </c>
      <c r="D163" s="25">
        <f>+VLOOKUP(B163,[1]Balance_Gatún!$A$13:$E$5087,2)</f>
        <v>84.205138196404562</v>
      </c>
      <c r="E163" s="24">
        <f>+VLOOKUP(B163,[1]Balance_Madden!$A$12:$E$5087,5)/35.32</f>
        <v>41.405775764439412</v>
      </c>
      <c r="F163" s="26">
        <f>+VLOOKUP(B163,[1]Balance_Gatún!$A$13:$E$5087,5)/35.32</f>
        <v>39.400481313703281</v>
      </c>
      <c r="G163" s="24">
        <f>+VLOOKUP(B163,[1]Balance_Madden!$A$12:$K$5087,9)/111</f>
        <v>2.7027027027027026</v>
      </c>
      <c r="H163" s="25">
        <f>+VLOOKUP(B163,[1]Balance_Gatún!$A$13:$U$5087,21)/186</f>
        <v>0</v>
      </c>
      <c r="I163" s="24">
        <f>+(VLOOKUP(B163,[1]Balance_Madden!$A$12:$K$5087,10)/35.32)+VLOOKUP(B163,[1]Balance_Madden!$A$12:$K$5087,11)/35.32</f>
        <v>0</v>
      </c>
      <c r="J163" s="25">
        <f>+VLOOKUP(B163,[1]Balance_Gatún!$A$13:$AD$5087,23)/35.32+ VLOOKUP(B163,[1]Balance_Gatún!$A$13:$AD$5087,17)/35.32</f>
        <v>0</v>
      </c>
      <c r="K163" s="24">
        <f>+VLOOKUP(B163,[1]Balance_Gatún!$A$13:$AC$5087,10)</f>
        <v>18</v>
      </c>
      <c r="L163" s="25" t="str">
        <f>+VLOOKUP(B163,[1]Balance_Gatún!$A$13:$AC$5087,11)</f>
        <v>XFILL_PMG100%</v>
      </c>
      <c r="M163" s="25">
        <f>+VLOOKUP(B163,[1]Balance_Gatún!$A$13:$AC$5087,12)</f>
        <v>10</v>
      </c>
      <c r="N163" s="25" t="str">
        <f>+VLOOKUP(B163,[1]Balance_Gatún!$A$13:$AC$5087,13)</f>
        <v>TA+CCL100%</v>
      </c>
      <c r="O163" s="25">
        <f>+VLOOKUP(B163,[1]Balance_Gatún!$A$13:$AC$5087,14)/408.7</f>
        <v>5.3002080567466257</v>
      </c>
      <c r="P163" s="24">
        <f>+VLOOKUP(B163,[1]Balance_Madden!$A$12:$V$5087,12)/35.32</f>
        <v>1.9419741282606171</v>
      </c>
      <c r="Q163" s="25">
        <f>+VLOOKUP(B163,[1]Balance_Gatún!$A$13:$AD$5087,15)/35.32</f>
        <v>15.231747016287667</v>
      </c>
      <c r="R163" s="24">
        <f>+VLOOKUP(B163,[1]Balance_Madden!$A$12:$V$5087,14)/35.32</f>
        <v>22.689425996890286</v>
      </c>
      <c r="S163" s="26">
        <f>[1]Balance_Gatún!X162/35.32</f>
        <v>88.203322123658722</v>
      </c>
      <c r="T163" s="25">
        <v>102.94956953876898</v>
      </c>
      <c r="U163" s="25">
        <v>47.2056647183935</v>
      </c>
      <c r="V163" s="29">
        <f>LOOKUP(D163,[1]Parámetros!$A$7:$A$24,[1]Parámetros!$B$7:$B$24)</f>
        <v>49</v>
      </c>
      <c r="W163" s="30" t="str">
        <f t="shared" si="12"/>
        <v/>
      </c>
      <c r="X163" s="31" t="str">
        <f t="shared" si="13"/>
        <v/>
      </c>
      <c r="Y163" s="30" t="str">
        <f>IF($W163="Cambio Calado",COUNTIF($W$14:W163,"Cambio Calado"),"")</f>
        <v/>
      </c>
      <c r="Z163" s="31" t="str">
        <f t="shared" si="14"/>
        <v/>
      </c>
      <c r="AA163" s="30" t="str">
        <f t="shared" si="15"/>
        <v/>
      </c>
      <c r="AB163" s="29">
        <f>IFERROR(LOOKUP($A163,$Z$14:$Z163,$AA$14:$AA163),$U163)</f>
        <v>49</v>
      </c>
      <c r="AC163" s="32">
        <f>IFERROR($A164-LOOKUP($A164,$Z$14:$Z163),"")</f>
        <v>32</v>
      </c>
      <c r="AD163" s="1" cm="1">
        <f t="array" ref="AD163">IF(B163&lt;&gt;"",80,_xludf.NA())</f>
        <v>80</v>
      </c>
    </row>
    <row r="164" spans="1:30">
      <c r="A164" s="22">
        <f t="shared" si="11"/>
        <v>46354</v>
      </c>
      <c r="B164" s="9">
        <f>+[1]Balance_Madden!A162</f>
        <v>46354</v>
      </c>
      <c r="C164" s="24">
        <f>+VLOOKUP(B164,[1]Balance_Madden!$A$12:$E$5000,2)</f>
        <v>251.71600000000001</v>
      </c>
      <c r="D164" s="25">
        <f>+VLOOKUP(B164,[1]Balance_Gatún!$A$13:$E$5087,2)</f>
        <v>84.177858092149847</v>
      </c>
      <c r="E164" s="24">
        <f>+VLOOKUP(B164,[1]Balance_Madden!$A$12:$E$5087,5)/35.32</f>
        <v>34.595356738391843</v>
      </c>
      <c r="F164" s="26">
        <f>+VLOOKUP(B164,[1]Balance_Gatún!$A$13:$E$5087,5)/35.32</f>
        <v>28.91962061155153</v>
      </c>
      <c r="G164" s="24">
        <f>+VLOOKUP(B164,[1]Balance_Madden!$A$12:$K$5087,9)/111</f>
        <v>2.7027027027027026</v>
      </c>
      <c r="H164" s="25">
        <f>+VLOOKUP(B164,[1]Balance_Gatún!$A$13:$U$5087,21)/186</f>
        <v>0</v>
      </c>
      <c r="I164" s="24">
        <f>+(VLOOKUP(B164,[1]Balance_Madden!$A$12:$K$5087,10)/35.32)+VLOOKUP(B164,[1]Balance_Madden!$A$12:$K$5087,11)/35.32</f>
        <v>0</v>
      </c>
      <c r="J164" s="25">
        <f>+VLOOKUP(B164,[1]Balance_Gatún!$A$13:$AD$5087,23)/35.32+ VLOOKUP(B164,[1]Balance_Gatún!$A$13:$AD$5087,17)/35.32</f>
        <v>0</v>
      </c>
      <c r="K164" s="24">
        <f>+VLOOKUP(B164,[1]Balance_Gatún!$A$13:$AC$5087,10)</f>
        <v>18</v>
      </c>
      <c r="L164" s="25" t="str">
        <f>+VLOOKUP(B164,[1]Balance_Gatún!$A$13:$AC$5087,11)</f>
        <v>XFILL_PMG100%</v>
      </c>
      <c r="M164" s="25">
        <f>+VLOOKUP(B164,[1]Balance_Gatún!$A$13:$AC$5087,12)</f>
        <v>10</v>
      </c>
      <c r="N164" s="25" t="str">
        <f>+VLOOKUP(B164,[1]Balance_Gatún!$A$13:$AC$5087,13)</f>
        <v>TA+CCL100%</v>
      </c>
      <c r="O164" s="25">
        <f>+VLOOKUP(B164,[1]Balance_Gatún!$A$13:$AC$5087,14)/408.7</f>
        <v>5.2959483026356695</v>
      </c>
      <c r="P164" s="24">
        <f>+VLOOKUP(B164,[1]Balance_Madden!$A$12:$V$5087,12)/35.32</f>
        <v>0.98680772641713188</v>
      </c>
      <c r="Q164" s="25">
        <f>+VLOOKUP(B164,[1]Balance_Gatún!$A$13:$AD$5087,15)/35.32</f>
        <v>7.7270692639194918</v>
      </c>
      <c r="R164" s="24">
        <f>+VLOOKUP(B164,[1]Balance_Madden!$A$12:$V$5087,14)/35.32</f>
        <v>21.734259595046801</v>
      </c>
      <c r="S164" s="26">
        <f>[1]Balance_Gatún!X163/35.32</f>
        <v>80.64935327544832</v>
      </c>
      <c r="T164" s="25">
        <v>74.470080762582953</v>
      </c>
      <c r="U164" s="25">
        <v>77.822506698678211</v>
      </c>
      <c r="V164" s="29">
        <f>LOOKUP(D164,[1]Parámetros!$A$7:$A$24,[1]Parámetros!$B$7:$B$24)</f>
        <v>49</v>
      </c>
      <c r="W164" s="30" t="str">
        <f t="shared" si="12"/>
        <v/>
      </c>
      <c r="X164" s="31" t="str">
        <f t="shared" si="13"/>
        <v/>
      </c>
      <c r="Y164" s="30" t="str">
        <f>IF($W164="Cambio Calado",COUNTIF($W$14:W164,"Cambio Calado"),"")</f>
        <v/>
      </c>
      <c r="Z164" s="31" t="str">
        <f t="shared" si="14"/>
        <v/>
      </c>
      <c r="AA164" s="30" t="str">
        <f t="shared" si="15"/>
        <v/>
      </c>
      <c r="AB164" s="29">
        <f>IFERROR(LOOKUP($A164,$Z$14:$Z164,$AA$14:$AA164),$U164)</f>
        <v>49</v>
      </c>
      <c r="AC164" s="32">
        <f>IFERROR($A165-LOOKUP($A165,$Z$14:$Z164),"")</f>
        <v>33</v>
      </c>
      <c r="AD164" s="1" cm="1">
        <f t="array" ref="AD164">IF(B164&lt;&gt;"",80,_xludf.NA())</f>
        <v>80</v>
      </c>
    </row>
    <row r="165" spans="1:30">
      <c r="A165" s="22">
        <f t="shared" si="11"/>
        <v>46355</v>
      </c>
      <c r="B165" s="9">
        <f>+[1]Balance_Madden!A163</f>
        <v>46355</v>
      </c>
      <c r="C165" s="24">
        <f>+VLOOKUP(B165,[1]Balance_Madden!$A$12:$E$5000,2)</f>
        <v>251.791</v>
      </c>
      <c r="D165" s="25">
        <f>+VLOOKUP(B165,[1]Balance_Gatún!$A$13:$E$5087,2)</f>
        <v>84.148586732415794</v>
      </c>
      <c r="E165" s="24">
        <f>+VLOOKUP(B165,[1]Balance_Madden!$A$12:$E$5087,5)/35.32</f>
        <v>60.197508493771231</v>
      </c>
      <c r="F165" s="26">
        <f>+VLOOKUP(B165,[1]Balance_Gatún!$A$13:$E$5087,5)/35.32</f>
        <v>33.642468856172137</v>
      </c>
      <c r="G165" s="24">
        <f>+VLOOKUP(B165,[1]Balance_Madden!$A$12:$K$5087,9)/111</f>
        <v>2.7027027027027026</v>
      </c>
      <c r="H165" s="25">
        <f>+VLOOKUP(B165,[1]Balance_Gatún!$A$13:$U$5087,21)/186</f>
        <v>0</v>
      </c>
      <c r="I165" s="24">
        <f>+(VLOOKUP(B165,[1]Balance_Madden!$A$12:$K$5087,10)/35.32)+VLOOKUP(B165,[1]Balance_Madden!$A$12:$K$5087,11)/35.32</f>
        <v>0</v>
      </c>
      <c r="J165" s="25">
        <f>+VLOOKUP(B165,[1]Balance_Gatún!$A$13:$AD$5087,23)/35.32+ VLOOKUP(B165,[1]Balance_Gatún!$A$13:$AD$5087,17)/35.32</f>
        <v>0</v>
      </c>
      <c r="K165" s="24">
        <f>+VLOOKUP(B165,[1]Balance_Gatún!$A$13:$AC$5087,10)</f>
        <v>18</v>
      </c>
      <c r="L165" s="25" t="str">
        <f>+VLOOKUP(B165,[1]Balance_Gatún!$A$13:$AC$5087,11)</f>
        <v>XFILL_PMG100%</v>
      </c>
      <c r="M165" s="25">
        <f>+VLOOKUP(B165,[1]Balance_Gatún!$A$13:$AC$5087,12)</f>
        <v>10</v>
      </c>
      <c r="N165" s="25" t="str">
        <f>+VLOOKUP(B165,[1]Balance_Gatún!$A$13:$AC$5087,13)</f>
        <v>TA+CCL100%</v>
      </c>
      <c r="O165" s="25">
        <f>+VLOOKUP(B165,[1]Balance_Gatún!$A$13:$AC$5087,14)/408.7</f>
        <v>5.2913776164756694</v>
      </c>
      <c r="P165" s="24">
        <f>+VLOOKUP(B165,[1]Balance_Madden!$A$12:$V$5087,12)/35.32</f>
        <v>1.0620023086726229</v>
      </c>
      <c r="Q165" s="25">
        <f>+VLOOKUP(B165,[1]Balance_Gatún!$A$13:$AD$5087,15)/35.32</f>
        <v>8.305292637994981</v>
      </c>
      <c r="R165" s="24">
        <f>+VLOOKUP(B165,[1]Balance_Madden!$A$12:$V$5087,14)/35.32</f>
        <v>21.809454177302293</v>
      </c>
      <c r="S165" s="26">
        <f>[1]Balance_Gatún!X164/35.32</f>
        <v>81.174687650837726</v>
      </c>
      <c r="T165" s="25">
        <v>75.149167624969493</v>
      </c>
      <c r="U165" s="25">
        <v>66.251685528588695</v>
      </c>
      <c r="V165" s="29">
        <f>LOOKUP(D165,[1]Parámetros!$A$7:$A$24,[1]Parámetros!$B$7:$B$24)</f>
        <v>49</v>
      </c>
      <c r="W165" s="30" t="str">
        <f t="shared" si="12"/>
        <v/>
      </c>
      <c r="X165" s="31" t="str">
        <f t="shared" si="13"/>
        <v/>
      </c>
      <c r="Y165" s="30" t="str">
        <f>IF($W165="Cambio Calado",COUNTIF($W$14:W165,"Cambio Calado"),"")</f>
        <v/>
      </c>
      <c r="Z165" s="31" t="str">
        <f t="shared" si="14"/>
        <v/>
      </c>
      <c r="AA165" s="30" t="str">
        <f t="shared" si="15"/>
        <v/>
      </c>
      <c r="AB165" s="29">
        <f>IFERROR(LOOKUP($A165,$Z$14:$Z165,$AA$14:$AA165),$U165)</f>
        <v>49</v>
      </c>
      <c r="AC165" s="32">
        <f>IFERROR($A166-LOOKUP($A166,$Z$14:$Z165),"")</f>
        <v>34</v>
      </c>
      <c r="AD165" s="1" cm="1">
        <f t="array" ref="AD165">IF(B165&lt;&gt;"",80,_xludf.NA())</f>
        <v>80</v>
      </c>
    </row>
    <row r="166" spans="1:30">
      <c r="A166" s="22">
        <f t="shared" si="11"/>
        <v>46356</v>
      </c>
      <c r="B166" s="9">
        <f>+[1]Balance_Madden!A164</f>
        <v>46356</v>
      </c>
      <c r="C166" s="24">
        <f>+VLOOKUP(B166,[1]Balance_Madden!$A$12:$E$5000,2)</f>
        <v>252.017</v>
      </c>
      <c r="D166" s="25">
        <f>+VLOOKUP(B166,[1]Balance_Gatún!$A$13:$E$5087,2)</f>
        <v>84.122147880365347</v>
      </c>
      <c r="E166" s="24">
        <f>+VLOOKUP(B166,[1]Balance_Madden!$A$12:$E$5087,5)/35.32</f>
        <v>105.17117780294451</v>
      </c>
      <c r="F166" s="26">
        <f>+VLOOKUP(B166,[1]Balance_Gatún!$A$13:$E$5087,5)/35.32</f>
        <v>63.713363533408838</v>
      </c>
      <c r="G166" s="24">
        <f>+VLOOKUP(B166,[1]Balance_Madden!$A$12:$K$5087,9)/111</f>
        <v>2.7027027027027026</v>
      </c>
      <c r="H166" s="25">
        <f>+VLOOKUP(B166,[1]Balance_Gatún!$A$13:$U$5087,21)/186</f>
        <v>0</v>
      </c>
      <c r="I166" s="24">
        <f>+(VLOOKUP(B166,[1]Balance_Madden!$A$12:$K$5087,10)/35.32)+VLOOKUP(B166,[1]Balance_Madden!$A$12:$K$5087,11)/35.32</f>
        <v>3.2264441760806379</v>
      </c>
      <c r="J166" s="25">
        <f>+VLOOKUP(B166,[1]Balance_Gatún!$A$13:$AD$5087,23)/35.32+ VLOOKUP(B166,[1]Balance_Gatún!$A$13:$AD$5087,17)/35.32</f>
        <v>0</v>
      </c>
      <c r="K166" s="24">
        <f>+VLOOKUP(B166,[1]Balance_Gatún!$A$13:$AC$5087,10)</f>
        <v>18</v>
      </c>
      <c r="L166" s="25" t="str">
        <f>+VLOOKUP(B166,[1]Balance_Gatún!$A$13:$AC$5087,11)</f>
        <v>XFILL_PMG100%</v>
      </c>
      <c r="M166" s="25">
        <f>+VLOOKUP(B166,[1]Balance_Gatún!$A$13:$AC$5087,12)</f>
        <v>10</v>
      </c>
      <c r="N166" s="25" t="str">
        <f>+VLOOKUP(B166,[1]Balance_Gatún!$A$13:$AC$5087,13)</f>
        <v>TA+CCL100%</v>
      </c>
      <c r="O166" s="25">
        <f>+VLOOKUP(B166,[1]Balance_Gatún!$A$13:$AC$5087,14)/408.7</f>
        <v>5.2872492228427372</v>
      </c>
      <c r="P166" s="24">
        <f>+VLOOKUP(B166,[1]Balance_Madden!$A$12:$V$5087,12)/35.32</f>
        <v>1.631958585871836</v>
      </c>
      <c r="Q166" s="25">
        <f>+VLOOKUP(B166,[1]Balance_Gatún!$A$13:$AD$5087,15)/35.32</f>
        <v>12.723819213630296</v>
      </c>
      <c r="R166" s="24">
        <f>+VLOOKUP(B166,[1]Balance_Madden!$A$12:$V$5087,14)/35.32</f>
        <v>25.605854630582144</v>
      </c>
      <c r="S166" s="26">
        <f>[1]Balance_Gatún!X165/35.32</f>
        <v>85.545443148393232</v>
      </c>
      <c r="T166" s="25">
        <v>69.655165901869523</v>
      </c>
      <c r="U166" s="25">
        <v>28.463621498684756</v>
      </c>
      <c r="V166" s="29">
        <f>LOOKUP(D166,[1]Parámetros!$A$7:$A$24,[1]Parámetros!$B$7:$B$24)</f>
        <v>49</v>
      </c>
      <c r="W166" s="30" t="str">
        <f t="shared" si="12"/>
        <v/>
      </c>
      <c r="X166" s="31" t="str">
        <f t="shared" si="13"/>
        <v/>
      </c>
      <c r="Y166" s="30" t="str">
        <f>IF($W166="Cambio Calado",COUNTIF($W$14:W166,"Cambio Calado"),"")</f>
        <v/>
      </c>
      <c r="Z166" s="31" t="str">
        <f t="shared" si="14"/>
        <v/>
      </c>
      <c r="AA166" s="30" t="str">
        <f t="shared" si="15"/>
        <v/>
      </c>
      <c r="AB166" s="29">
        <f>IFERROR(LOOKUP($A166,$Z$14:$Z166,$AA$14:$AA166),$U166)</f>
        <v>49</v>
      </c>
      <c r="AC166" s="32">
        <f>IFERROR($A167-LOOKUP($A167,$Z$14:$Z166),"")</f>
        <v>35</v>
      </c>
      <c r="AD166" s="1" cm="1">
        <f t="array" ref="AD166">IF(B166&lt;&gt;"",80,_xludf.NA())</f>
        <v>80</v>
      </c>
    </row>
    <row r="167" spans="1:30">
      <c r="A167" s="22">
        <f t="shared" si="11"/>
        <v>46357</v>
      </c>
      <c r="B167" s="9">
        <f>+[1]Balance_Madden!A165</f>
        <v>46357</v>
      </c>
      <c r="C167" s="24">
        <f>+VLOOKUP(B167,[1]Balance_Madden!$A$12:$E$5000,2)</f>
        <v>252.48599999999999</v>
      </c>
      <c r="D167" s="25">
        <f>+VLOOKUP(B167,[1]Balance_Gatún!$A$13:$E$5087,2)</f>
        <v>84.115298168524077</v>
      </c>
      <c r="E167" s="24">
        <f>+VLOOKUP(B167,[1]Balance_Madden!$A$12:$E$5087,5)/35.32</f>
        <v>53.85362400906002</v>
      </c>
      <c r="F167" s="26">
        <f>+VLOOKUP(B167,[1]Balance_Gatún!$A$13:$E$5087,5)/35.32</f>
        <v>54.805690826727066</v>
      </c>
      <c r="G167" s="24">
        <f>+VLOOKUP(B167,[1]Balance_Madden!$A$12:$K$5087,9)/111</f>
        <v>2.7027027027027026</v>
      </c>
      <c r="H167" s="25">
        <f>+VLOOKUP(B167,[1]Balance_Gatún!$A$13:$U$5087,21)/186</f>
        <v>0</v>
      </c>
      <c r="I167" s="24">
        <f>+(VLOOKUP(B167,[1]Balance_Madden!$A$12:$K$5087,10)/35.32)+VLOOKUP(B167,[1]Balance_Madden!$A$12:$K$5087,11)/35.32</f>
        <v>23.897216572156086</v>
      </c>
      <c r="J167" s="25">
        <f>+VLOOKUP(B167,[1]Balance_Gatún!$A$13:$AD$5087,23)/35.32+ VLOOKUP(B167,[1]Balance_Gatún!$A$13:$AD$5087,17)/35.32</f>
        <v>0</v>
      </c>
      <c r="K167" s="24">
        <f>+VLOOKUP(B167,[1]Balance_Gatún!$A$13:$AC$5087,10)</f>
        <v>18</v>
      </c>
      <c r="L167" s="25" t="str">
        <f>+VLOOKUP(B167,[1]Balance_Gatún!$A$13:$AC$5087,11)</f>
        <v>XFILL_PMG100%</v>
      </c>
      <c r="M167" s="25">
        <f>+VLOOKUP(B167,[1]Balance_Gatún!$A$13:$AC$5087,12)</f>
        <v>10</v>
      </c>
      <c r="N167" s="25" t="str">
        <f>+VLOOKUP(B167,[1]Balance_Gatún!$A$13:$AC$5087,13)</f>
        <v>TA+CCL100%</v>
      </c>
      <c r="O167" s="25">
        <f>+VLOOKUP(B167,[1]Balance_Gatún!$A$13:$AC$5087,14)/408.7</f>
        <v>5.2861796489180088</v>
      </c>
      <c r="P167" s="24">
        <f>+VLOOKUP(B167,[1]Balance_Madden!$A$12:$V$5087,12)/35.32</f>
        <v>2.6339618301894414</v>
      </c>
      <c r="Q167" s="25">
        <f>+VLOOKUP(B167,[1]Balance_Gatún!$A$13:$AD$5087,15)/35.32</f>
        <v>20.419680873470636</v>
      </c>
      <c r="R167" s="24">
        <f>+VLOOKUP(B167,[1]Balance_Madden!$A$12:$V$5087,14)/35.32</f>
        <v>47.278630270975192</v>
      </c>
      <c r="S167" s="26">
        <f>[1]Balance_Gatún!X166/35.32</f>
        <v>93.228928396482829</v>
      </c>
      <c r="T167" s="25">
        <v>89.701377069196127</v>
      </c>
      <c r="U167" s="25">
        <v>61.134482530271825</v>
      </c>
      <c r="V167" s="29">
        <f>LOOKUP(D167,[1]Parámetros!$A$7:$A$24,[1]Parámetros!$B$7:$B$24)</f>
        <v>49</v>
      </c>
      <c r="W167" s="30" t="str">
        <f t="shared" si="12"/>
        <v/>
      </c>
      <c r="X167" s="31" t="str">
        <f t="shared" si="13"/>
        <v/>
      </c>
      <c r="Y167" s="30" t="str">
        <f>IF($W167="Cambio Calado",COUNTIF($W$14:W167,"Cambio Calado"),"")</f>
        <v/>
      </c>
      <c r="Z167" s="31" t="str">
        <f t="shared" si="14"/>
        <v/>
      </c>
      <c r="AA167" s="30" t="str">
        <f t="shared" si="15"/>
        <v/>
      </c>
      <c r="AB167" s="29">
        <f>IFERROR(LOOKUP($A167,$Z$14:$Z167,$AA$14:$AA167),$U167)</f>
        <v>49</v>
      </c>
      <c r="AC167" s="32">
        <f>IFERROR($A168-LOOKUP($A168,$Z$14:$Z167),"")</f>
        <v>36</v>
      </c>
      <c r="AD167" s="1" cm="1">
        <f t="array" ref="AD167">IF(B167&lt;&gt;"",80,_xludf.NA())</f>
        <v>80</v>
      </c>
    </row>
    <row r="168" spans="1:30">
      <c r="A168" s="22">
        <f t="shared" si="11"/>
        <v>46358</v>
      </c>
      <c r="B168" s="9">
        <f>+[1]Balance_Madden!A166</f>
        <v>46358</v>
      </c>
      <c r="C168" s="24">
        <f>+VLOOKUP(B168,[1]Balance_Madden!$A$12:$E$5000,2)</f>
        <v>252.524</v>
      </c>
      <c r="D168" s="25">
        <f>+VLOOKUP(B168,[1]Balance_Gatún!$A$13:$E$5087,2)</f>
        <v>84.111211679904571</v>
      </c>
      <c r="E168" s="24">
        <f>+VLOOKUP(B168,[1]Balance_Madden!$A$12:$E$5087,5)/35.32</f>
        <v>43.544790486976218</v>
      </c>
      <c r="F168" s="26">
        <f>+VLOOKUP(B168,[1]Balance_Gatún!$A$13:$E$5087,5)/35.32</f>
        <v>98.507134767836916</v>
      </c>
      <c r="G168" s="24">
        <f>+VLOOKUP(B168,[1]Balance_Madden!$A$12:$K$5087,9)/111</f>
        <v>2.7027027027027026</v>
      </c>
      <c r="H168" s="25">
        <f>+VLOOKUP(B168,[1]Balance_Gatún!$A$13:$U$5087,21)/186</f>
        <v>0</v>
      </c>
      <c r="I168" s="24">
        <f>+(VLOOKUP(B168,[1]Balance_Madden!$A$12:$K$5087,10)/35.32)+VLOOKUP(B168,[1]Balance_Madden!$A$12:$K$5087,11)/35.32</f>
        <v>26.063465238280962</v>
      </c>
      <c r="J168" s="25">
        <f>+VLOOKUP(B168,[1]Balance_Gatún!$A$13:$AD$5087,23)/35.32+ VLOOKUP(B168,[1]Balance_Gatún!$A$13:$AD$5087,17)/35.32</f>
        <v>0</v>
      </c>
      <c r="K168" s="24">
        <f>+VLOOKUP(B168,[1]Balance_Gatún!$A$13:$AC$5087,10)</f>
        <v>18</v>
      </c>
      <c r="L168" s="25" t="str">
        <f>+VLOOKUP(B168,[1]Balance_Gatún!$A$13:$AC$5087,11)</f>
        <v>XFILL_PMG100%</v>
      </c>
      <c r="M168" s="25">
        <f>+VLOOKUP(B168,[1]Balance_Gatún!$A$13:$AC$5087,12)</f>
        <v>10</v>
      </c>
      <c r="N168" s="25" t="str">
        <f>+VLOOKUP(B168,[1]Balance_Gatún!$A$13:$AC$5087,13)</f>
        <v>TA+CCL100%</v>
      </c>
      <c r="O168" s="25">
        <f>+VLOOKUP(B168,[1]Balance_Gatún!$A$13:$AC$5087,14)/408.7</f>
        <v>5.2855415488384114</v>
      </c>
      <c r="P168" s="24">
        <f>+VLOOKUP(B168,[1]Balance_Madden!$A$12:$V$5087,12)/35.32</f>
        <v>1.5088454649121776</v>
      </c>
      <c r="Q168" s="25">
        <f>+VLOOKUP(B168,[1]Balance_Gatún!$A$13:$AD$5087,15)/35.32</f>
        <v>11.691355813448613</v>
      </c>
      <c r="R168" s="24">
        <f>+VLOOKUP(B168,[1]Balance_Madden!$A$12:$V$5087,14)/35.32</f>
        <v>48.319762571822807</v>
      </c>
      <c r="S168" s="26">
        <f>[1]Balance_Gatún!X167/35.32</f>
        <v>84.49321965858617</v>
      </c>
      <c r="T168" s="25">
        <v>58.186499934852009</v>
      </c>
      <c r="U168" s="25">
        <v>50.675011154889091</v>
      </c>
      <c r="V168" s="29">
        <f>LOOKUP(D168,[1]Parámetros!$A$7:$A$24,[1]Parámetros!$B$7:$B$24)</f>
        <v>49</v>
      </c>
      <c r="W168" s="30" t="str">
        <f t="shared" si="12"/>
        <v/>
      </c>
      <c r="X168" s="31" t="str">
        <f t="shared" si="13"/>
        <v/>
      </c>
      <c r="Y168" s="30" t="str">
        <f>IF($W168="Cambio Calado",COUNTIF($W$14:W168,"Cambio Calado"),"")</f>
        <v/>
      </c>
      <c r="Z168" s="31" t="str">
        <f t="shared" si="14"/>
        <v/>
      </c>
      <c r="AA168" s="30" t="str">
        <f t="shared" si="15"/>
        <v/>
      </c>
      <c r="AB168" s="29">
        <f>IFERROR(LOOKUP($A168,$Z$14:$Z168,$AA$14:$AA168),$U168)</f>
        <v>49</v>
      </c>
      <c r="AC168" s="32">
        <f>IFERROR($A169-LOOKUP($A169,$Z$14:$Z168),"")</f>
        <v>37</v>
      </c>
      <c r="AD168" s="1" cm="1">
        <f t="array" ref="AD168">IF(B168&lt;&gt;"",80,_xludf.NA())</f>
        <v>80</v>
      </c>
    </row>
    <row r="169" spans="1:30">
      <c r="A169" s="22">
        <f t="shared" si="11"/>
        <v>46359</v>
      </c>
      <c r="B169" s="9">
        <f>+[1]Balance_Madden!A167</f>
        <v>46359</v>
      </c>
      <c r="C169" s="24">
        <f>+VLOOKUP(B169,[1]Balance_Madden!$A$12:$E$5000,2)</f>
        <v>252.495</v>
      </c>
      <c r="D169" s="25">
        <f>+VLOOKUP(B169,[1]Balance_Gatún!$A$13:$E$5087,2)</f>
        <v>84.144109763230915</v>
      </c>
      <c r="E169" s="24">
        <f>+VLOOKUP(B169,[1]Balance_Madden!$A$12:$E$5087,5)/35.32</f>
        <v>52.947338618346542</v>
      </c>
      <c r="F169" s="26">
        <f>+VLOOKUP(B169,[1]Balance_Gatún!$A$13:$E$5087,5)/35.32</f>
        <v>29.338108720271801</v>
      </c>
      <c r="G169" s="24">
        <f>+VLOOKUP(B169,[1]Balance_Madden!$A$12:$K$5087,9)/111</f>
        <v>2.7027027027027026</v>
      </c>
      <c r="H169" s="25">
        <f>+VLOOKUP(B169,[1]Balance_Gatún!$A$13:$U$5087,21)/186</f>
        <v>0</v>
      </c>
      <c r="I169" s="24">
        <f>+(VLOOKUP(B169,[1]Balance_Madden!$A$12:$K$5087,10)/35.32)+VLOOKUP(B169,[1]Balance_Madden!$A$12:$K$5087,11)/35.32</f>
        <v>24.404669917123613</v>
      </c>
      <c r="J169" s="25">
        <f>+VLOOKUP(B169,[1]Balance_Gatún!$A$13:$AD$5087,23)/35.32+ VLOOKUP(B169,[1]Balance_Gatún!$A$13:$AD$5087,17)/35.32</f>
        <v>0</v>
      </c>
      <c r="K169" s="24">
        <f>+VLOOKUP(B169,[1]Balance_Gatún!$A$13:$AC$5087,10)</f>
        <v>18</v>
      </c>
      <c r="L169" s="25" t="str">
        <f>+VLOOKUP(B169,[1]Balance_Gatún!$A$13:$AC$5087,11)</f>
        <v>XFILL_PMG100%</v>
      </c>
      <c r="M169" s="25">
        <f>+VLOOKUP(B169,[1]Balance_Gatún!$A$13:$AC$5087,12)</f>
        <v>10</v>
      </c>
      <c r="N169" s="25" t="str">
        <f>+VLOOKUP(B169,[1]Balance_Gatún!$A$13:$AC$5087,13)</f>
        <v>TA+CCL100%</v>
      </c>
      <c r="O169" s="25">
        <f>+VLOOKUP(B169,[1]Balance_Gatún!$A$13:$AC$5087,14)/408.7</f>
        <v>5.2906785433448675</v>
      </c>
      <c r="P169" s="24">
        <f>+VLOOKUP(B169,[1]Balance_Madden!$A$12:$V$5087,12)/35.32</f>
        <v>1.0332677797172087</v>
      </c>
      <c r="Q169" s="25">
        <f>+VLOOKUP(B169,[1]Balance_Gatún!$A$13:$AD$5087,15)/35.32</f>
        <v>8.0124637603855096</v>
      </c>
      <c r="R169" s="24">
        <f>+VLOOKUP(B169,[1]Balance_Madden!$A$12:$V$5087,14)/35.32</f>
        <v>46.185389565470487</v>
      </c>
      <c r="S169" s="26">
        <f>[1]Balance_Gatún!X168/35.32</f>
        <v>80.873769554979148</v>
      </c>
      <c r="T169" s="25">
        <v>77.521001027846751</v>
      </c>
      <c r="U169" s="25">
        <v>40.530931485463967</v>
      </c>
      <c r="V169" s="29">
        <f>LOOKUP(D169,[1]Parámetros!$A$7:$A$24,[1]Parámetros!$B$7:$B$24)</f>
        <v>49</v>
      </c>
      <c r="W169" s="30" t="str">
        <f t="shared" si="12"/>
        <v/>
      </c>
      <c r="X169" s="31" t="str">
        <f t="shared" si="13"/>
        <v/>
      </c>
      <c r="Y169" s="30" t="str">
        <f>IF($W169="Cambio Calado",COUNTIF($W$14:W169,"Cambio Calado"),"")</f>
        <v/>
      </c>
      <c r="Z169" s="31" t="str">
        <f t="shared" si="14"/>
        <v/>
      </c>
      <c r="AA169" s="30" t="str">
        <f t="shared" si="15"/>
        <v/>
      </c>
      <c r="AB169" s="29">
        <f>IFERROR(LOOKUP($A169,$Z$14:$Z169,$AA$14:$AA169),$U169)</f>
        <v>49</v>
      </c>
      <c r="AC169" s="32">
        <f>IFERROR($A170-LOOKUP($A170,$Z$14:$Z169),"")</f>
        <v>38</v>
      </c>
      <c r="AD169" s="1" cm="1">
        <f t="array" ref="AD169">IF(B169&lt;&gt;"",80,_xludf.NA())</f>
        <v>80</v>
      </c>
    </row>
    <row r="170" spans="1:30">
      <c r="A170" s="22">
        <f t="shared" si="11"/>
        <v>46360</v>
      </c>
      <c r="B170" s="9">
        <f>+[1]Balance_Madden!A168</f>
        <v>46360</v>
      </c>
      <c r="C170" s="24">
        <f>+VLOOKUP(B170,[1]Balance_Madden!$A$12:$E$5000,2)</f>
        <v>252.53399999999999</v>
      </c>
      <c r="D170" s="25">
        <f>+VLOOKUP(B170,[1]Balance_Gatún!$A$13:$E$5087,2)</f>
        <v>84.131488062315853</v>
      </c>
      <c r="E170" s="24">
        <f>+VLOOKUP(B170,[1]Balance_Madden!$A$12:$E$5087,5)/35.32</f>
        <v>39.013420158550396</v>
      </c>
      <c r="F170" s="26">
        <f>+VLOOKUP(B170,[1]Balance_Gatún!$A$13:$E$5087,5)/35.32</f>
        <v>21.147819932049831</v>
      </c>
      <c r="G170" s="24">
        <f>+VLOOKUP(B170,[1]Balance_Madden!$A$12:$K$5087,9)/111</f>
        <v>2.7027027027027026</v>
      </c>
      <c r="H170" s="25">
        <f>+VLOOKUP(B170,[1]Balance_Gatún!$A$13:$U$5087,21)/186</f>
        <v>0</v>
      </c>
      <c r="I170" s="24">
        <f>+(VLOOKUP(B170,[1]Balance_Madden!$A$12:$K$5087,10)/35.32)+VLOOKUP(B170,[1]Balance_Madden!$A$12:$K$5087,11)/35.32</f>
        <v>26.643734089439054</v>
      </c>
      <c r="J170" s="25">
        <f>+VLOOKUP(B170,[1]Balance_Gatún!$A$13:$AD$5087,23)/35.32+ VLOOKUP(B170,[1]Balance_Gatún!$A$13:$AD$5087,17)/35.32</f>
        <v>0</v>
      </c>
      <c r="K170" s="24">
        <f>+VLOOKUP(B170,[1]Balance_Gatún!$A$13:$AC$5087,10)</f>
        <v>18</v>
      </c>
      <c r="L170" s="25" t="str">
        <f>+VLOOKUP(B170,[1]Balance_Gatún!$A$13:$AC$5087,11)</f>
        <v>XFILL_PMG100%</v>
      </c>
      <c r="M170" s="25">
        <f>+VLOOKUP(B170,[1]Balance_Gatún!$A$13:$AC$5087,12)</f>
        <v>10</v>
      </c>
      <c r="N170" s="25" t="str">
        <f>+VLOOKUP(B170,[1]Balance_Gatún!$A$13:$AC$5087,13)</f>
        <v>TA+CCL100%</v>
      </c>
      <c r="O170" s="25">
        <f>+VLOOKUP(B170,[1]Balance_Gatún!$A$13:$AC$5087,14)/408.7</f>
        <v>5.2887076805557003</v>
      </c>
      <c r="P170" s="24">
        <f>+VLOOKUP(B170,[1]Balance_Madden!$A$12:$V$5087,12)/35.32</f>
        <v>1.5041314764210012</v>
      </c>
      <c r="Q170" s="25">
        <f>+VLOOKUP(B170,[1]Balance_Gatún!$A$13:$AD$5087,15)/35.32</f>
        <v>11.656468643005127</v>
      </c>
      <c r="R170" s="24">
        <f>+VLOOKUP(B170,[1]Balance_Madden!$A$12:$V$5087,14)/35.32</f>
        <v>48.895317434489726</v>
      </c>
      <c r="S170" s="26">
        <f>[1]Balance_Gatún!X169/35.32</f>
        <v>84.494968899038966</v>
      </c>
      <c r="T170" s="25">
        <v>215.0580491505099</v>
      </c>
      <c r="U170" s="25">
        <v>77.942628034928887</v>
      </c>
      <c r="V170" s="29">
        <f>LOOKUP(D170,[1]Parámetros!$A$7:$A$24,[1]Parámetros!$B$7:$B$24)</f>
        <v>49</v>
      </c>
      <c r="W170" s="30" t="str">
        <f t="shared" si="12"/>
        <v/>
      </c>
      <c r="X170" s="31" t="str">
        <f t="shared" si="13"/>
        <v/>
      </c>
      <c r="Y170" s="30" t="str">
        <f>IF($W170="Cambio Calado",COUNTIF($W$14:W170,"Cambio Calado"),"")</f>
        <v/>
      </c>
      <c r="Z170" s="31" t="str">
        <f t="shared" si="14"/>
        <v/>
      </c>
      <c r="AA170" s="30" t="str">
        <f t="shared" si="15"/>
        <v/>
      </c>
      <c r="AB170" s="29">
        <f>IFERROR(LOOKUP($A170,$Z$14:$Z170,$AA$14:$AA170),$U170)</f>
        <v>49</v>
      </c>
      <c r="AC170" s="32">
        <f>IFERROR($A171-LOOKUP($A171,$Z$14:$Z170),"")</f>
        <v>39</v>
      </c>
      <c r="AD170" s="1" cm="1">
        <f t="array" ref="AD170">IF(B170&lt;&gt;"",80,_xludf.NA())</f>
        <v>80</v>
      </c>
    </row>
    <row r="171" spans="1:30">
      <c r="A171" s="22">
        <f t="shared" si="11"/>
        <v>46361</v>
      </c>
      <c r="B171" s="9">
        <f>+[1]Balance_Madden!A169</f>
        <v>46361</v>
      </c>
      <c r="C171" s="24">
        <f>+VLOOKUP(B171,[1]Balance_Madden!$A$12:$E$5000,2)</f>
        <v>252.47499999999999</v>
      </c>
      <c r="D171" s="25">
        <f>+VLOOKUP(B171,[1]Balance_Gatún!$A$13:$E$5087,2)</f>
        <v>84.11237980358932</v>
      </c>
      <c r="E171" s="24">
        <f>+VLOOKUP(B171,[1]Balance_Madden!$A$12:$E$5087,5)/35.32</f>
        <v>28.236749716874293</v>
      </c>
      <c r="F171" s="26">
        <f>+VLOOKUP(B171,[1]Balance_Gatún!$A$13:$E$5087,5)/35.32</f>
        <v>29.413646659116651</v>
      </c>
      <c r="G171" s="24">
        <f>+VLOOKUP(B171,[1]Balance_Madden!$A$12:$K$5087,9)/111</f>
        <v>2.7027027027027026</v>
      </c>
      <c r="H171" s="25">
        <f>+VLOOKUP(B171,[1]Balance_Gatún!$A$13:$U$5087,21)/186</f>
        <v>0</v>
      </c>
      <c r="I171" s="24">
        <f>+(VLOOKUP(B171,[1]Balance_Madden!$A$12:$K$5087,10)/35.32)+VLOOKUP(B171,[1]Balance_Madden!$A$12:$K$5087,11)/35.32</f>
        <v>23.281783706649048</v>
      </c>
      <c r="J171" s="25">
        <f>+VLOOKUP(B171,[1]Balance_Gatún!$A$13:$AD$5087,23)/35.32+ VLOOKUP(B171,[1]Balance_Gatún!$A$13:$AD$5087,17)/35.32</f>
        <v>0</v>
      </c>
      <c r="K171" s="24">
        <f>+VLOOKUP(B171,[1]Balance_Gatún!$A$13:$AC$5087,10)</f>
        <v>18</v>
      </c>
      <c r="L171" s="25" t="str">
        <f>+VLOOKUP(B171,[1]Balance_Gatún!$A$13:$AC$5087,11)</f>
        <v>XFILL_PMG100%</v>
      </c>
      <c r="M171" s="25">
        <f>+VLOOKUP(B171,[1]Balance_Gatún!$A$13:$AC$5087,12)</f>
        <v>10</v>
      </c>
      <c r="N171" s="25" t="str">
        <f>+VLOOKUP(B171,[1]Balance_Gatún!$A$13:$AC$5087,13)</f>
        <v>TA+CCL100%</v>
      </c>
      <c r="O171" s="25">
        <f>+VLOOKUP(B171,[1]Balance_Gatún!$A$13:$AC$5087,14)/408.7</f>
        <v>5.2857239498887081</v>
      </c>
      <c r="P171" s="24">
        <f>+VLOOKUP(B171,[1]Balance_Madden!$A$12:$V$5087,12)/35.32</f>
        <v>1.2804066892690329</v>
      </c>
      <c r="Q171" s="25">
        <f>+VLOOKUP(B171,[1]Balance_Gatún!$A$13:$AD$5087,15)/35.32</f>
        <v>9.9272302149651672</v>
      </c>
      <c r="R171" s="24">
        <f>+VLOOKUP(B171,[1]Balance_Madden!$A$12:$V$5087,14)/35.32</f>
        <v>45.309642264547755</v>
      </c>
      <c r="S171" s="26">
        <f>[1]Balance_Gatún!X170/35.32</f>
        <v>82.731204686072616</v>
      </c>
      <c r="T171" s="25">
        <v>95.22858664002348</v>
      </c>
      <c r="U171" s="25">
        <v>55.735693890947303</v>
      </c>
      <c r="V171" s="29">
        <f>LOOKUP(D171,[1]Parámetros!$A$7:$A$24,[1]Parámetros!$B$7:$B$24)</f>
        <v>49</v>
      </c>
      <c r="W171" s="30" t="str">
        <f t="shared" si="12"/>
        <v/>
      </c>
      <c r="X171" s="31" t="str">
        <f t="shared" si="13"/>
        <v/>
      </c>
      <c r="Y171" s="30" t="str">
        <f>IF($W171="Cambio Calado",COUNTIF($W$14:W171,"Cambio Calado"),"")</f>
        <v/>
      </c>
      <c r="Z171" s="31" t="str">
        <f t="shared" si="14"/>
        <v/>
      </c>
      <c r="AA171" s="30" t="str">
        <f t="shared" si="15"/>
        <v/>
      </c>
      <c r="AB171" s="29">
        <f>IFERROR(LOOKUP($A171,$Z$14:$Z171,$AA$14:$AA171),$U171)</f>
        <v>49</v>
      </c>
      <c r="AC171" s="32">
        <f>IFERROR($A172-LOOKUP($A172,$Z$14:$Z171),"")</f>
        <v>40</v>
      </c>
      <c r="AD171" s="1" cm="1">
        <f t="array" ref="AD171">IF(B171&lt;&gt;"",80,_xludf.NA())</f>
        <v>80</v>
      </c>
    </row>
    <row r="172" spans="1:30">
      <c r="A172" s="22">
        <f t="shared" si="11"/>
        <v>46362</v>
      </c>
      <c r="B172" s="9">
        <f>+[1]Balance_Madden!A170</f>
        <v>46362</v>
      </c>
      <c r="C172" s="24">
        <f>+VLOOKUP(B172,[1]Balance_Madden!$A$12:$E$5000,2)</f>
        <v>252.374</v>
      </c>
      <c r="D172" s="25">
        <f>+VLOOKUP(B172,[1]Balance_Gatún!$A$13:$E$5087,2)</f>
        <v>84.097784882093947</v>
      </c>
      <c r="E172" s="24">
        <f>+VLOOKUP(B172,[1]Balance_Madden!$A$12:$E$5087,5)/35.32</f>
        <v>24.544535673839185</v>
      </c>
      <c r="F172" s="26">
        <f>+VLOOKUP(B172,[1]Balance_Gatún!$A$13:$E$5087,5)/35.32</f>
        <v>19.290996602491504</v>
      </c>
      <c r="G172" s="24">
        <f>+VLOOKUP(B172,[1]Balance_Madden!$A$12:$K$5087,9)/111</f>
        <v>2.7027027027027026</v>
      </c>
      <c r="H172" s="25">
        <f>+VLOOKUP(B172,[1]Balance_Gatún!$A$13:$U$5087,21)/186</f>
        <v>0</v>
      </c>
      <c r="I172" s="24">
        <f>+(VLOOKUP(B172,[1]Balance_Madden!$A$12:$K$5087,10)/35.32)+VLOOKUP(B172,[1]Balance_Madden!$A$12:$K$5087,11)/35.32</f>
        <v>17.885923100901586</v>
      </c>
      <c r="J172" s="25">
        <f>+VLOOKUP(B172,[1]Balance_Gatún!$A$13:$AD$5087,23)/35.32+ VLOOKUP(B172,[1]Balance_Gatún!$A$13:$AD$5087,17)/35.32</f>
        <v>0</v>
      </c>
      <c r="K172" s="24">
        <f>+VLOOKUP(B172,[1]Balance_Gatún!$A$13:$AC$5087,10)</f>
        <v>18</v>
      </c>
      <c r="L172" s="25" t="str">
        <f>+VLOOKUP(B172,[1]Balance_Gatún!$A$13:$AC$5087,11)</f>
        <v>XFILL_PMG100%</v>
      </c>
      <c r="M172" s="25">
        <f>+VLOOKUP(B172,[1]Balance_Gatún!$A$13:$AC$5087,12)</f>
        <v>10</v>
      </c>
      <c r="N172" s="25" t="str">
        <f>+VLOOKUP(B172,[1]Balance_Gatún!$A$13:$AC$5087,13)</f>
        <v>TA+CCL100%</v>
      </c>
      <c r="O172" s="25">
        <f>+VLOOKUP(B172,[1]Balance_Gatún!$A$13:$AC$5087,14)/408.7</f>
        <v>5.2834449711773912</v>
      </c>
      <c r="P172" s="24">
        <f>+VLOOKUP(B172,[1]Balance_Madden!$A$12:$V$5087,12)/35.32</f>
        <v>2.3951131303428292</v>
      </c>
      <c r="Q172" s="25">
        <f>+VLOOKUP(B172,[1]Balance_Gatún!$A$13:$AD$5087,15)/35.32</f>
        <v>18.588649420066101</v>
      </c>
      <c r="R172" s="24">
        <f>+VLOOKUP(B172,[1]Balance_Madden!$A$12:$V$5087,14)/35.32</f>
        <v>41.028488099874082</v>
      </c>
      <c r="S172" s="26">
        <f>[1]Balance_Gatún!X171/35.32</f>
        <v>91.366253036153282</v>
      </c>
      <c r="T172" s="25">
        <v>107.19362673507062</v>
      </c>
      <c r="U172" s="25">
        <v>59.235608534950714</v>
      </c>
      <c r="V172" s="29">
        <f>LOOKUP(D172,[1]Parámetros!$A$7:$A$24,[1]Parámetros!$B$7:$B$24)</f>
        <v>49</v>
      </c>
      <c r="W172" s="30" t="str">
        <f t="shared" si="12"/>
        <v/>
      </c>
      <c r="X172" s="31" t="str">
        <f t="shared" si="13"/>
        <v/>
      </c>
      <c r="Y172" s="30" t="str">
        <f>IF($W172="Cambio Calado",COUNTIF($W$14:W172,"Cambio Calado"),"")</f>
        <v/>
      </c>
      <c r="Z172" s="31" t="str">
        <f t="shared" si="14"/>
        <v/>
      </c>
      <c r="AA172" s="30" t="str">
        <f t="shared" si="15"/>
        <v/>
      </c>
      <c r="AB172" s="29">
        <f>IFERROR(LOOKUP($A172,$Z$14:$Z172,$AA$14:$AA172),$U172)</f>
        <v>49</v>
      </c>
      <c r="AC172" s="32">
        <f>IFERROR($A173-LOOKUP($A173,$Z$14:$Z172),"")</f>
        <v>41</v>
      </c>
      <c r="AD172" s="1" cm="1">
        <f t="array" ref="AD172">IF(B172&lt;&gt;"",80,_xludf.NA())</f>
        <v>80</v>
      </c>
    </row>
    <row r="173" spans="1:30">
      <c r="A173" s="22">
        <f t="shared" si="11"/>
        <v>46363</v>
      </c>
      <c r="B173" s="9">
        <f>+[1]Balance_Madden!A171</f>
        <v>46363</v>
      </c>
      <c r="C173" s="24">
        <f>+VLOOKUP(B173,[1]Balance_Madden!$A$12:$E$5000,2)</f>
        <v>252.27600000000001</v>
      </c>
      <c r="D173" s="25">
        <f>+VLOOKUP(B173,[1]Balance_Gatún!$A$13:$E$5087,2)</f>
        <v>84.066816798289352</v>
      </c>
      <c r="E173" s="24">
        <f>+VLOOKUP(B173,[1]Balance_Madden!$A$12:$E$5087,5)/35.32</f>
        <v>33.289297848244622</v>
      </c>
      <c r="F173" s="26">
        <f>+VLOOKUP(B173,[1]Balance_Gatún!$A$13:$E$5087,5)/35.32</f>
        <v>56.380379388448468</v>
      </c>
      <c r="G173" s="24">
        <f>+VLOOKUP(B173,[1]Balance_Madden!$A$12:$K$5087,9)/111</f>
        <v>2.7027027027027026</v>
      </c>
      <c r="H173" s="25">
        <f>+VLOOKUP(B173,[1]Balance_Gatún!$A$13:$U$5087,21)/186</f>
        <v>0</v>
      </c>
      <c r="I173" s="24">
        <f>+(VLOOKUP(B173,[1]Balance_Madden!$A$12:$K$5087,10)/35.32)+VLOOKUP(B173,[1]Balance_Madden!$A$12:$K$5087,11)/35.32</f>
        <v>13.120150250136298</v>
      </c>
      <c r="J173" s="25">
        <f>+VLOOKUP(B173,[1]Balance_Gatún!$A$13:$AD$5087,23)/35.32+ VLOOKUP(B173,[1]Balance_Gatún!$A$13:$AD$5087,17)/35.32</f>
        <v>0</v>
      </c>
      <c r="K173" s="24">
        <f>+VLOOKUP(B173,[1]Balance_Gatún!$A$13:$AC$5087,10)</f>
        <v>18</v>
      </c>
      <c r="L173" s="25" t="str">
        <f>+VLOOKUP(B173,[1]Balance_Gatún!$A$13:$AC$5087,11)</f>
        <v>XFILL_PMG100%</v>
      </c>
      <c r="M173" s="25">
        <f>+VLOOKUP(B173,[1]Balance_Gatún!$A$13:$AC$5087,12)</f>
        <v>10</v>
      </c>
      <c r="N173" s="25" t="str">
        <f>+VLOOKUP(B173,[1]Balance_Gatún!$A$13:$AC$5087,13)</f>
        <v>TA+CCL100%</v>
      </c>
      <c r="O173" s="25">
        <f>+VLOOKUP(B173,[1]Balance_Gatún!$A$13:$AC$5087,14)/408.7</f>
        <v>5.2786093436789256</v>
      </c>
      <c r="P173" s="24">
        <f>+VLOOKUP(B173,[1]Balance_Madden!$A$12:$V$5087,12)/35.32</f>
        <v>1.3071745181759307</v>
      </c>
      <c r="Q173" s="25">
        <f>+VLOOKUP(B173,[1]Balance_Gatún!$A$13:$AD$5087,15)/35.32</f>
        <v>10.152912891488272</v>
      </c>
      <c r="R173" s="24">
        <f>+VLOOKUP(B173,[1]Balance_Madden!$A$12:$V$5087,14)/35.32</f>
        <v>35.1747766369419</v>
      </c>
      <c r="S173" s="26">
        <f>[1]Balance_Gatún!X172/35.32</f>
        <v>82.874561780547651</v>
      </c>
      <c r="T173" s="25">
        <v>99.386010502713319</v>
      </c>
      <c r="U173" s="25">
        <v>52.020754394864007</v>
      </c>
      <c r="V173" s="29">
        <f>LOOKUP(D173,[1]Parámetros!$A$7:$A$24,[1]Parámetros!$B$7:$B$24)</f>
        <v>49</v>
      </c>
      <c r="W173" s="30" t="str">
        <f t="shared" si="12"/>
        <v/>
      </c>
      <c r="X173" s="31" t="str">
        <f t="shared" si="13"/>
        <v/>
      </c>
      <c r="Y173" s="30" t="str">
        <f>IF($W173="Cambio Calado",COUNTIF($W$14:W173,"Cambio Calado"),"")</f>
        <v/>
      </c>
      <c r="Z173" s="31" t="str">
        <f t="shared" si="14"/>
        <v/>
      </c>
      <c r="AA173" s="30" t="str">
        <f t="shared" si="15"/>
        <v/>
      </c>
      <c r="AB173" s="29">
        <f>IFERROR(LOOKUP($A173,$Z$14:$Z173,$AA$14:$AA173),$U173)</f>
        <v>49</v>
      </c>
      <c r="AC173" s="32">
        <f>IFERROR($A174-LOOKUP($A174,$Z$14:$Z173),"")</f>
        <v>42</v>
      </c>
      <c r="AD173" s="1" cm="1">
        <f t="array" ref="AD173">IF(B173&lt;&gt;"",80,_xludf.NA())</f>
        <v>80</v>
      </c>
    </row>
    <row r="174" spans="1:30">
      <c r="A174" s="22">
        <f t="shared" si="11"/>
        <v>46364</v>
      </c>
      <c r="B174" s="9">
        <f>+[1]Balance_Madden!A172</f>
        <v>46364</v>
      </c>
      <c r="C174" s="24">
        <f>+VLOOKUP(B174,[1]Balance_Madden!$A$12:$E$5000,2)</f>
        <v>252.26400000000001</v>
      </c>
      <c r="D174" s="25">
        <f>+VLOOKUP(B174,[1]Balance_Gatún!$A$13:$E$5087,2)</f>
        <v>84.063508709703115</v>
      </c>
      <c r="E174" s="24">
        <f>+VLOOKUP(B174,[1]Balance_Madden!$A$12:$E$5087,5)/35.32</f>
        <v>69.952548131370335</v>
      </c>
      <c r="F174" s="26">
        <f>+VLOOKUP(B174,[1]Balance_Gatún!$A$13:$E$5087,5)/35.32</f>
        <v>57.595101925254816</v>
      </c>
      <c r="G174" s="24">
        <f>+VLOOKUP(B174,[1]Balance_Madden!$A$12:$K$5087,9)/111</f>
        <v>2.7027027027027026</v>
      </c>
      <c r="H174" s="25">
        <f>+VLOOKUP(B174,[1]Balance_Gatún!$A$13:$U$5087,21)/186</f>
        <v>0</v>
      </c>
      <c r="I174" s="24">
        <f>+(VLOOKUP(B174,[1]Balance_Madden!$A$12:$K$5087,10)/35.32)+VLOOKUP(B174,[1]Balance_Madden!$A$12:$K$5087,11)/35.32</f>
        <v>12.570801290474387</v>
      </c>
      <c r="J174" s="25">
        <f>+VLOOKUP(B174,[1]Balance_Gatún!$A$13:$AD$5087,23)/35.32+ VLOOKUP(B174,[1]Balance_Gatún!$A$13:$AD$5087,17)/35.32</f>
        <v>0</v>
      </c>
      <c r="K174" s="24">
        <f>+VLOOKUP(B174,[1]Balance_Gatún!$A$13:$AC$5087,10)</f>
        <v>18</v>
      </c>
      <c r="L174" s="25" t="str">
        <f>+VLOOKUP(B174,[1]Balance_Gatún!$A$13:$AC$5087,11)</f>
        <v>XFILL_PMG100%</v>
      </c>
      <c r="M174" s="25">
        <f>+VLOOKUP(B174,[1]Balance_Gatún!$A$13:$AC$5087,12)</f>
        <v>10</v>
      </c>
      <c r="N174" s="25" t="str">
        <f>+VLOOKUP(B174,[1]Balance_Gatún!$A$13:$AC$5087,13)</f>
        <v>TA+CCL100%</v>
      </c>
      <c r="O174" s="25">
        <f>+VLOOKUP(B174,[1]Balance_Gatún!$A$13:$AC$5087,14)/408.7</f>
        <v>5.2780927897895769</v>
      </c>
      <c r="P174" s="24">
        <f>+VLOOKUP(B174,[1]Balance_Madden!$A$12:$V$5087,12)/35.32</f>
        <v>1.8325924546417396</v>
      </c>
      <c r="Q174" s="25">
        <f>+VLOOKUP(B174,[1]Balance_Gatún!$A$13:$AD$5087,15)/35.32</f>
        <v>14.235304077710724</v>
      </c>
      <c r="R174" s="24">
        <f>+VLOOKUP(B174,[1]Balance_Madden!$A$12:$V$5087,14)/35.32</f>
        <v>35.150845613745801</v>
      </c>
      <c r="S174" s="26">
        <f>[1]Balance_Gatún!X173/35.32</f>
        <v>86.950975742121813</v>
      </c>
      <c r="T174" s="25">
        <v>157.7468088160598</v>
      </c>
      <c r="U174" s="25">
        <v>46.832167799046353</v>
      </c>
      <c r="V174" s="29">
        <f>LOOKUP(D174,[1]Parámetros!$A$7:$A$24,[1]Parámetros!$B$7:$B$24)</f>
        <v>49</v>
      </c>
      <c r="W174" s="30" t="str">
        <f t="shared" si="12"/>
        <v/>
      </c>
      <c r="X174" s="31" t="str">
        <f t="shared" si="13"/>
        <v/>
      </c>
      <c r="Y174" s="30" t="str">
        <f>IF($W174="Cambio Calado",COUNTIF($W$14:W174,"Cambio Calado"),"")</f>
        <v/>
      </c>
      <c r="Z174" s="31" t="str">
        <f t="shared" si="14"/>
        <v/>
      </c>
      <c r="AA174" s="30" t="str">
        <f t="shared" si="15"/>
        <v/>
      </c>
      <c r="AB174" s="29">
        <f>IFERROR(LOOKUP($A174,$Z$14:$Z174,$AA$14:$AA174),$U174)</f>
        <v>49</v>
      </c>
      <c r="AC174" s="32">
        <f>IFERROR($A175-LOOKUP($A175,$Z$14:$Z174),"")</f>
        <v>43</v>
      </c>
      <c r="AD174" s="1" cm="1">
        <f t="array" ref="AD174">IF(B174&lt;&gt;"",80,_xludf.NA())</f>
        <v>80</v>
      </c>
    </row>
    <row r="175" spans="1:30">
      <c r="A175" s="22">
        <f t="shared" si="11"/>
        <v>46365</v>
      </c>
      <c r="B175" s="9">
        <f>+[1]Balance_Madden!A173</f>
        <v>46365</v>
      </c>
      <c r="C175" s="24">
        <f>+VLOOKUP(B175,[1]Balance_Madden!$A$12:$E$5000,2)</f>
        <v>252.46899999999999</v>
      </c>
      <c r="D175" s="25">
        <f>+VLOOKUP(B175,[1]Balance_Gatún!$A$13:$E$5087,2)</f>
        <v>84.057888128593518</v>
      </c>
      <c r="E175" s="24">
        <f>+VLOOKUP(B175,[1]Balance_Madden!$A$12:$E$5087,5)/35.32</f>
        <v>29.078850509626275</v>
      </c>
      <c r="F175" s="26">
        <f>+VLOOKUP(B175,[1]Balance_Gatún!$A$13:$E$5087,5)/35.32</f>
        <v>24.757219705549261</v>
      </c>
      <c r="G175" s="24">
        <f>+VLOOKUP(B175,[1]Balance_Madden!$A$12:$K$5087,9)/111</f>
        <v>2.7027027027027026</v>
      </c>
      <c r="H175" s="25">
        <f>+VLOOKUP(B175,[1]Balance_Gatún!$A$13:$U$5087,21)/186</f>
        <v>0</v>
      </c>
      <c r="I175" s="24">
        <f>+(VLOOKUP(B175,[1]Balance_Madden!$A$12:$K$5087,10)/35.32)+VLOOKUP(B175,[1]Balance_Madden!$A$12:$K$5087,11)/35.32</f>
        <v>22.948328866603305</v>
      </c>
      <c r="J175" s="25">
        <f>+VLOOKUP(B175,[1]Balance_Gatún!$A$13:$AD$5087,23)/35.32+ VLOOKUP(B175,[1]Balance_Gatún!$A$13:$AD$5087,17)/35.32</f>
        <v>0</v>
      </c>
      <c r="K175" s="24">
        <f>+VLOOKUP(B175,[1]Balance_Gatún!$A$13:$AC$5087,10)</f>
        <v>18</v>
      </c>
      <c r="L175" s="25" t="str">
        <f>+VLOOKUP(B175,[1]Balance_Gatún!$A$13:$AC$5087,11)</f>
        <v>XFILL_PMG100%</v>
      </c>
      <c r="M175" s="25">
        <f>+VLOOKUP(B175,[1]Balance_Gatún!$A$13:$AC$5087,12)</f>
        <v>10</v>
      </c>
      <c r="N175" s="25" t="str">
        <f>+VLOOKUP(B175,[1]Balance_Gatún!$A$13:$AC$5087,13)</f>
        <v>TA+CCL100%</v>
      </c>
      <c r="O175" s="25">
        <f>+VLOOKUP(B175,[1]Balance_Gatún!$A$13:$AC$5087,14)/408.7</f>
        <v>5.2772151430891086</v>
      </c>
      <c r="P175" s="24">
        <f>+VLOOKUP(B175,[1]Balance_Madden!$A$12:$V$5087,12)/35.32</f>
        <v>1.5279483335364374</v>
      </c>
      <c r="Q175" s="25">
        <f>+VLOOKUP(B175,[1]Balance_Gatún!$A$13:$AD$5087,15)/35.32</f>
        <v>11.839041666626715</v>
      </c>
      <c r="R175" s="24">
        <f>+VLOOKUP(B175,[1]Balance_Madden!$A$12:$V$5087,14)/35.32</f>
        <v>45.223729068769416</v>
      </c>
      <c r="S175" s="26">
        <f>[1]Balance_Gatún!X174/35.32</f>
        <v>84.544557775927927</v>
      </c>
      <c r="T175" s="25">
        <v>199.29396402084583</v>
      </c>
      <c r="U175" s="25">
        <v>42.84353067966758</v>
      </c>
      <c r="V175" s="29">
        <f>LOOKUP(D175,[1]Parámetros!$A$7:$A$24,[1]Parámetros!$B$7:$B$24)</f>
        <v>49</v>
      </c>
      <c r="W175" s="30" t="str">
        <f t="shared" si="12"/>
        <v/>
      </c>
      <c r="X175" s="31" t="str">
        <f t="shared" si="13"/>
        <v/>
      </c>
      <c r="Y175" s="30" t="str">
        <f>IF($W175="Cambio Calado",COUNTIF($W$14:W175,"Cambio Calado"),"")</f>
        <v/>
      </c>
      <c r="Z175" s="31" t="str">
        <f t="shared" si="14"/>
        <v/>
      </c>
      <c r="AA175" s="30" t="str">
        <f t="shared" si="15"/>
        <v/>
      </c>
      <c r="AB175" s="29">
        <f>IFERROR(LOOKUP($A175,$Z$14:$Z175,$AA$14:$AA175),$U175)</f>
        <v>49</v>
      </c>
      <c r="AC175" s="32">
        <f>IFERROR($A176-LOOKUP($A176,$Z$14:$Z175),"")</f>
        <v>44</v>
      </c>
      <c r="AD175" s="1" cm="1">
        <f t="array" ref="AD175">IF(B175&lt;&gt;"",80,_xludf.NA())</f>
        <v>80</v>
      </c>
    </row>
    <row r="176" spans="1:30">
      <c r="A176" s="22">
        <f t="shared" si="11"/>
        <v>46366</v>
      </c>
      <c r="B176" s="9">
        <f>+[1]Balance_Madden!A174</f>
        <v>46366</v>
      </c>
      <c r="C176" s="24">
        <f>+VLOOKUP(B176,[1]Balance_Madden!$A$12:$E$5000,2)</f>
        <v>252.37299999999999</v>
      </c>
      <c r="D176" s="25">
        <f>+VLOOKUP(B176,[1]Balance_Gatún!$A$13:$E$5087,2)</f>
        <v>84.038670198684471</v>
      </c>
      <c r="E176" s="24">
        <f>+VLOOKUP(B176,[1]Balance_Madden!$A$12:$E$5087,5)/35.32</f>
        <v>24.026302378255945</v>
      </c>
      <c r="F176" s="26">
        <f>+VLOOKUP(B176,[1]Balance_Gatún!$A$13:$E$5087,5)/35.32</f>
        <v>18.764609286523214</v>
      </c>
      <c r="G176" s="24">
        <f>+VLOOKUP(B176,[1]Balance_Madden!$A$12:$K$5087,9)/111</f>
        <v>2.7027027027027026</v>
      </c>
      <c r="H176" s="25">
        <f>+VLOOKUP(B176,[1]Balance_Gatún!$A$13:$U$5087,21)/186</f>
        <v>0</v>
      </c>
      <c r="I176" s="24">
        <f>+(VLOOKUP(B176,[1]Balance_Madden!$A$12:$K$5087,10)/35.32)+VLOOKUP(B176,[1]Balance_Madden!$A$12:$K$5087,11)/35.32</f>
        <v>17.834877019310238</v>
      </c>
      <c r="J176" s="25">
        <f>+VLOOKUP(B176,[1]Balance_Gatún!$A$13:$AD$5087,23)/35.32+ VLOOKUP(B176,[1]Balance_Gatún!$A$13:$AD$5087,17)/35.32</f>
        <v>0</v>
      </c>
      <c r="K176" s="24">
        <f>+VLOOKUP(B176,[1]Balance_Gatún!$A$13:$AC$5087,10)</f>
        <v>18</v>
      </c>
      <c r="L176" s="25" t="str">
        <f>+VLOOKUP(B176,[1]Balance_Gatún!$A$13:$AC$5087,11)</f>
        <v>XFILL_PMG100%</v>
      </c>
      <c r="M176" s="25">
        <f>+VLOOKUP(B176,[1]Balance_Gatún!$A$13:$AC$5087,12)</f>
        <v>10</v>
      </c>
      <c r="N176" s="25" t="str">
        <f>+VLOOKUP(B176,[1]Balance_Gatún!$A$13:$AC$5087,13)</f>
        <v>TA+CCL100%</v>
      </c>
      <c r="O176" s="25">
        <f>+VLOOKUP(B176,[1]Balance_Gatún!$A$13:$AC$5087,14)/408.7</f>
        <v>5.2742142874043312</v>
      </c>
      <c r="P176" s="24">
        <f>+VLOOKUP(B176,[1]Balance_Madden!$A$12:$V$5087,12)/35.32</f>
        <v>0.7333430091264721</v>
      </c>
      <c r="Q176" s="25">
        <f>+VLOOKUP(B176,[1]Balance_Gatún!$A$13:$AD$5087,15)/35.32</f>
        <v>5.687285151955666</v>
      </c>
      <c r="R176" s="24">
        <f>+VLOOKUP(B176,[1]Balance_Madden!$A$12:$V$5087,14)/35.32</f>
        <v>39.31567189706638</v>
      </c>
      <c r="S176" s="26">
        <f>[1]Balance_Gatún!X175/35.32</f>
        <v>78.358077316795701</v>
      </c>
      <c r="T176" s="25">
        <v>167.9789142060726</v>
      </c>
      <c r="U176" s="25">
        <v>53.335654951234417</v>
      </c>
      <c r="V176" s="29">
        <f>LOOKUP(D176,[1]Parámetros!$A$7:$A$24,[1]Parámetros!$B$7:$B$24)</f>
        <v>49</v>
      </c>
      <c r="W176" s="30" t="str">
        <f t="shared" si="12"/>
        <v/>
      </c>
      <c r="X176" s="31" t="str">
        <f t="shared" si="13"/>
        <v/>
      </c>
      <c r="Y176" s="30" t="str">
        <f>IF($W176="Cambio Calado",COUNTIF($W$14:W176,"Cambio Calado"),"")</f>
        <v/>
      </c>
      <c r="Z176" s="31" t="str">
        <f t="shared" si="14"/>
        <v/>
      </c>
      <c r="AA176" s="30" t="str">
        <f t="shared" si="15"/>
        <v/>
      </c>
      <c r="AB176" s="29">
        <f>IFERROR(LOOKUP($A176,$Z$14:$Z176,$AA$14:$AA176),$U176)</f>
        <v>49</v>
      </c>
      <c r="AC176" s="32">
        <f>IFERROR($A177-LOOKUP($A177,$Z$14:$Z176),"")</f>
        <v>45</v>
      </c>
      <c r="AD176" s="1" cm="1">
        <f t="array" ref="AD176">IF(B176&lt;&gt;"",80,_xludf.NA())</f>
        <v>80</v>
      </c>
    </row>
    <row r="177" spans="1:30">
      <c r="A177" s="22">
        <f t="shared" si="11"/>
        <v>46367</v>
      </c>
      <c r="B177" s="9">
        <f>+[1]Balance_Madden!A175</f>
        <v>46367</v>
      </c>
      <c r="C177" s="24">
        <f>+VLOOKUP(B177,[1]Balance_Madden!$A$12:$E$5000,2)</f>
        <v>252.28200000000001</v>
      </c>
      <c r="D177" s="25">
        <f>+VLOOKUP(B177,[1]Balance_Gatún!$A$13:$E$5087,2)</f>
        <v>84.016110877482518</v>
      </c>
      <c r="E177" s="24">
        <f>+VLOOKUP(B177,[1]Balance_Madden!$A$12:$E$5087,5)/35.32</f>
        <v>21.888703284258213</v>
      </c>
      <c r="F177" s="26">
        <f>+VLOOKUP(B177,[1]Balance_Gatún!$A$13:$E$5087,5)/35.32</f>
        <v>19.209994337485842</v>
      </c>
      <c r="G177" s="24">
        <f>+VLOOKUP(B177,[1]Balance_Madden!$A$12:$K$5087,9)/111</f>
        <v>2.7027027027027026</v>
      </c>
      <c r="H177" s="25">
        <f>+VLOOKUP(B177,[1]Balance_Gatún!$A$13:$U$5087,21)/186</f>
        <v>0</v>
      </c>
      <c r="I177" s="24">
        <f>+(VLOOKUP(B177,[1]Balance_Madden!$A$12:$K$5087,10)/35.32)+VLOOKUP(B177,[1]Balance_Madden!$A$12:$K$5087,11)/35.32</f>
        <v>13.397723694788915</v>
      </c>
      <c r="J177" s="25">
        <f>+VLOOKUP(B177,[1]Balance_Gatún!$A$13:$AD$5087,23)/35.32+ VLOOKUP(B177,[1]Balance_Gatún!$A$13:$AD$5087,17)/35.32</f>
        <v>0</v>
      </c>
      <c r="K177" s="24">
        <f>+VLOOKUP(B177,[1]Balance_Gatún!$A$13:$AC$5087,10)</f>
        <v>18</v>
      </c>
      <c r="L177" s="25" t="str">
        <f>+VLOOKUP(B177,[1]Balance_Gatún!$A$13:$AC$5087,11)</f>
        <v>XFILL_PMG100%</v>
      </c>
      <c r="M177" s="25">
        <f>+VLOOKUP(B177,[1]Balance_Gatún!$A$13:$AC$5087,12)</f>
        <v>10</v>
      </c>
      <c r="N177" s="25" t="str">
        <f>+VLOOKUP(B177,[1]Balance_Gatún!$A$13:$AC$5087,13)</f>
        <v>TA+CCL100%</v>
      </c>
      <c r="O177" s="25">
        <f>+VLOOKUP(B177,[1]Balance_Gatún!$A$13:$AC$5087,14)/408.7</f>
        <v>5.2706916776542663</v>
      </c>
      <c r="P177" s="24">
        <f>+VLOOKUP(B177,[1]Balance_Madden!$A$12:$V$5087,12)/35.32</f>
        <v>1.0406172302214385</v>
      </c>
      <c r="Q177" s="25">
        <f>+VLOOKUP(B177,[1]Balance_Gatún!$A$13:$AD$5087,15)/35.32</f>
        <v>8.0767119164009049</v>
      </c>
      <c r="R177" s="24">
        <f>+VLOOKUP(B177,[1]Balance_Madden!$A$12:$V$5087,14)/35.32</f>
        <v>35.185792793640026</v>
      </c>
      <c r="S177" s="26">
        <f>[1]Balance_Gatún!X176/35.32</f>
        <v>80.70674273908773</v>
      </c>
      <c r="T177" s="25">
        <v>86.521655377046656</v>
      </c>
      <c r="U177" s="25">
        <v>48.077621951440619</v>
      </c>
      <c r="V177" s="29">
        <f>LOOKUP(D177,[1]Parámetros!$A$7:$A$24,[1]Parámetros!$B$7:$B$24)</f>
        <v>49</v>
      </c>
      <c r="W177" s="30" t="str">
        <f t="shared" si="12"/>
        <v/>
      </c>
      <c r="X177" s="31" t="str">
        <f t="shared" si="13"/>
        <v/>
      </c>
      <c r="Y177" s="30" t="str">
        <f>IF($W177="Cambio Calado",COUNTIF($W$14:W177,"Cambio Calado"),"")</f>
        <v/>
      </c>
      <c r="Z177" s="31" t="str">
        <f t="shared" si="14"/>
        <v/>
      </c>
      <c r="AA177" s="30" t="str">
        <f t="shared" si="15"/>
        <v/>
      </c>
      <c r="AB177" s="29">
        <f>IFERROR(LOOKUP($A177,$Z$14:$Z177,$AA$14:$AA177),$U177)</f>
        <v>49</v>
      </c>
      <c r="AC177" s="32">
        <f>IFERROR($A178-LOOKUP($A178,$Z$14:$Z177),"")</f>
        <v>46</v>
      </c>
      <c r="AD177" s="1" cm="1">
        <f t="array" ref="AD177">IF(B177&lt;&gt;"",80,_xludf.NA())</f>
        <v>80</v>
      </c>
    </row>
    <row r="178" spans="1:30">
      <c r="A178" s="22">
        <f t="shared" si="11"/>
        <v>46368</v>
      </c>
      <c r="B178" s="9">
        <f>+[1]Balance_Madden!A176</f>
        <v>46368</v>
      </c>
      <c r="C178" s="24">
        <f>+VLOOKUP(B178,[1]Balance_Madden!$A$12:$E$5000,2)</f>
        <v>252.203</v>
      </c>
      <c r="D178" s="25">
        <f>+VLOOKUP(B178,[1]Balance_Gatún!$A$13:$E$5087,2)</f>
        <v>83.98924327071235</v>
      </c>
      <c r="E178" s="24">
        <f>+VLOOKUP(B178,[1]Balance_Madden!$A$12:$E$5087,5)/35.32</f>
        <v>34.283522083805209</v>
      </c>
      <c r="F178" s="26">
        <f>+VLOOKUP(B178,[1]Balance_Gatún!$A$13:$E$5087,5)/35.32</f>
        <v>28.182729331823328</v>
      </c>
      <c r="G178" s="24">
        <f>+VLOOKUP(B178,[1]Balance_Madden!$A$12:$K$5087,9)/111</f>
        <v>2.7027027027027026</v>
      </c>
      <c r="H178" s="25">
        <f>+VLOOKUP(B178,[1]Balance_Gatún!$A$13:$U$5087,21)/186</f>
        <v>0</v>
      </c>
      <c r="I178" s="24">
        <f>+(VLOOKUP(B178,[1]Balance_Madden!$A$12:$K$5087,10)/35.32)+VLOOKUP(B178,[1]Balance_Madden!$A$12:$K$5087,11)/35.32</f>
        <v>9.9018913543941576</v>
      </c>
      <c r="J178" s="25">
        <f>+VLOOKUP(B178,[1]Balance_Gatún!$A$13:$AD$5087,23)/35.32+ VLOOKUP(B178,[1]Balance_Gatún!$A$13:$AD$5087,17)/35.32</f>
        <v>0</v>
      </c>
      <c r="K178" s="24">
        <f>+VLOOKUP(B178,[1]Balance_Gatún!$A$13:$AC$5087,10)</f>
        <v>18</v>
      </c>
      <c r="L178" s="25" t="str">
        <f>+VLOOKUP(B178,[1]Balance_Gatún!$A$13:$AC$5087,11)</f>
        <v>XFILL_PMG100%</v>
      </c>
      <c r="M178" s="25">
        <f>+VLOOKUP(B178,[1]Balance_Gatún!$A$13:$AC$5087,12)</f>
        <v>10</v>
      </c>
      <c r="N178" s="25" t="str">
        <f>+VLOOKUP(B178,[1]Balance_Gatún!$A$13:$AC$5087,13)</f>
        <v>TA+CCL100%</v>
      </c>
      <c r="O178" s="25">
        <f>+VLOOKUP(B178,[1]Balance_Gatún!$A$13:$AC$5087,14)/408.7</f>
        <v>5.2664963345088678</v>
      </c>
      <c r="P178" s="24">
        <f>+VLOOKUP(B178,[1]Balance_Madden!$A$12:$V$5087,12)/35.32</f>
        <v>1.4736220298861578</v>
      </c>
      <c r="Q178" s="25">
        <f>+VLOOKUP(B178,[1]Balance_Gatún!$A$13:$AD$5087,15)/35.32</f>
        <v>11.44430540006849</v>
      </c>
      <c r="R178" s="24">
        <f>+VLOOKUP(B178,[1]Balance_Madden!$A$12:$V$5087,14)/35.32</f>
        <v>32.122965252909985</v>
      </c>
      <c r="S178" s="26">
        <f>[1]Balance_Gatún!X177/35.32</f>
        <v>84.025790448589845</v>
      </c>
      <c r="T178" s="25">
        <v>157.28097947654513</v>
      </c>
      <c r="U178" s="25">
        <v>61.14033559967708</v>
      </c>
      <c r="V178" s="29">
        <f>LOOKUP(D178,[1]Parámetros!$A$7:$A$24,[1]Parámetros!$B$7:$B$24)</f>
        <v>48.5</v>
      </c>
      <c r="W178" s="30" t="str">
        <f t="shared" si="12"/>
        <v>Cambio Calado</v>
      </c>
      <c r="X178" s="31">
        <f t="shared" si="13"/>
        <v>46368</v>
      </c>
      <c r="Y178" s="30">
        <f>IF($W178="Cambio Calado",COUNTIF($W$14:W178,"Cambio Calado"),"")</f>
        <v>11</v>
      </c>
      <c r="Z178" s="31">
        <f t="shared" si="14"/>
        <v>46368</v>
      </c>
      <c r="AA178" s="30">
        <f t="shared" si="15"/>
        <v>48.5</v>
      </c>
      <c r="AB178" s="29">
        <f>IFERROR(LOOKUP($A178,$Z$14:$Z178,$AA$14:$AA178),$U178)</f>
        <v>48.5</v>
      </c>
      <c r="AC178" s="32">
        <f>IFERROR($A179-LOOKUP($A179,$Z$14:$Z178),"")</f>
        <v>1</v>
      </c>
      <c r="AD178" s="1" cm="1">
        <f t="array" ref="AD178">IF(B178&lt;&gt;"",80,_xludf.NA())</f>
        <v>80</v>
      </c>
    </row>
    <row r="179" spans="1:30">
      <c r="A179" s="22">
        <f t="shared" si="11"/>
        <v>46369</v>
      </c>
      <c r="B179" s="9">
        <f>+[1]Balance_Madden!A177</f>
        <v>46369</v>
      </c>
      <c r="C179" s="24">
        <f>+VLOOKUP(B179,[1]Balance_Madden!$A$12:$E$5000,2)</f>
        <v>252.215</v>
      </c>
      <c r="D179" s="25">
        <f>+VLOOKUP(B179,[1]Balance_Gatún!$A$13:$E$5087,2)</f>
        <v>83.96383114299833</v>
      </c>
      <c r="E179" s="24">
        <f>+VLOOKUP(B179,[1]Balance_Madden!$A$12:$E$5087,5)/35.32</f>
        <v>26.538844847112117</v>
      </c>
      <c r="F179" s="26">
        <f>+VLOOKUP(B179,[1]Balance_Gatún!$A$13:$E$5087,5)/35.32</f>
        <v>26.752746319365798</v>
      </c>
      <c r="G179" s="24">
        <f>+VLOOKUP(B179,[1]Balance_Madden!$A$12:$K$5087,9)/111</f>
        <v>2.7027027027027026</v>
      </c>
      <c r="H179" s="25">
        <f>+VLOOKUP(B179,[1]Balance_Gatún!$A$13:$U$5087,21)/186</f>
        <v>0</v>
      </c>
      <c r="I179" s="24">
        <f>+(VLOOKUP(B179,[1]Balance_Madden!$A$12:$K$5087,10)/35.32)+VLOOKUP(B179,[1]Balance_Madden!$A$12:$K$5087,11)/35.32</f>
        <v>10.410156624256578</v>
      </c>
      <c r="J179" s="25">
        <f>+VLOOKUP(B179,[1]Balance_Gatún!$A$13:$AD$5087,23)/35.32+ VLOOKUP(B179,[1]Balance_Gatún!$A$13:$AD$5087,17)/35.32</f>
        <v>0</v>
      </c>
      <c r="K179" s="24">
        <f>+VLOOKUP(B179,[1]Balance_Gatún!$A$13:$AC$5087,10)</f>
        <v>18</v>
      </c>
      <c r="L179" s="25" t="str">
        <f>+VLOOKUP(B179,[1]Balance_Gatún!$A$13:$AC$5087,11)</f>
        <v>XFILL_PMG100%</v>
      </c>
      <c r="M179" s="25">
        <f>+VLOOKUP(B179,[1]Balance_Gatún!$A$13:$AC$5087,12)</f>
        <v>10</v>
      </c>
      <c r="N179" s="25" t="str">
        <f>+VLOOKUP(B179,[1]Balance_Gatún!$A$13:$AC$5087,13)</f>
        <v>TA+CCL100%</v>
      </c>
      <c r="O179" s="25">
        <f>+VLOOKUP(B179,[1]Balance_Gatún!$A$13:$AC$5087,14)/408.7</f>
        <v>5.2625282625950938</v>
      </c>
      <c r="P179" s="24">
        <f>+VLOOKUP(B179,[1]Balance_Madden!$A$12:$V$5087,12)/35.32</f>
        <v>0.78569460167166849</v>
      </c>
      <c r="Q179" s="25">
        <f>+VLOOKUP(B179,[1]Balance_Gatún!$A$13:$AD$5087,15)/35.32</f>
        <v>6.0989241942730743</v>
      </c>
      <c r="R179" s="24">
        <f>+VLOOKUP(B179,[1]Balance_Madden!$A$12:$V$5087,14)/35.32</f>
        <v>31.943303094557919</v>
      </c>
      <c r="S179" s="26">
        <f>[1]Balance_Gatún!X178/35.32</f>
        <v>78.634493303067387</v>
      </c>
      <c r="T179" s="25">
        <v>86.396046221147387</v>
      </c>
      <c r="U179" s="25">
        <v>60.390551803122754</v>
      </c>
      <c r="V179" s="29">
        <f>LOOKUP(D179,[1]Parámetros!$A$7:$A$24,[1]Parámetros!$B$7:$B$24)</f>
        <v>48.5</v>
      </c>
      <c r="W179" s="30" t="str">
        <f t="shared" si="12"/>
        <v/>
      </c>
      <c r="X179" s="31" t="str">
        <f t="shared" si="13"/>
        <v/>
      </c>
      <c r="Y179" s="30" t="str">
        <f>IF($W179="Cambio Calado",COUNTIF($W$14:W179,"Cambio Calado"),"")</f>
        <v/>
      </c>
      <c r="Z179" s="31" t="str">
        <f t="shared" si="14"/>
        <v/>
      </c>
      <c r="AA179" s="30" t="str">
        <f t="shared" si="15"/>
        <v/>
      </c>
      <c r="AB179" s="29">
        <f>IFERROR(LOOKUP($A179,$Z$14:$Z179,$AA$14:$AA179),$U179)</f>
        <v>48.5</v>
      </c>
      <c r="AC179" s="32">
        <f>IFERROR($A180-LOOKUP($A180,$Z$14:$Z179),"")</f>
        <v>2</v>
      </c>
      <c r="AD179" s="1" cm="1">
        <f t="array" ref="AD179">IF(B179&lt;&gt;"",80,_xludf.NA())</f>
        <v>80</v>
      </c>
    </row>
    <row r="180" spans="1:30">
      <c r="A180" s="22">
        <f t="shared" si="11"/>
        <v>46370</v>
      </c>
      <c r="B180" s="9">
        <f>+[1]Balance_Madden!A178</f>
        <v>46370</v>
      </c>
      <c r="C180" s="24">
        <f>+VLOOKUP(B180,[1]Balance_Madden!$A$12:$E$5000,2)</f>
        <v>252.18299999999999</v>
      </c>
      <c r="D180" s="25">
        <f>+VLOOKUP(B180,[1]Balance_Gatún!$A$13:$E$5087,2)</f>
        <v>83.941445361280799</v>
      </c>
      <c r="E180" s="24">
        <f>+VLOOKUP(B180,[1]Balance_Madden!$A$12:$E$5087,5)/35.32</f>
        <v>23.327633069082673</v>
      </c>
      <c r="F180" s="26">
        <f>+VLOOKUP(B180,[1]Balance_Gatún!$A$13:$E$5087,5)/35.32</f>
        <v>21.350679501698753</v>
      </c>
      <c r="G180" s="24">
        <f>+VLOOKUP(B180,[1]Balance_Madden!$A$12:$K$5087,9)/111</f>
        <v>2.7027027027027026</v>
      </c>
      <c r="H180" s="25">
        <f>+VLOOKUP(B180,[1]Balance_Gatún!$A$13:$U$5087,21)/186</f>
        <v>0</v>
      </c>
      <c r="I180" s="24">
        <f>+(VLOOKUP(B180,[1]Balance_Madden!$A$12:$K$5087,10)/35.32)+VLOOKUP(B180,[1]Balance_Madden!$A$12:$K$5087,11)/35.32</f>
        <v>9.073733969777404</v>
      </c>
      <c r="J180" s="25">
        <f>+VLOOKUP(B180,[1]Balance_Gatún!$A$13:$AD$5087,23)/35.32+ VLOOKUP(B180,[1]Balance_Gatún!$A$13:$AD$5087,17)/35.32</f>
        <v>0</v>
      </c>
      <c r="K180" s="24">
        <f>+VLOOKUP(B180,[1]Balance_Gatún!$A$13:$AC$5087,10)</f>
        <v>18</v>
      </c>
      <c r="L180" s="25" t="str">
        <f>+VLOOKUP(B180,[1]Balance_Gatún!$A$13:$AC$5087,11)</f>
        <v>XFILL_PMG100%</v>
      </c>
      <c r="M180" s="25">
        <f>+VLOOKUP(B180,[1]Balance_Gatún!$A$13:$AC$5087,12)</f>
        <v>10</v>
      </c>
      <c r="N180" s="25" t="str">
        <f>+VLOOKUP(B180,[1]Balance_Gatún!$A$13:$AC$5087,13)</f>
        <v>TA+CCL100%</v>
      </c>
      <c r="O180" s="25">
        <f>+VLOOKUP(B180,[1]Balance_Gatún!$A$13:$AC$5087,14)/408.7</f>
        <v>5.2590327508181636</v>
      </c>
      <c r="P180" s="24">
        <f>+VLOOKUP(B180,[1]Balance_Madden!$A$12:$V$5087,12)/35.32</f>
        <v>2.3846816816622747</v>
      </c>
      <c r="Q180" s="25">
        <f>+VLOOKUP(B180,[1]Balance_Gatún!$A$13:$AD$5087,15)/35.32</f>
        <v>18.512751350405409</v>
      </c>
      <c r="R180" s="24">
        <f>+VLOOKUP(B180,[1]Balance_Madden!$A$12:$V$5087,14)/35.32</f>
        <v>32.205867520069347</v>
      </c>
      <c r="S180" s="26">
        <f>[1]Balance_Gatún!X179/35.32</f>
        <v>91.007872677115031</v>
      </c>
      <c r="T180" s="25">
        <v>60.454300049610268</v>
      </c>
      <c r="U180" s="25">
        <v>44.413309906159647</v>
      </c>
      <c r="V180" s="29">
        <f>LOOKUP(D180,[1]Parámetros!$A$7:$A$24,[1]Parámetros!$B$7:$B$24)</f>
        <v>48.5</v>
      </c>
      <c r="W180" s="30" t="str">
        <f t="shared" si="12"/>
        <v/>
      </c>
      <c r="X180" s="31" t="str">
        <f t="shared" si="13"/>
        <v/>
      </c>
      <c r="Y180" s="30" t="str">
        <f>IF($W180="Cambio Calado",COUNTIF($W$14:W180,"Cambio Calado"),"")</f>
        <v/>
      </c>
      <c r="Z180" s="31" t="str">
        <f t="shared" si="14"/>
        <v/>
      </c>
      <c r="AA180" s="30" t="str">
        <f t="shared" si="15"/>
        <v/>
      </c>
      <c r="AB180" s="29">
        <f>IFERROR(LOOKUP($A180,$Z$14:$Z180,$AA$14:$AA180),$U180)</f>
        <v>48.5</v>
      </c>
      <c r="AC180" s="32">
        <f>IFERROR($A181-LOOKUP($A181,$Z$14:$Z180),"")</f>
        <v>3</v>
      </c>
      <c r="AD180" s="1" cm="1">
        <f t="array" ref="AD180">IF(B180&lt;&gt;"",80,_xludf.NA())</f>
        <v>80</v>
      </c>
    </row>
    <row r="181" spans="1:30">
      <c r="A181" s="22">
        <f t="shared" si="11"/>
        <v>46371</v>
      </c>
      <c r="B181" s="9">
        <f>+[1]Balance_Madden!A179</f>
        <v>46371</v>
      </c>
      <c r="C181" s="24">
        <f>+VLOOKUP(B181,[1]Balance_Madden!$A$12:$E$5000,2)</f>
        <v>252.13</v>
      </c>
      <c r="D181" s="25">
        <f>+VLOOKUP(B181,[1]Balance_Gatún!$A$13:$E$5087,2)</f>
        <v>83.90607329858949</v>
      </c>
      <c r="E181" s="24">
        <f>+VLOOKUP(B181,[1]Balance_Madden!$A$12:$E$5087,5)/35.32</f>
        <v>23.138731596828993</v>
      </c>
      <c r="F181" s="26">
        <f>+VLOOKUP(B181,[1]Balance_Gatún!$A$13:$E$5087,5)/35.32</f>
        <v>64.884994337485836</v>
      </c>
      <c r="G181" s="24">
        <f>+VLOOKUP(B181,[1]Balance_Madden!$A$12:$K$5087,9)/111</f>
        <v>2.7027027027027026</v>
      </c>
      <c r="H181" s="25">
        <f>+VLOOKUP(B181,[1]Balance_Gatún!$A$13:$U$5087,21)/186</f>
        <v>0</v>
      </c>
      <c r="I181" s="24">
        <f>+(VLOOKUP(B181,[1]Balance_Madden!$A$12:$K$5087,10)/35.32)+VLOOKUP(B181,[1]Balance_Madden!$A$12:$K$5087,11)/35.32</f>
        <v>6.998830942897988</v>
      </c>
      <c r="J181" s="25">
        <f>+VLOOKUP(B181,[1]Balance_Gatún!$A$13:$AD$5087,23)/35.32+ VLOOKUP(B181,[1]Balance_Gatún!$A$13:$AD$5087,17)/35.32</f>
        <v>0</v>
      </c>
      <c r="K181" s="24">
        <f>+VLOOKUP(B181,[1]Balance_Gatún!$A$13:$AC$5087,10)</f>
        <v>18</v>
      </c>
      <c r="L181" s="25" t="str">
        <f>+VLOOKUP(B181,[1]Balance_Gatún!$A$13:$AC$5087,11)</f>
        <v>XFILL_PMG100%</v>
      </c>
      <c r="M181" s="25">
        <f>+VLOOKUP(B181,[1]Balance_Gatún!$A$13:$AC$5087,12)</f>
        <v>10</v>
      </c>
      <c r="N181" s="25" t="str">
        <f>+VLOOKUP(B181,[1]Balance_Gatún!$A$13:$AC$5087,13)</f>
        <v>TA+CCL100%</v>
      </c>
      <c r="O181" s="25">
        <f>+VLOOKUP(B181,[1]Balance_Gatún!$A$13:$AC$5087,14)/408.7</f>
        <v>5.2535094475325366</v>
      </c>
      <c r="P181" s="24">
        <f>+VLOOKUP(B181,[1]Balance_Madden!$A$12:$V$5087,12)/35.32</f>
        <v>1.9599412031115688</v>
      </c>
      <c r="Q181" s="25">
        <f>+VLOOKUP(B181,[1]Balance_Gatún!$A$13:$AD$5087,15)/35.32</f>
        <v>15.218125204712967</v>
      </c>
      <c r="R181" s="24">
        <f>+VLOOKUP(B181,[1]Balance_Madden!$A$12:$V$5087,14)/35.32</f>
        <v>29.706224014639229</v>
      </c>
      <c r="S181" s="26">
        <f>[1]Balance_Gatún!X180/35.32</f>
        <v>87.649334468771514</v>
      </c>
      <c r="T181" s="25">
        <v>98.243342325601049</v>
      </c>
      <c r="U181" s="25">
        <v>63.368923336280176</v>
      </c>
      <c r="V181" s="29">
        <f>LOOKUP(D181,[1]Parámetros!$A$7:$A$24,[1]Parámetros!$B$7:$B$24)</f>
        <v>48.5</v>
      </c>
      <c r="W181" s="30" t="str">
        <f t="shared" si="12"/>
        <v/>
      </c>
      <c r="X181" s="31" t="str">
        <f t="shared" si="13"/>
        <v/>
      </c>
      <c r="Y181" s="30" t="str">
        <f>IF($W181="Cambio Calado",COUNTIF($W$14:W181,"Cambio Calado"),"")</f>
        <v/>
      </c>
      <c r="Z181" s="31" t="str">
        <f t="shared" si="14"/>
        <v/>
      </c>
      <c r="AA181" s="30" t="str">
        <f t="shared" si="15"/>
        <v/>
      </c>
      <c r="AB181" s="29">
        <f>IFERROR(LOOKUP($A181,$Z$14:$Z181,$AA$14:$AA181),$U181)</f>
        <v>48.5</v>
      </c>
      <c r="AC181" s="32">
        <f>IFERROR($A182-LOOKUP($A182,$Z$14:$Z181),"")</f>
        <v>4</v>
      </c>
      <c r="AD181" s="1" cm="1">
        <f t="array" ref="AD181">IF(B181&lt;&gt;"",80,_xludf.NA())</f>
        <v>80</v>
      </c>
    </row>
    <row r="182" spans="1:30">
      <c r="A182" s="22">
        <f t="shared" si="11"/>
        <v>46372</v>
      </c>
      <c r="B182" s="9">
        <f>+[1]Balance_Madden!A180</f>
        <v>46372</v>
      </c>
      <c r="C182" s="24">
        <f>+VLOOKUP(B182,[1]Balance_Madden!$A$12:$E$5000,2)</f>
        <v>252.09100000000001</v>
      </c>
      <c r="D182" s="25">
        <f>+VLOOKUP(B182,[1]Balance_Gatún!$A$13:$E$5087,2)</f>
        <v>83.901134090018573</v>
      </c>
      <c r="E182" s="24">
        <f>+VLOOKUP(B182,[1]Balance_Madden!$A$12:$E$5087,5)/35.32</f>
        <v>70.551330690826731</v>
      </c>
      <c r="F182" s="26">
        <f>+VLOOKUP(B182,[1]Balance_Gatún!$A$13:$E$5087,5)/35.32</f>
        <v>43.1178369195923</v>
      </c>
      <c r="G182" s="24">
        <f>+VLOOKUP(B182,[1]Balance_Madden!$A$12:$K$5087,9)/111</f>
        <v>2.7027027027027026</v>
      </c>
      <c r="H182" s="25">
        <f>+VLOOKUP(B182,[1]Balance_Gatún!$A$13:$U$5087,21)/186</f>
        <v>0</v>
      </c>
      <c r="I182" s="24">
        <f>+(VLOOKUP(B182,[1]Balance_Madden!$A$12:$K$5087,10)/35.32)+VLOOKUP(B182,[1]Balance_Madden!$A$12:$K$5087,11)/35.32</f>
        <v>5.5903426740196922</v>
      </c>
      <c r="J182" s="25">
        <f>+VLOOKUP(B182,[1]Balance_Gatún!$A$13:$AD$5087,23)/35.32+ VLOOKUP(B182,[1]Balance_Gatún!$A$13:$AD$5087,17)/35.32</f>
        <v>0</v>
      </c>
      <c r="K182" s="24">
        <f>+VLOOKUP(B182,[1]Balance_Gatún!$A$13:$AC$5087,10)</f>
        <v>18</v>
      </c>
      <c r="L182" s="25" t="str">
        <f>+VLOOKUP(B182,[1]Balance_Gatún!$A$13:$AC$5087,11)</f>
        <v>XFILL_PMG100%</v>
      </c>
      <c r="M182" s="25">
        <f>+VLOOKUP(B182,[1]Balance_Gatún!$A$13:$AC$5087,12)</f>
        <v>10</v>
      </c>
      <c r="N182" s="25" t="str">
        <f>+VLOOKUP(B182,[1]Balance_Gatún!$A$13:$AC$5087,13)</f>
        <v>TA+CCL100%</v>
      </c>
      <c r="O182" s="25">
        <f>+VLOOKUP(B182,[1]Balance_Gatún!$A$13:$AC$5087,14)/408.7</f>
        <v>5.2527381963005615</v>
      </c>
      <c r="P182" s="24">
        <f>+VLOOKUP(B182,[1]Balance_Madden!$A$12:$V$5087,12)/35.32</f>
        <v>1.3362495133129384</v>
      </c>
      <c r="Q182" s="25">
        <f>+VLOOKUP(B182,[1]Balance_Gatún!$A$13:$AD$5087,15)/35.32</f>
        <v>10.379595599211598</v>
      </c>
      <c r="R182" s="24">
        <f>+VLOOKUP(B182,[1]Balance_Madden!$A$12:$V$5087,14)/35.32</f>
        <v>27.674044055962302</v>
      </c>
      <c r="S182" s="26">
        <f>[1]Balance_Gatún!X181/35.32</f>
        <v>82.801880447117597</v>
      </c>
      <c r="T182" s="25">
        <v>73.857926159513028</v>
      </c>
      <c r="U182" s="25">
        <v>54.541123684154925</v>
      </c>
      <c r="V182" s="29">
        <f>LOOKUP(D182,[1]Parámetros!$A$7:$A$24,[1]Parámetros!$B$7:$B$24)</f>
        <v>48.5</v>
      </c>
      <c r="W182" s="30" t="str">
        <f t="shared" si="12"/>
        <v/>
      </c>
      <c r="X182" s="31" t="str">
        <f t="shared" si="13"/>
        <v/>
      </c>
      <c r="Y182" s="30" t="str">
        <f>IF($W182="Cambio Calado",COUNTIF($W$14:W182,"Cambio Calado"),"")</f>
        <v/>
      </c>
      <c r="Z182" s="31" t="str">
        <f t="shared" si="14"/>
        <v/>
      </c>
      <c r="AA182" s="30" t="str">
        <f t="shared" si="15"/>
        <v/>
      </c>
      <c r="AB182" s="29">
        <f>IFERROR(LOOKUP($A182,$Z$14:$Z182,$AA$14:$AA182),$U182)</f>
        <v>48.5</v>
      </c>
      <c r="AC182" s="32">
        <f>IFERROR($A183-LOOKUP($A183,$Z$14:$Z182),"")</f>
        <v>5</v>
      </c>
      <c r="AD182" s="1" cm="1">
        <f t="array" ref="AD182">IF(B182&lt;&gt;"",80,_xludf.NA())</f>
        <v>80</v>
      </c>
    </row>
    <row r="183" spans="1:30">
      <c r="A183" s="22">
        <f t="shared" si="11"/>
        <v>46373</v>
      </c>
      <c r="B183" s="9">
        <f>+[1]Balance_Madden!A181</f>
        <v>46373</v>
      </c>
      <c r="C183" s="24">
        <f>+VLOOKUP(B183,[1]Balance_Madden!$A$12:$E$5000,2)</f>
        <v>252.34299999999999</v>
      </c>
      <c r="D183" s="25">
        <f>+VLOOKUP(B183,[1]Balance_Gatún!$A$13:$E$5087,2)</f>
        <v>83.883743306545142</v>
      </c>
      <c r="E183" s="24">
        <f>+VLOOKUP(B183,[1]Balance_Madden!$A$12:$E$5087,5)/35.32</f>
        <v>31.450113250283124</v>
      </c>
      <c r="F183" s="26">
        <f>+VLOOKUP(B183,[1]Balance_Gatún!$A$13:$E$5087,5)/35.32</f>
        <v>38.510192525481315</v>
      </c>
      <c r="G183" s="24">
        <f>+VLOOKUP(B183,[1]Balance_Madden!$A$12:$K$5087,9)/111</f>
        <v>2.7027027027027026</v>
      </c>
      <c r="H183" s="25">
        <f>+VLOOKUP(B183,[1]Balance_Gatún!$A$13:$U$5087,21)/186</f>
        <v>0</v>
      </c>
      <c r="I183" s="24">
        <f>+(VLOOKUP(B183,[1]Balance_Madden!$A$12:$K$5087,10)/35.32)+VLOOKUP(B183,[1]Balance_Madden!$A$12:$K$5087,11)/35.32</f>
        <v>16.326110523519603</v>
      </c>
      <c r="J183" s="25">
        <f>+VLOOKUP(B183,[1]Balance_Gatún!$A$13:$AD$5087,23)/35.32+ VLOOKUP(B183,[1]Balance_Gatún!$A$13:$AD$5087,17)/35.32</f>
        <v>0</v>
      </c>
      <c r="K183" s="24">
        <f>+VLOOKUP(B183,[1]Balance_Gatún!$A$13:$AC$5087,10)</f>
        <v>18</v>
      </c>
      <c r="L183" s="25" t="str">
        <f>+VLOOKUP(B183,[1]Balance_Gatún!$A$13:$AC$5087,11)</f>
        <v>XFILL_PMG100%</v>
      </c>
      <c r="M183" s="25">
        <f>+VLOOKUP(B183,[1]Balance_Gatún!$A$13:$AC$5087,12)</f>
        <v>10</v>
      </c>
      <c r="N183" s="25" t="str">
        <f>+VLOOKUP(B183,[1]Balance_Gatún!$A$13:$AC$5087,13)</f>
        <v>TA+CCL100%</v>
      </c>
      <c r="O183" s="25">
        <f>+VLOOKUP(B183,[1]Balance_Gatún!$A$13:$AC$5087,14)/408.7</f>
        <v>5.2500226472431981</v>
      </c>
      <c r="P183" s="24">
        <f>+VLOOKUP(B183,[1]Balance_Madden!$A$12:$V$5087,12)/35.32</f>
        <v>1.0192968751517204</v>
      </c>
      <c r="Q183" s="25">
        <f>+VLOOKUP(B183,[1]Balance_Gatún!$A$13:$AD$5087,15)/35.32</f>
        <v>7.8920555817237528</v>
      </c>
      <c r="R183" s="24">
        <f>+VLOOKUP(B183,[1]Balance_Madden!$A$12:$V$5087,14)/35.32</f>
        <v>38.092859267300987</v>
      </c>
      <c r="S183" s="26">
        <f>[1]Balance_Gatún!X182/35.32</f>
        <v>80.282917867349326</v>
      </c>
      <c r="T183" s="25">
        <v>76.193383965248685</v>
      </c>
      <c r="U183" s="25">
        <v>40.577926109948933</v>
      </c>
      <c r="V183" s="29">
        <f>LOOKUP(D183,[1]Parámetros!$A$7:$A$24,[1]Parámetros!$B$7:$B$24)</f>
        <v>48.5</v>
      </c>
      <c r="W183" s="30" t="str">
        <f t="shared" si="12"/>
        <v/>
      </c>
      <c r="X183" s="31" t="str">
        <f t="shared" si="13"/>
        <v/>
      </c>
      <c r="Y183" s="30" t="str">
        <f>IF($W183="Cambio Calado",COUNTIF($W$14:W183,"Cambio Calado"),"")</f>
        <v/>
      </c>
      <c r="Z183" s="31" t="str">
        <f t="shared" si="14"/>
        <v/>
      </c>
      <c r="AA183" s="30" t="str">
        <f t="shared" si="15"/>
        <v/>
      </c>
      <c r="AB183" s="29">
        <f>IFERROR(LOOKUP($A183,$Z$14:$Z183,$AA$14:$AA183),$U183)</f>
        <v>48.5</v>
      </c>
      <c r="AC183" s="32">
        <f>IFERROR($A184-LOOKUP($A184,$Z$14:$Z183),"")</f>
        <v>6</v>
      </c>
      <c r="AD183" s="1" cm="1">
        <f t="array" ref="AD183">IF(B183&lt;&gt;"",80,_xludf.NA())</f>
        <v>80</v>
      </c>
    </row>
    <row r="184" spans="1:30">
      <c r="A184" s="22">
        <f t="shared" si="11"/>
        <v>46374</v>
      </c>
      <c r="B184" s="9">
        <f>+[1]Balance_Madden!A182</f>
        <v>46374</v>
      </c>
      <c r="C184" s="24">
        <f>+VLOOKUP(B184,[1]Balance_Madden!$A$12:$E$5000,2)</f>
        <v>252.303</v>
      </c>
      <c r="D184" s="25">
        <f>+VLOOKUP(B184,[1]Balance_Gatún!$A$13:$E$5087,2)</f>
        <v>83.872224639713764</v>
      </c>
      <c r="E184" s="24">
        <f>+VLOOKUP(B184,[1]Balance_Madden!$A$12:$E$5087,5)/35.32</f>
        <v>26.161070215175538</v>
      </c>
      <c r="F184" s="26">
        <f>+VLOOKUP(B184,[1]Balance_Gatún!$A$13:$E$5087,5)/35.32</f>
        <v>33.187570781426949</v>
      </c>
      <c r="G184" s="24">
        <f>+VLOOKUP(B184,[1]Balance_Madden!$A$12:$K$5087,9)/111</f>
        <v>2.7027027027027026</v>
      </c>
      <c r="H184" s="25">
        <f>+VLOOKUP(B184,[1]Balance_Gatún!$A$13:$U$5087,21)/186</f>
        <v>0</v>
      </c>
      <c r="I184" s="24">
        <f>+(VLOOKUP(B184,[1]Balance_Madden!$A$12:$K$5087,10)/35.32)+VLOOKUP(B184,[1]Balance_Madden!$A$12:$K$5087,11)/35.32</f>
        <v>14.3842157801318</v>
      </c>
      <c r="J184" s="25">
        <f>+VLOOKUP(B184,[1]Balance_Gatún!$A$13:$AD$5087,23)/35.32+ VLOOKUP(B184,[1]Balance_Gatún!$A$13:$AD$5087,17)/35.32</f>
        <v>0</v>
      </c>
      <c r="K184" s="24">
        <f>+VLOOKUP(B184,[1]Balance_Gatún!$A$13:$AC$5087,10)</f>
        <v>18</v>
      </c>
      <c r="L184" s="25" t="str">
        <f>+VLOOKUP(B184,[1]Balance_Gatún!$A$13:$AC$5087,11)</f>
        <v>XFILL_PMG100%</v>
      </c>
      <c r="M184" s="25">
        <f>+VLOOKUP(B184,[1]Balance_Gatún!$A$13:$AC$5087,12)</f>
        <v>10</v>
      </c>
      <c r="N184" s="25" t="str">
        <f>+VLOOKUP(B184,[1]Balance_Gatún!$A$13:$AC$5087,13)</f>
        <v>TA+CCL100%</v>
      </c>
      <c r="O184" s="25">
        <f>+VLOOKUP(B184,[1]Balance_Gatún!$A$13:$AC$5087,14)/408.7</f>
        <v>5.2482240218446465</v>
      </c>
      <c r="P184" s="24">
        <f>+VLOOKUP(B184,[1]Balance_Madden!$A$12:$V$5087,12)/35.32</f>
        <v>1.8794897510254207</v>
      </c>
      <c r="Q184" s="25">
        <f>+VLOOKUP(B184,[1]Balance_Gatún!$A$13:$AD$5087,15)/35.32</f>
        <v>14.557015039465577</v>
      </c>
      <c r="R184" s="24">
        <f>+VLOOKUP(B184,[1]Balance_Madden!$A$12:$V$5087,14)/35.32</f>
        <v>37.011157399786896</v>
      </c>
      <c r="S184" s="26">
        <f>[1]Balance_Gatún!X183/35.32</f>
        <v>86.927064805261352</v>
      </c>
      <c r="T184" s="25">
        <v>74.993245766349048</v>
      </c>
      <c r="U184" s="25">
        <v>35.423037741783645</v>
      </c>
      <c r="V184" s="29">
        <f>LOOKUP(D184,[1]Parámetros!$A$7:$A$24,[1]Parámetros!$B$7:$B$24)</f>
        <v>48.5</v>
      </c>
      <c r="W184" s="30" t="str">
        <f t="shared" si="12"/>
        <v/>
      </c>
      <c r="X184" s="31" t="str">
        <f t="shared" si="13"/>
        <v/>
      </c>
      <c r="Y184" s="30" t="str">
        <f>IF($W184="Cambio Calado",COUNTIF($W$14:W184,"Cambio Calado"),"")</f>
        <v/>
      </c>
      <c r="Z184" s="31" t="str">
        <f t="shared" si="14"/>
        <v/>
      </c>
      <c r="AA184" s="30" t="str">
        <f t="shared" si="15"/>
        <v/>
      </c>
      <c r="AB184" s="29">
        <f>IFERROR(LOOKUP($A184,$Z$14:$Z184,$AA$14:$AA184),$U184)</f>
        <v>48.5</v>
      </c>
      <c r="AC184" s="32">
        <f>IFERROR($A185-LOOKUP($A185,$Z$14:$Z184),"")</f>
        <v>7</v>
      </c>
      <c r="AD184" s="1" cm="1">
        <f t="array" ref="AD184">IF(B184&lt;&gt;"",80,_xludf.NA())</f>
        <v>80</v>
      </c>
    </row>
    <row r="185" spans="1:30">
      <c r="A185" s="22">
        <f t="shared" si="11"/>
        <v>46375</v>
      </c>
      <c r="B185" s="9">
        <f>+[1]Balance_Madden!A183</f>
        <v>46375</v>
      </c>
      <c r="C185" s="24">
        <f>+VLOOKUP(B185,[1]Balance_Madden!$A$12:$E$5000,2)</f>
        <v>252.239</v>
      </c>
      <c r="D185" s="25">
        <f>+VLOOKUP(B185,[1]Balance_Gatún!$A$13:$E$5087,2)</f>
        <v>83.851251380768204</v>
      </c>
      <c r="E185" s="24">
        <f>+VLOOKUP(B185,[1]Balance_Madden!$A$12:$E$5087,5)/35.32</f>
        <v>44.252689694224237</v>
      </c>
      <c r="F185" s="26">
        <f>+VLOOKUP(B185,[1]Balance_Gatún!$A$13:$E$5087,5)/35.32</f>
        <v>57.125254813137033</v>
      </c>
      <c r="G185" s="24">
        <f>+VLOOKUP(B185,[1]Balance_Madden!$A$12:$K$5087,9)/111</f>
        <v>2.7027027027027026</v>
      </c>
      <c r="H185" s="25">
        <f>+VLOOKUP(B185,[1]Balance_Gatún!$A$13:$U$5087,21)/186</f>
        <v>0</v>
      </c>
      <c r="I185" s="24">
        <f>+(VLOOKUP(B185,[1]Balance_Madden!$A$12:$K$5087,10)/35.32)+VLOOKUP(B185,[1]Balance_Madden!$A$12:$K$5087,11)/35.32</f>
        <v>11.451599729183547</v>
      </c>
      <c r="J185" s="25">
        <f>+VLOOKUP(B185,[1]Balance_Gatún!$A$13:$AD$5087,23)/35.32+ VLOOKUP(B185,[1]Balance_Gatún!$A$13:$AD$5087,17)/35.32</f>
        <v>0</v>
      </c>
      <c r="K185" s="24">
        <f>+VLOOKUP(B185,[1]Balance_Gatún!$A$13:$AC$5087,10)</f>
        <v>18</v>
      </c>
      <c r="L185" s="25" t="str">
        <f>+VLOOKUP(B185,[1]Balance_Gatún!$A$13:$AC$5087,11)</f>
        <v>XFILL_PMG100%</v>
      </c>
      <c r="M185" s="25">
        <f>+VLOOKUP(B185,[1]Balance_Gatún!$A$13:$AC$5087,12)</f>
        <v>10</v>
      </c>
      <c r="N185" s="25" t="str">
        <f>+VLOOKUP(B185,[1]Balance_Gatún!$A$13:$AC$5087,13)</f>
        <v>TA+CCL100%</v>
      </c>
      <c r="O185" s="25">
        <f>+VLOOKUP(B185,[1]Balance_Gatún!$A$13:$AC$5087,14)/408.7</f>
        <v>5.2449490737293694</v>
      </c>
      <c r="P185" s="24">
        <f>+VLOOKUP(B185,[1]Balance_Madden!$A$12:$V$5087,12)/35.32</f>
        <v>1.0229094551378508</v>
      </c>
      <c r="Q185" s="25">
        <f>+VLOOKUP(B185,[1]Balance_Gatún!$A$13:$AD$5087,15)/35.32</f>
        <v>7.9265488190564115</v>
      </c>
      <c r="R185" s="24">
        <f>+VLOOKUP(B185,[1]Balance_Madden!$A$12:$V$5087,14)/35.32</f>
        <v>33.221961052951066</v>
      </c>
      <c r="S185" s="26">
        <f>[1]Balance_Gatún!X184/35.32</f>
        <v>80.258703021581709</v>
      </c>
      <c r="T185" s="25">
        <v>132.56648057926034</v>
      </c>
      <c r="U185" s="25">
        <v>80.226628638938266</v>
      </c>
      <c r="V185" s="29">
        <f>LOOKUP(D185,[1]Parámetros!$A$7:$A$24,[1]Parámetros!$B$7:$B$24)</f>
        <v>48.5</v>
      </c>
      <c r="W185" s="30" t="str">
        <f t="shared" si="12"/>
        <v/>
      </c>
      <c r="X185" s="31" t="str">
        <f t="shared" si="13"/>
        <v/>
      </c>
      <c r="Y185" s="30" t="str">
        <f>IF($W185="Cambio Calado",COUNTIF($W$14:W185,"Cambio Calado"),"")</f>
        <v/>
      </c>
      <c r="Z185" s="31" t="str">
        <f t="shared" si="14"/>
        <v/>
      </c>
      <c r="AA185" s="30" t="str">
        <f t="shared" si="15"/>
        <v/>
      </c>
      <c r="AB185" s="29">
        <f>IFERROR(LOOKUP($A185,$Z$14:$Z185,$AA$14:$AA185),$U185)</f>
        <v>48.5</v>
      </c>
      <c r="AC185" s="32">
        <f>IFERROR($A186-LOOKUP($A186,$Z$14:$Z185),"")</f>
        <v>8</v>
      </c>
      <c r="AD185" s="1" cm="1">
        <f t="array" ref="AD185">IF(B185&lt;&gt;"",80,_xludf.NA())</f>
        <v>80</v>
      </c>
    </row>
    <row r="186" spans="1:30">
      <c r="A186" s="22">
        <f t="shared" si="11"/>
        <v>46376</v>
      </c>
      <c r="B186" s="9">
        <f>+[1]Balance_Madden!A184</f>
        <v>46376</v>
      </c>
      <c r="C186" s="24">
        <f>+VLOOKUP(B186,[1]Balance_Madden!$A$12:$E$5000,2)</f>
        <v>252.304</v>
      </c>
      <c r="D186" s="25">
        <f>+VLOOKUP(B186,[1]Balance_Gatún!$A$13:$E$5087,2)</f>
        <v>83.849084469583644</v>
      </c>
      <c r="E186" s="24">
        <f>+VLOOKUP(B186,[1]Balance_Madden!$A$12:$E$5087,5)/35.32</f>
        <v>36.900283125707816</v>
      </c>
      <c r="F186" s="26">
        <f>+VLOOKUP(B186,[1]Balance_Gatún!$A$13:$E$5087,5)/35.32</f>
        <v>40.569790486976217</v>
      </c>
      <c r="G186" s="24">
        <f>+VLOOKUP(B186,[1]Balance_Madden!$A$12:$K$5087,9)/111</f>
        <v>2.7027027027027026</v>
      </c>
      <c r="H186" s="25">
        <f>+VLOOKUP(B186,[1]Balance_Gatún!$A$13:$U$5087,21)/186</f>
        <v>0</v>
      </c>
      <c r="I186" s="24">
        <f>+(VLOOKUP(B186,[1]Balance_Madden!$A$12:$K$5087,10)/35.32)+VLOOKUP(B186,[1]Balance_Madden!$A$12:$K$5087,11)/35.32</f>
        <v>14.431766709454996</v>
      </c>
      <c r="J186" s="25">
        <f>+VLOOKUP(B186,[1]Balance_Gatún!$A$13:$AD$5087,23)/35.32+ VLOOKUP(B186,[1]Balance_Gatún!$A$13:$AD$5087,17)/35.32</f>
        <v>0</v>
      </c>
      <c r="K186" s="24">
        <f>+VLOOKUP(B186,[1]Balance_Gatún!$A$13:$AC$5087,10)</f>
        <v>18</v>
      </c>
      <c r="L186" s="25" t="str">
        <f>+VLOOKUP(B186,[1]Balance_Gatún!$A$13:$AC$5087,11)</f>
        <v>XFILL_PMG100%</v>
      </c>
      <c r="M186" s="25">
        <f>+VLOOKUP(B186,[1]Balance_Gatún!$A$13:$AC$5087,12)</f>
        <v>10</v>
      </c>
      <c r="N186" s="25" t="str">
        <f>+VLOOKUP(B186,[1]Balance_Gatún!$A$13:$AC$5087,13)</f>
        <v>TA+CCL100%</v>
      </c>
      <c r="O186" s="25">
        <f>+VLOOKUP(B186,[1]Balance_Gatún!$A$13:$AC$5087,14)/408.7</f>
        <v>5.2446107132619613</v>
      </c>
      <c r="P186" s="24">
        <f>+VLOOKUP(B186,[1]Balance_Madden!$A$12:$V$5087,12)/35.32</f>
        <v>1.1543043230993952</v>
      </c>
      <c r="Q186" s="25">
        <f>+VLOOKUP(B186,[1]Balance_Gatún!$A$13:$AD$5087,15)/35.32</f>
        <v>8.9375467661475181</v>
      </c>
      <c r="R186" s="24">
        <f>+VLOOKUP(B186,[1]Balance_Madden!$A$12:$V$5087,14)/35.32</f>
        <v>36.333522901184061</v>
      </c>
      <c r="S186" s="26">
        <f>[1]Balance_Gatún!X185/35.32</f>
        <v>81.265785682063822</v>
      </c>
      <c r="T186" s="25">
        <v>110.97800424872834</v>
      </c>
      <c r="U186" s="25">
        <v>43.615864736151835</v>
      </c>
      <c r="V186" s="29">
        <f>LOOKUP(D186,[1]Parámetros!$A$7:$A$24,[1]Parámetros!$B$7:$B$24)</f>
        <v>48.5</v>
      </c>
      <c r="W186" s="30" t="str">
        <f t="shared" si="12"/>
        <v/>
      </c>
      <c r="X186" s="31" t="str">
        <f t="shared" si="13"/>
        <v/>
      </c>
      <c r="Y186" s="30" t="str">
        <f>IF($W186="Cambio Calado",COUNTIF($W$14:W186,"Cambio Calado"),"")</f>
        <v/>
      </c>
      <c r="Z186" s="31" t="str">
        <f t="shared" si="14"/>
        <v/>
      </c>
      <c r="AA186" s="30" t="str">
        <f t="shared" si="15"/>
        <v/>
      </c>
      <c r="AB186" s="29">
        <f>IFERROR(LOOKUP($A186,$Z$14:$Z186,$AA$14:$AA186),$U186)</f>
        <v>48.5</v>
      </c>
      <c r="AC186" s="32">
        <f>IFERROR($A187-LOOKUP($A187,$Z$14:$Z186),"")</f>
        <v>9</v>
      </c>
      <c r="AD186" s="1" cm="1">
        <f t="array" ref="AD186">IF(B186&lt;&gt;"",80,_xludf.NA())</f>
        <v>80</v>
      </c>
    </row>
    <row r="187" spans="1:30">
      <c r="A187" s="22">
        <f t="shared" si="11"/>
        <v>46377</v>
      </c>
      <c r="B187" s="9">
        <f>+[1]Balance_Madden!A185</f>
        <v>46377</v>
      </c>
      <c r="C187" s="24">
        <f>+VLOOKUP(B187,[1]Balance_Madden!$A$12:$E$5000,2)</f>
        <v>252.30699999999999</v>
      </c>
      <c r="D187" s="25">
        <f>+VLOOKUP(B187,[1]Balance_Gatún!$A$13:$E$5087,2)</f>
        <v>83.837004941469331</v>
      </c>
      <c r="E187" s="24">
        <f>+VLOOKUP(B187,[1]Balance_Madden!$A$12:$E$5087,5)/35.32</f>
        <v>31.851047565118915</v>
      </c>
      <c r="F187" s="26">
        <f>+VLOOKUP(B187,[1]Balance_Gatún!$A$13:$E$5087,5)/35.32</f>
        <v>29.052944507361271</v>
      </c>
      <c r="G187" s="24">
        <f>+VLOOKUP(B187,[1]Balance_Madden!$A$12:$K$5087,9)/111</f>
        <v>2.7027027027027026</v>
      </c>
      <c r="H187" s="25">
        <f>+VLOOKUP(B187,[1]Balance_Gatún!$A$13:$U$5087,21)/186</f>
        <v>0</v>
      </c>
      <c r="I187" s="24">
        <f>+(VLOOKUP(B187,[1]Balance_Madden!$A$12:$K$5087,10)/35.32)+VLOOKUP(B187,[1]Balance_Madden!$A$12:$K$5087,11)/35.32</f>
        <v>14.574730200811167</v>
      </c>
      <c r="J187" s="25">
        <f>+VLOOKUP(B187,[1]Balance_Gatún!$A$13:$AD$5087,23)/35.32+ VLOOKUP(B187,[1]Balance_Gatún!$A$13:$AD$5087,17)/35.32</f>
        <v>0</v>
      </c>
      <c r="K187" s="24">
        <f>+VLOOKUP(B187,[1]Balance_Gatún!$A$13:$AC$5087,10)</f>
        <v>18</v>
      </c>
      <c r="L187" s="25" t="str">
        <f>+VLOOKUP(B187,[1]Balance_Gatún!$A$13:$AC$5087,11)</f>
        <v>XFILL_PMG100%</v>
      </c>
      <c r="M187" s="25">
        <f>+VLOOKUP(B187,[1]Balance_Gatún!$A$13:$AC$5087,12)</f>
        <v>10</v>
      </c>
      <c r="N187" s="25" t="str">
        <f>+VLOOKUP(B187,[1]Balance_Gatún!$A$13:$AC$5087,13)</f>
        <v>TA+CCL100%</v>
      </c>
      <c r="O187" s="25">
        <f>+VLOOKUP(B187,[1]Balance_Gatún!$A$13:$AC$5087,14)/408.7</f>
        <v>5.2427245100765614</v>
      </c>
      <c r="P187" s="24">
        <f>+VLOOKUP(B187,[1]Balance_Madden!$A$12:$V$5087,12)/35.32</f>
        <v>0.84311845484595871</v>
      </c>
      <c r="Q187" s="25">
        <f>+VLOOKUP(B187,[1]Balance_Gatún!$A$13:$AD$5087,15)/35.32</f>
        <v>6.5268496265771372</v>
      </c>
      <c r="R187" s="24">
        <f>+VLOOKUP(B187,[1]Balance_Madden!$A$12:$V$5087,14)/35.32</f>
        <v>36.165300524286799</v>
      </c>
      <c r="S187" s="26">
        <f>[1]Balance_Gatún!X186/35.32</f>
        <v>78.833262629643116</v>
      </c>
      <c r="T187" s="25">
        <v>85.74637928136687</v>
      </c>
      <c r="U187" s="25">
        <v>51.134790360737938</v>
      </c>
      <c r="V187" s="29">
        <f>LOOKUP(D187,[1]Parámetros!$A$7:$A$24,[1]Parámetros!$B$7:$B$24)</f>
        <v>48.5</v>
      </c>
      <c r="W187" s="30" t="str">
        <f t="shared" si="12"/>
        <v/>
      </c>
      <c r="X187" s="31" t="str">
        <f t="shared" si="13"/>
        <v/>
      </c>
      <c r="Y187" s="30" t="str">
        <f>IF($W187="Cambio Calado",COUNTIF($W$14:W187,"Cambio Calado"),"")</f>
        <v/>
      </c>
      <c r="Z187" s="31" t="str">
        <f t="shared" si="14"/>
        <v/>
      </c>
      <c r="AA187" s="30" t="str">
        <f t="shared" si="15"/>
        <v/>
      </c>
      <c r="AB187" s="29">
        <f>IFERROR(LOOKUP($A187,$Z$14:$Z187,$AA$14:$AA187),$U187)</f>
        <v>48.5</v>
      </c>
      <c r="AC187" s="32">
        <f>IFERROR($A188-LOOKUP($A188,$Z$14:$Z187),"")</f>
        <v>10</v>
      </c>
      <c r="AD187" s="1" cm="1">
        <f t="array" ref="AD187">IF(B187&lt;&gt;"",80,_xludf.NA())</f>
        <v>80</v>
      </c>
    </row>
    <row r="188" spans="1:30">
      <c r="A188" s="22">
        <f t="shared" si="11"/>
        <v>46378</v>
      </c>
      <c r="B188" s="9">
        <f>+[1]Balance_Madden!A186</f>
        <v>46378</v>
      </c>
      <c r="C188" s="24">
        <f>+VLOOKUP(B188,[1]Balance_Madden!$A$12:$E$5000,2)</f>
        <v>252.28100000000001</v>
      </c>
      <c r="D188" s="25">
        <f>+VLOOKUP(B188,[1]Balance_Gatún!$A$13:$E$5087,2)</f>
        <v>83.81884402422105</v>
      </c>
      <c r="E188" s="24">
        <f>+VLOOKUP(B188,[1]Balance_Madden!$A$12:$E$5087,5)/35.32</f>
        <v>28.662061155152887</v>
      </c>
      <c r="F188" s="26">
        <f>+VLOOKUP(B188,[1]Balance_Gatún!$A$13:$E$5087,5)/35.32</f>
        <v>28.477095130237828</v>
      </c>
      <c r="G188" s="24">
        <f>+VLOOKUP(B188,[1]Balance_Madden!$A$12:$K$5087,9)/111</f>
        <v>2.7027027027027026</v>
      </c>
      <c r="H188" s="25">
        <f>+VLOOKUP(B188,[1]Balance_Gatún!$A$13:$U$5087,21)/186</f>
        <v>0</v>
      </c>
      <c r="I188" s="24">
        <f>+(VLOOKUP(B188,[1]Balance_Madden!$A$12:$K$5087,10)/35.32)+VLOOKUP(B188,[1]Balance_Madden!$A$12:$K$5087,11)/35.32</f>
        <v>13.351328161310542</v>
      </c>
      <c r="J188" s="25">
        <f>+VLOOKUP(B188,[1]Balance_Gatún!$A$13:$AD$5087,23)/35.32+ VLOOKUP(B188,[1]Balance_Gatún!$A$13:$AD$5087,17)/35.32</f>
        <v>0</v>
      </c>
      <c r="K188" s="24">
        <f>+VLOOKUP(B188,[1]Balance_Gatún!$A$13:$AC$5087,10)</f>
        <v>18</v>
      </c>
      <c r="L188" s="25" t="str">
        <f>+VLOOKUP(B188,[1]Balance_Gatún!$A$13:$AC$5087,11)</f>
        <v>XFILL_PMG100%</v>
      </c>
      <c r="M188" s="25">
        <f>+VLOOKUP(B188,[1]Balance_Gatún!$A$13:$AC$5087,12)</f>
        <v>10</v>
      </c>
      <c r="N188" s="25" t="str">
        <f>+VLOOKUP(B188,[1]Balance_Gatún!$A$13:$AC$5087,13)</f>
        <v>TA+CCL100%</v>
      </c>
      <c r="O188" s="25">
        <f>+VLOOKUP(B188,[1]Balance_Gatún!$A$13:$AC$5087,14)/408.7</f>
        <v>5.2398887055948489</v>
      </c>
      <c r="P188" s="24">
        <f>+VLOOKUP(B188,[1]Balance_Madden!$A$12:$V$5087,12)/35.32</f>
        <v>1.7381236782220135</v>
      </c>
      <c r="Q188" s="25">
        <f>+VLOOKUP(B188,[1]Balance_Gatún!$A$13:$AD$5087,15)/35.32</f>
        <v>13.456402713921527</v>
      </c>
      <c r="R188" s="24">
        <f>+VLOOKUP(B188,[1]Balance_Madden!$A$12:$V$5087,14)/35.32</f>
        <v>35.836903708162225</v>
      </c>
      <c r="S188" s="26">
        <f>[1]Balance_Gatún!X187/35.32</f>
        <v>85.730001637381747</v>
      </c>
      <c r="T188" s="25">
        <v>82.942781649967188</v>
      </c>
      <c r="U188" s="25">
        <v>40.170383842724107</v>
      </c>
      <c r="V188" s="29">
        <f>LOOKUP(D188,[1]Parámetros!$A$7:$A$24,[1]Parámetros!$B$7:$B$24)</f>
        <v>48.5</v>
      </c>
      <c r="W188" s="30" t="str">
        <f t="shared" si="12"/>
        <v/>
      </c>
      <c r="X188" s="31" t="str">
        <f t="shared" si="13"/>
        <v/>
      </c>
      <c r="Y188" s="30" t="str">
        <f>IF($W188="Cambio Calado",COUNTIF($W$14:W188,"Cambio Calado"),"")</f>
        <v/>
      </c>
      <c r="Z188" s="31" t="str">
        <f t="shared" si="14"/>
        <v/>
      </c>
      <c r="AA188" s="30" t="str">
        <f t="shared" si="15"/>
        <v/>
      </c>
      <c r="AB188" s="29">
        <f>IFERROR(LOOKUP($A188,$Z$14:$Z188,$AA$14:$AA188),$U188)</f>
        <v>48.5</v>
      </c>
      <c r="AC188" s="32">
        <f>IFERROR($A189-LOOKUP($A189,$Z$14:$Z188),"")</f>
        <v>11</v>
      </c>
      <c r="AD188" s="1" cm="1">
        <f t="array" ref="AD188">IF(B188&lt;&gt;"",80,_xludf.NA())</f>
        <v>80</v>
      </c>
    </row>
    <row r="189" spans="1:30">
      <c r="A189" s="22">
        <f t="shared" si="11"/>
        <v>46379</v>
      </c>
      <c r="B189" s="9">
        <f>+[1]Balance_Madden!A187</f>
        <v>46379</v>
      </c>
      <c r="C189" s="24">
        <f>+VLOOKUP(B189,[1]Balance_Madden!$A$12:$E$5000,2)</f>
        <v>252.238</v>
      </c>
      <c r="D189" s="25">
        <f>+VLOOKUP(B189,[1]Balance_Gatún!$A$13:$E$5087,2)</f>
        <v>83.794764420792134</v>
      </c>
      <c r="E189" s="24">
        <f>+VLOOKUP(B189,[1]Balance_Madden!$A$12:$E$5087,5)/35.32</f>
        <v>27.244733861834654</v>
      </c>
      <c r="F189" s="26">
        <f>+VLOOKUP(B189,[1]Balance_Gatún!$A$13:$E$5087,5)/35.32</f>
        <v>25.453935447338619</v>
      </c>
      <c r="G189" s="24">
        <f>+VLOOKUP(B189,[1]Balance_Madden!$A$12:$K$5087,9)/111</f>
        <v>2.7027027027027026</v>
      </c>
      <c r="H189" s="25">
        <f>+VLOOKUP(B189,[1]Balance_Gatún!$A$13:$U$5087,21)/186</f>
        <v>0</v>
      </c>
      <c r="I189" s="24">
        <f>+(VLOOKUP(B189,[1]Balance_Madden!$A$12:$K$5087,10)/35.32)+VLOOKUP(B189,[1]Balance_Madden!$A$12:$K$5087,11)/35.32</f>
        <v>11.407553650167319</v>
      </c>
      <c r="J189" s="25">
        <f>+VLOOKUP(B189,[1]Balance_Gatún!$A$13:$AD$5087,23)/35.32+ VLOOKUP(B189,[1]Balance_Gatún!$A$13:$AD$5087,17)/35.32</f>
        <v>0</v>
      </c>
      <c r="K189" s="24">
        <f>+VLOOKUP(B189,[1]Balance_Gatún!$A$13:$AC$5087,10)</f>
        <v>18</v>
      </c>
      <c r="L189" s="25" t="str">
        <f>+VLOOKUP(B189,[1]Balance_Gatún!$A$13:$AC$5087,11)</f>
        <v>XFILL_PMG100%</v>
      </c>
      <c r="M189" s="25">
        <f>+VLOOKUP(B189,[1]Balance_Gatún!$A$13:$AC$5087,12)</f>
        <v>10</v>
      </c>
      <c r="N189" s="25" t="str">
        <f>+VLOOKUP(B189,[1]Balance_Gatún!$A$13:$AC$5087,13)</f>
        <v>TA+CCL100%</v>
      </c>
      <c r="O189" s="25">
        <f>+VLOOKUP(B189,[1]Balance_Gatún!$A$13:$AC$5087,14)/408.7</f>
        <v>5.236128705679203</v>
      </c>
      <c r="P189" s="24">
        <f>+VLOOKUP(B189,[1]Balance_Madden!$A$12:$V$5087,12)/35.32</f>
        <v>1.9946737476856973</v>
      </c>
      <c r="Q189" s="25">
        <f>+VLOOKUP(B189,[1]Balance_Gatún!$A$13:$AD$5087,15)/35.32</f>
        <v>15.445732290807042</v>
      </c>
      <c r="R189" s="24">
        <f>+VLOOKUP(B189,[1]Balance_Madden!$A$12:$V$5087,14)/35.32</f>
        <v>34.149679266482693</v>
      </c>
      <c r="S189" s="26">
        <f>[1]Balance_Gatún!X188/35.32</f>
        <v>87.675822947972677</v>
      </c>
      <c r="T189" s="25">
        <v>50.756731238073016</v>
      </c>
      <c r="U189" s="25">
        <v>36.314321336479772</v>
      </c>
      <c r="V189" s="29">
        <f>LOOKUP(D189,[1]Parámetros!$A$7:$A$24,[1]Parámetros!$B$7:$B$24)</f>
        <v>48.5</v>
      </c>
      <c r="W189" s="30" t="str">
        <f t="shared" si="12"/>
        <v/>
      </c>
      <c r="X189" s="31" t="str">
        <f t="shared" si="13"/>
        <v/>
      </c>
      <c r="Y189" s="30" t="str">
        <f>IF($W189="Cambio Calado",COUNTIF($W$14:W189,"Cambio Calado"),"")</f>
        <v/>
      </c>
      <c r="Z189" s="31" t="str">
        <f t="shared" si="14"/>
        <v/>
      </c>
      <c r="AA189" s="30" t="str">
        <f t="shared" si="15"/>
        <v/>
      </c>
      <c r="AB189" s="29">
        <f>IFERROR(LOOKUP($A189,$Z$14:$Z189,$AA$14:$AA189),$U189)</f>
        <v>48.5</v>
      </c>
      <c r="AC189" s="32">
        <f>IFERROR($A190-LOOKUP($A190,$Z$14:$Z189),"")</f>
        <v>12</v>
      </c>
      <c r="AD189" s="1" cm="1">
        <f t="array" ref="AD189">IF(B189&lt;&gt;"",80,_xludf.NA())</f>
        <v>80</v>
      </c>
    </row>
    <row r="190" spans="1:30">
      <c r="A190" s="22">
        <f t="shared" si="11"/>
        <v>46380</v>
      </c>
      <c r="B190" s="9">
        <f>+[1]Balance_Madden!A188</f>
        <v>46380</v>
      </c>
      <c r="C190" s="24">
        <f>+VLOOKUP(B190,[1]Balance_Madden!$A$12:$E$5000,2)</f>
        <v>252.197</v>
      </c>
      <c r="D190" s="25">
        <f>+VLOOKUP(B190,[1]Balance_Gatún!$A$13:$E$5087,2)</f>
        <v>83.765974073882376</v>
      </c>
      <c r="E190" s="24">
        <f>+VLOOKUP(B190,[1]Balance_Madden!$A$12:$E$5087,5)/35.32</f>
        <v>25.738816534541336</v>
      </c>
      <c r="F190" s="26">
        <f>+VLOOKUP(B190,[1]Balance_Gatún!$A$13:$E$5087,5)/35.32</f>
        <v>25.007644394110983</v>
      </c>
      <c r="G190" s="24">
        <f>+VLOOKUP(B190,[1]Balance_Madden!$A$12:$K$5087,9)/111</f>
        <v>2.7027027027027026</v>
      </c>
      <c r="H190" s="25">
        <f>+VLOOKUP(B190,[1]Balance_Gatún!$A$13:$U$5087,21)/186</f>
        <v>0</v>
      </c>
      <c r="I190" s="24">
        <f>+(VLOOKUP(B190,[1]Balance_Madden!$A$12:$K$5087,10)/35.32)+VLOOKUP(B190,[1]Balance_Madden!$A$12:$K$5087,11)/35.32</f>
        <v>9.6509348447250378</v>
      </c>
      <c r="J190" s="25">
        <f>+VLOOKUP(B190,[1]Balance_Gatún!$A$13:$AD$5087,23)/35.32+ VLOOKUP(B190,[1]Balance_Gatún!$A$13:$AD$5087,17)/35.32</f>
        <v>0</v>
      </c>
      <c r="K190" s="24">
        <f>+VLOOKUP(B190,[1]Balance_Gatún!$A$13:$AC$5087,10)</f>
        <v>18</v>
      </c>
      <c r="L190" s="25" t="str">
        <f>+VLOOKUP(B190,[1]Balance_Gatún!$A$13:$AC$5087,11)</f>
        <v>XFILL_PMG100%</v>
      </c>
      <c r="M190" s="25">
        <f>+VLOOKUP(B190,[1]Balance_Gatún!$A$13:$AC$5087,12)</f>
        <v>10</v>
      </c>
      <c r="N190" s="25" t="str">
        <f>+VLOOKUP(B190,[1]Balance_Gatún!$A$13:$AC$5087,13)</f>
        <v>TA+CCL100%</v>
      </c>
      <c r="O190" s="25">
        <f>+VLOOKUP(B190,[1]Balance_Gatún!$A$13:$AC$5087,14)/408.7</f>
        <v>5.2316331290692464</v>
      </c>
      <c r="P190" s="24">
        <f>+VLOOKUP(B190,[1]Balance_Madden!$A$12:$V$5087,12)/35.32</f>
        <v>1.9287248014153497</v>
      </c>
      <c r="Q190" s="25">
        <f>+VLOOKUP(B190,[1]Balance_Gatún!$A$13:$AD$5087,15)/35.32</f>
        <v>14.936833876068192</v>
      </c>
      <c r="R190" s="24">
        <f>+VLOOKUP(B190,[1]Balance_Madden!$A$12:$V$5087,14)/35.32</f>
        <v>32.327111514770053</v>
      </c>
      <c r="S190" s="26">
        <f>[1]Balance_Gatún!X189/35.32</f>
        <v>87.11490465326527</v>
      </c>
      <c r="T190" s="25">
        <v>193.9515237575263</v>
      </c>
      <c r="U190" s="25">
        <v>67.152119282282015</v>
      </c>
      <c r="V190" s="29">
        <f>LOOKUP(D190,[1]Parámetros!$A$7:$A$24,[1]Parámetros!$B$7:$B$24)</f>
        <v>48.5</v>
      </c>
      <c r="W190" s="30" t="str">
        <f t="shared" si="12"/>
        <v/>
      </c>
      <c r="X190" s="31" t="str">
        <f t="shared" si="13"/>
        <v/>
      </c>
      <c r="Y190" s="30" t="str">
        <f>IF($W190="Cambio Calado",COUNTIF($W$14:W190,"Cambio Calado"),"")</f>
        <v/>
      </c>
      <c r="Z190" s="31" t="str">
        <f t="shared" si="14"/>
        <v/>
      </c>
      <c r="AA190" s="30" t="str">
        <f t="shared" si="15"/>
        <v/>
      </c>
      <c r="AB190" s="29">
        <f>IFERROR(LOOKUP($A190,$Z$14:$Z190,$AA$14:$AA190),$U190)</f>
        <v>48.5</v>
      </c>
      <c r="AC190" s="32">
        <f>IFERROR($A191-LOOKUP($A191,$Z$14:$Z190),"")</f>
        <v>13</v>
      </c>
      <c r="AD190" s="1" cm="1">
        <f t="array" ref="AD190">IF(B190&lt;&gt;"",80,_xludf.NA())</f>
        <v>80</v>
      </c>
    </row>
    <row r="191" spans="1:30">
      <c r="A191" s="22">
        <f t="shared" si="11"/>
        <v>46381</v>
      </c>
      <c r="B191" s="9">
        <f>+[1]Balance_Madden!A189</f>
        <v>46381</v>
      </c>
      <c r="C191" s="24">
        <f>+VLOOKUP(B191,[1]Balance_Madden!$A$12:$E$5000,2)</f>
        <v>252.15799999999999</v>
      </c>
      <c r="D191" s="25">
        <f>+VLOOKUP(B191,[1]Balance_Gatún!$A$13:$E$5087,2)</f>
        <v>83.736055586238763</v>
      </c>
      <c r="E191" s="24">
        <f>+VLOOKUP(B191,[1]Balance_Madden!$A$12:$E$5087,5)/35.32</f>
        <v>24.498669309173273</v>
      </c>
      <c r="F191" s="26">
        <f>+VLOOKUP(B191,[1]Balance_Gatún!$A$13:$E$5087,5)/35.32</f>
        <v>23.352095130237828</v>
      </c>
      <c r="G191" s="24">
        <f>+VLOOKUP(B191,[1]Balance_Madden!$A$12:$K$5087,9)/111</f>
        <v>2.7027027027027026</v>
      </c>
      <c r="H191" s="25">
        <f>+VLOOKUP(B191,[1]Balance_Gatún!$A$13:$U$5087,21)/186</f>
        <v>0</v>
      </c>
      <c r="I191" s="24">
        <f>+(VLOOKUP(B191,[1]Balance_Madden!$A$12:$K$5087,10)/35.32)+VLOOKUP(B191,[1]Balance_Madden!$A$12:$K$5087,11)/35.32</f>
        <v>8.0728211058282611</v>
      </c>
      <c r="J191" s="25">
        <f>+VLOOKUP(B191,[1]Balance_Gatún!$A$13:$AD$5087,23)/35.32+ VLOOKUP(B191,[1]Balance_Gatún!$A$13:$AD$5087,17)/35.32</f>
        <v>0</v>
      </c>
      <c r="K191" s="24">
        <f>+VLOOKUP(B191,[1]Balance_Gatún!$A$13:$AC$5087,10)</f>
        <v>18</v>
      </c>
      <c r="L191" s="25" t="str">
        <f>+VLOOKUP(B191,[1]Balance_Gatún!$A$13:$AC$5087,11)</f>
        <v>XFILL_PMG100%</v>
      </c>
      <c r="M191" s="25">
        <f>+VLOOKUP(B191,[1]Balance_Gatún!$A$13:$AC$5087,12)</f>
        <v>10</v>
      </c>
      <c r="N191" s="25" t="str">
        <f>+VLOOKUP(B191,[1]Balance_Gatún!$A$13:$AC$5087,13)</f>
        <v>TA+CCL100%</v>
      </c>
      <c r="O191" s="25">
        <f>+VLOOKUP(B191,[1]Balance_Gatún!$A$13:$AC$5087,14)/408.7</f>
        <v>5.2269613946966968</v>
      </c>
      <c r="P191" s="24">
        <f>+VLOOKUP(B191,[1]Balance_Madden!$A$12:$V$5087,12)/35.32</f>
        <v>2.380044430179165</v>
      </c>
      <c r="Q191" s="25">
        <f>+VLOOKUP(B191,[1]Balance_Gatún!$A$13:$AD$5087,15)/35.32</f>
        <v>18.433522047556441</v>
      </c>
      <c r="R191" s="24">
        <f>+VLOOKUP(B191,[1]Balance_Madden!$A$12:$V$5087,14)/35.32</f>
        <v>31.200317404637094</v>
      </c>
      <c r="S191" s="26">
        <f>[1]Balance_Gatún!X190/35.32</f>
        <v>90.557534562067772</v>
      </c>
      <c r="T191" s="25">
        <v>94.977756283396815</v>
      </c>
      <c r="U191" s="25">
        <v>58.838532451589103</v>
      </c>
      <c r="V191" s="29">
        <f>LOOKUP(D191,[1]Parámetros!$A$7:$A$24,[1]Parámetros!$B$7:$B$24)</f>
        <v>48.5</v>
      </c>
      <c r="W191" s="30" t="str">
        <f t="shared" si="12"/>
        <v/>
      </c>
      <c r="X191" s="31" t="str">
        <f t="shared" si="13"/>
        <v/>
      </c>
      <c r="Y191" s="30" t="str">
        <f>IF($W191="Cambio Calado",COUNTIF($W$14:W191,"Cambio Calado"),"")</f>
        <v/>
      </c>
      <c r="Z191" s="31" t="str">
        <f t="shared" si="14"/>
        <v/>
      </c>
      <c r="AA191" s="30" t="str">
        <f t="shared" si="15"/>
        <v/>
      </c>
      <c r="AB191" s="29">
        <f>IFERROR(LOOKUP($A191,$Z$14:$Z191,$AA$14:$AA191),$U191)</f>
        <v>48.5</v>
      </c>
      <c r="AC191" s="32">
        <f>IFERROR($A192-LOOKUP($A192,$Z$14:$Z191),"")</f>
        <v>14</v>
      </c>
      <c r="AD191" s="1" cm="1">
        <f t="array" ref="AD191">IF(B191&lt;&gt;"",80,_xludf.NA())</f>
        <v>80</v>
      </c>
    </row>
    <row r="192" spans="1:30">
      <c r="A192" s="22">
        <f t="shared" si="11"/>
        <v>46382</v>
      </c>
      <c r="B192" s="9">
        <f>+[1]Balance_Madden!A190</f>
        <v>46382</v>
      </c>
      <c r="C192" s="24">
        <f>+VLOOKUP(B192,[1]Balance_Madden!$A$12:$E$5000,2)</f>
        <v>252.11799999999999</v>
      </c>
      <c r="D192" s="25">
        <f>+VLOOKUP(B192,[1]Balance_Gatún!$A$13:$E$5087,2)</f>
        <v>83.701579538793737</v>
      </c>
      <c r="E192" s="24">
        <f>+VLOOKUP(B192,[1]Balance_Madden!$A$12:$E$5087,5)/35.32</f>
        <v>16.838844847112117</v>
      </c>
      <c r="F192" s="26">
        <f>+VLOOKUP(B192,[1]Balance_Gatún!$A$13:$E$5087,5)/35.32</f>
        <v>19.214496036240089</v>
      </c>
      <c r="G192" s="24">
        <f>+VLOOKUP(B192,[1]Balance_Madden!$A$12:$K$5087,9)/111</f>
        <v>2.7027027027027026</v>
      </c>
      <c r="H192" s="25">
        <f>+VLOOKUP(B192,[1]Balance_Gatún!$A$13:$U$5087,21)/186</f>
        <v>0</v>
      </c>
      <c r="I192" s="24">
        <f>+(VLOOKUP(B192,[1]Balance_Madden!$A$12:$K$5087,10)/35.32)+VLOOKUP(B192,[1]Balance_Madden!$A$12:$K$5087,11)/35.32</f>
        <v>6.5543391047964628</v>
      </c>
      <c r="J192" s="25">
        <f>+VLOOKUP(B192,[1]Balance_Gatún!$A$13:$AD$5087,23)/35.32+ VLOOKUP(B192,[1]Balance_Gatún!$A$13:$AD$5087,17)/35.32</f>
        <v>0</v>
      </c>
      <c r="K192" s="24">
        <f>+VLOOKUP(B192,[1]Balance_Gatún!$A$13:$AC$5087,10)</f>
        <v>18</v>
      </c>
      <c r="L192" s="25" t="str">
        <f>+VLOOKUP(B192,[1]Balance_Gatún!$A$13:$AC$5087,11)</f>
        <v>XFILL_PMG100%</v>
      </c>
      <c r="M192" s="25">
        <f>+VLOOKUP(B192,[1]Balance_Gatún!$A$13:$AC$5087,12)</f>
        <v>10</v>
      </c>
      <c r="N192" s="25" t="str">
        <f>+VLOOKUP(B192,[1]Balance_Gatún!$A$13:$AC$5087,13)</f>
        <v>TA+CCL100%</v>
      </c>
      <c r="O192" s="25">
        <f>+VLOOKUP(B192,[1]Balance_Gatún!$A$13:$AC$5087,14)/408.7</f>
        <v>5.2215780030695136</v>
      </c>
      <c r="P192" s="24">
        <f>+VLOOKUP(B192,[1]Balance_Madden!$A$12:$V$5087,12)/35.32</f>
        <v>0.69178803461325555</v>
      </c>
      <c r="Q192" s="25">
        <f>+VLOOKUP(B192,[1]Balance_Gatún!$A$13:$AD$5087,15)/35.32</f>
        <v>5.3581017652887883</v>
      </c>
      <c r="R192" s="24">
        <f>+VLOOKUP(B192,[1]Balance_Madden!$A$12:$V$5087,14)/35.32</f>
        <v>27.993579008039386</v>
      </c>
      <c r="S192" s="26">
        <f>[1]Balance_Gatún!X191/35.32</f>
        <v>77.419821183593143</v>
      </c>
      <c r="T192" s="25">
        <v>96.544403138638629</v>
      </c>
      <c r="U192" s="25">
        <v>74.942286223092026</v>
      </c>
      <c r="V192" s="29">
        <f>LOOKUP(D192,[1]Parámetros!$A$7:$A$24,[1]Parámetros!$B$7:$B$24)</f>
        <v>48.5</v>
      </c>
      <c r="W192" s="30" t="str">
        <f t="shared" si="12"/>
        <v/>
      </c>
      <c r="X192" s="31" t="str">
        <f t="shared" si="13"/>
        <v/>
      </c>
      <c r="Y192" s="30" t="str">
        <f>IF($W192="Cambio Calado",COUNTIF($W$14:W192,"Cambio Calado"),"")</f>
        <v/>
      </c>
      <c r="Z192" s="31" t="str">
        <f t="shared" si="14"/>
        <v/>
      </c>
      <c r="AA192" s="30" t="str">
        <f t="shared" si="15"/>
        <v/>
      </c>
      <c r="AB192" s="29">
        <f>IFERROR(LOOKUP($A192,$Z$14:$Z192,$AA$14:$AA192),$U192)</f>
        <v>48.5</v>
      </c>
      <c r="AC192" s="32">
        <f>IFERROR($A193-LOOKUP($A193,$Z$14:$Z192),"")</f>
        <v>15</v>
      </c>
      <c r="AD192" s="1" cm="1">
        <f t="array" ref="AD192">IF(B192&lt;&gt;"",80,_xludf.NA())</f>
        <v>80</v>
      </c>
    </row>
    <row r="193" spans="1:30">
      <c r="A193" s="22">
        <f t="shared" si="11"/>
        <v>46383</v>
      </c>
      <c r="B193" s="9">
        <f>+[1]Balance_Madden!A191</f>
        <v>46383</v>
      </c>
      <c r="C193" s="24">
        <f>+VLOOKUP(B193,[1]Balance_Madden!$A$12:$E$5000,2)</f>
        <v>252.05199999999999</v>
      </c>
      <c r="D193" s="25">
        <f>+VLOOKUP(B193,[1]Balance_Gatún!$A$13:$E$5087,2)</f>
        <v>83.672185271386653</v>
      </c>
      <c r="E193" s="24">
        <f>+VLOOKUP(B193,[1]Balance_Madden!$A$12:$E$5087,5)/35.32</f>
        <v>28.791421291053229</v>
      </c>
      <c r="F193" s="26">
        <f>+VLOOKUP(B193,[1]Balance_Gatún!$A$13:$E$5087,5)/35.32</f>
        <v>21.431795016987543</v>
      </c>
      <c r="G193" s="24">
        <f>+VLOOKUP(B193,[1]Balance_Madden!$A$12:$K$5087,9)/111</f>
        <v>2.7027027027027026</v>
      </c>
      <c r="H193" s="25">
        <f>+VLOOKUP(B193,[1]Balance_Gatún!$A$13:$U$5087,21)/186</f>
        <v>0</v>
      </c>
      <c r="I193" s="24">
        <f>+(VLOOKUP(B193,[1]Balance_Madden!$A$12:$K$5087,10)/35.32)+VLOOKUP(B193,[1]Balance_Madden!$A$12:$K$5087,11)/35.32</f>
        <v>4.2910593395855283</v>
      </c>
      <c r="J193" s="25">
        <f>+VLOOKUP(B193,[1]Balance_Gatún!$A$13:$AD$5087,23)/35.32+ VLOOKUP(B193,[1]Balance_Gatún!$A$13:$AD$5087,17)/35.32</f>
        <v>0</v>
      </c>
      <c r="K193" s="24">
        <f>+VLOOKUP(B193,[1]Balance_Gatún!$A$13:$AC$5087,10)</f>
        <v>18</v>
      </c>
      <c r="L193" s="25" t="str">
        <f>+VLOOKUP(B193,[1]Balance_Gatún!$A$13:$AC$5087,11)</f>
        <v>XFILL_PMG100%</v>
      </c>
      <c r="M193" s="25">
        <f>+VLOOKUP(B193,[1]Balance_Gatún!$A$13:$AC$5087,12)</f>
        <v>10</v>
      </c>
      <c r="N193" s="25" t="str">
        <f>+VLOOKUP(B193,[1]Balance_Gatún!$A$13:$AC$5087,13)</f>
        <v>TA+CCL100%</v>
      </c>
      <c r="O193" s="25">
        <f>+VLOOKUP(B193,[1]Balance_Gatún!$A$13:$AC$5087,14)/408.7</f>
        <v>5.2169881250303112</v>
      </c>
      <c r="P193" s="24">
        <f>+VLOOKUP(B193,[1]Balance_Madden!$A$12:$V$5087,12)/35.32</f>
        <v>1.4927314730980339</v>
      </c>
      <c r="Q193" s="25">
        <f>+VLOOKUP(B193,[1]Balance_Gatún!$A$13:$AD$5087,15)/35.32</f>
        <v>11.56638345338092</v>
      </c>
      <c r="R193" s="24">
        <f>+VLOOKUP(B193,[1]Balance_Madden!$A$12:$V$5087,14)/35.32</f>
        <v>26.53124268131323</v>
      </c>
      <c r="S193" s="26">
        <f>[1]Balance_Gatún!X192/35.32</f>
        <v>83.574991797092366</v>
      </c>
      <c r="T193" s="25">
        <v>83.535512912937406</v>
      </c>
      <c r="U193" s="25">
        <v>159.37491214473945</v>
      </c>
      <c r="V193" s="29">
        <f>LOOKUP(D193,[1]Parámetros!$A$7:$A$24,[1]Parámetros!$B$7:$B$24)</f>
        <v>48.5</v>
      </c>
      <c r="W193" s="30" t="str">
        <f t="shared" si="12"/>
        <v/>
      </c>
      <c r="X193" s="31" t="str">
        <f t="shared" si="13"/>
        <v/>
      </c>
      <c r="Y193" s="30" t="str">
        <f>IF($W193="Cambio Calado",COUNTIF($W$14:W193,"Cambio Calado"),"")</f>
        <v/>
      </c>
      <c r="Z193" s="31" t="str">
        <f t="shared" si="14"/>
        <v/>
      </c>
      <c r="AA193" s="30" t="str">
        <f t="shared" si="15"/>
        <v/>
      </c>
      <c r="AB193" s="29">
        <f>IFERROR(LOOKUP($A193,$Z$14:$Z193,$AA$14:$AA193),$U193)</f>
        <v>48.5</v>
      </c>
      <c r="AC193" s="32">
        <f>IFERROR($A194-LOOKUP($A194,$Z$14:$Z193),"")</f>
        <v>16</v>
      </c>
      <c r="AD193" s="1" cm="1">
        <f t="array" ref="AD193">IF(B193&lt;&gt;"",80,_xludf.NA())</f>
        <v>80</v>
      </c>
    </row>
    <row r="194" spans="1:30">
      <c r="A194" s="22">
        <f t="shared" si="11"/>
        <v>46384</v>
      </c>
      <c r="B194" s="9">
        <f>+[1]Balance_Madden!A192</f>
        <v>46384</v>
      </c>
      <c r="C194" s="24">
        <f>+VLOOKUP(B194,[1]Balance_Madden!$A$12:$E$5000,2)</f>
        <v>252.065</v>
      </c>
      <c r="D194" s="25">
        <f>+VLOOKUP(B194,[1]Balance_Gatún!$A$13:$E$5087,2)</f>
        <v>83.63855399687985</v>
      </c>
      <c r="E194" s="24">
        <f>+VLOOKUP(B194,[1]Balance_Madden!$A$12:$E$5087,5)/35.32</f>
        <v>49.787740656851639</v>
      </c>
      <c r="F194" s="26">
        <f>+VLOOKUP(B194,[1]Balance_Gatún!$A$13:$E$5087,5)/35.32</f>
        <v>35.549462061155154</v>
      </c>
      <c r="G194" s="24">
        <f>+VLOOKUP(B194,[1]Balance_Madden!$A$12:$K$5087,9)/111</f>
        <v>2.7027027027027026</v>
      </c>
      <c r="H194" s="25">
        <f>+VLOOKUP(B194,[1]Balance_Gatún!$A$13:$U$5087,21)/186</f>
        <v>0</v>
      </c>
      <c r="I194" s="24">
        <f>+(VLOOKUP(B194,[1]Balance_Madden!$A$12:$K$5087,10)/35.32)+VLOOKUP(B194,[1]Balance_Madden!$A$12:$K$5087,11)/35.32</f>
        <v>4.711439313446677</v>
      </c>
      <c r="J194" s="25">
        <f>+VLOOKUP(B194,[1]Balance_Gatún!$A$13:$AD$5087,23)/35.32+ VLOOKUP(B194,[1]Balance_Gatún!$A$13:$AD$5087,17)/35.32</f>
        <v>0</v>
      </c>
      <c r="K194" s="24">
        <f>+VLOOKUP(B194,[1]Balance_Gatún!$A$13:$AC$5087,10)</f>
        <v>18</v>
      </c>
      <c r="L194" s="25" t="str">
        <f>+VLOOKUP(B194,[1]Balance_Gatún!$A$13:$AC$5087,11)</f>
        <v>XFILL_PMG100%</v>
      </c>
      <c r="M194" s="25">
        <f>+VLOOKUP(B194,[1]Balance_Gatún!$A$13:$AC$5087,12)</f>
        <v>10</v>
      </c>
      <c r="N194" s="25" t="str">
        <f>+VLOOKUP(B194,[1]Balance_Gatún!$A$13:$AC$5087,13)</f>
        <v>TA+CCL100%</v>
      </c>
      <c r="O194" s="25">
        <f>+VLOOKUP(B194,[1]Balance_Gatún!$A$13:$AC$5087,14)/408.7</f>
        <v>5.2117366436393535</v>
      </c>
      <c r="P194" s="24">
        <f>+VLOOKUP(B194,[1]Balance_Madden!$A$12:$V$5087,12)/35.32</f>
        <v>0.84286418529564899</v>
      </c>
      <c r="Q194" s="25">
        <f>+VLOOKUP(B194,[1]Balance_Gatún!$A$13:$AD$5087,15)/35.32</f>
        <v>6.5270627139154485</v>
      </c>
      <c r="R194" s="24">
        <f>+VLOOKUP(B194,[1]Balance_Madden!$A$12:$V$5087,14)/35.32</f>
        <v>26.301755367371996</v>
      </c>
      <c r="S194" s="26">
        <f>[1]Balance_Gatún!X193/35.32</f>
        <v>78.474904340625628</v>
      </c>
      <c r="T194" s="25">
        <v>83.741234987008227</v>
      </c>
      <c r="U194" s="25">
        <v>75.295784723503459</v>
      </c>
      <c r="V194" s="29">
        <f>LOOKUP(D194,[1]Parámetros!$A$7:$A$24,[1]Parámetros!$B$7:$B$24)</f>
        <v>48.5</v>
      </c>
      <c r="W194" s="30" t="str">
        <f t="shared" si="12"/>
        <v/>
      </c>
      <c r="X194" s="31" t="str">
        <f t="shared" si="13"/>
        <v/>
      </c>
      <c r="Y194" s="30" t="str">
        <f>IF($W194="Cambio Calado",COUNTIF($W$14:W194,"Cambio Calado"),"")</f>
        <v/>
      </c>
      <c r="Z194" s="31" t="str">
        <f t="shared" si="14"/>
        <v/>
      </c>
      <c r="AA194" s="30" t="str">
        <f t="shared" si="15"/>
        <v/>
      </c>
      <c r="AB194" s="29">
        <f>IFERROR(LOOKUP($A194,$Z$14:$Z194,$AA$14:$AA194),$U194)</f>
        <v>48.5</v>
      </c>
      <c r="AC194" s="32">
        <f>IFERROR($A195-LOOKUP($A195,$Z$14:$Z194),"")</f>
        <v>17</v>
      </c>
      <c r="AD194" s="1" cm="1">
        <f t="array" ref="AD194">IF(B194&lt;&gt;"",80,_xludf.NA())</f>
        <v>80</v>
      </c>
    </row>
    <row r="195" spans="1:30">
      <c r="A195" s="22">
        <f t="shared" si="11"/>
        <v>46385</v>
      </c>
      <c r="B195" s="9">
        <f>+[1]Balance_Madden!A193</f>
        <v>46385</v>
      </c>
      <c r="C195" s="24">
        <f>+VLOOKUP(B195,[1]Balance_Madden!$A$12:$E$5000,2)</f>
        <v>252.203</v>
      </c>
      <c r="D195" s="25">
        <f>+VLOOKUP(B195,[1]Balance_Gatún!$A$13:$E$5087,2)</f>
        <v>83.618296630236117</v>
      </c>
      <c r="E195" s="24">
        <f>+VLOOKUP(B195,[1]Balance_Madden!$A$12:$E$5087,5)/35.32</f>
        <v>25.829728199320499</v>
      </c>
      <c r="F195" s="26">
        <f>+VLOOKUP(B195,[1]Balance_Gatún!$A$13:$E$5087,5)/35.32</f>
        <v>31.367497168742926</v>
      </c>
      <c r="G195" s="24">
        <f>+VLOOKUP(B195,[1]Balance_Madden!$A$12:$K$5087,9)/111</f>
        <v>2.7027027027027026</v>
      </c>
      <c r="H195" s="25">
        <f>+VLOOKUP(B195,[1]Balance_Gatún!$A$13:$U$5087,21)/186</f>
        <v>0</v>
      </c>
      <c r="I195" s="24">
        <f>+(VLOOKUP(B195,[1]Balance_Madden!$A$12:$K$5087,10)/35.32)+VLOOKUP(B195,[1]Balance_Madden!$A$12:$K$5087,11)/35.32</f>
        <v>9.9018913543941576</v>
      </c>
      <c r="J195" s="25">
        <f>+VLOOKUP(B195,[1]Balance_Gatún!$A$13:$AD$5087,23)/35.32+ VLOOKUP(B195,[1]Balance_Gatún!$A$13:$AD$5087,17)/35.32</f>
        <v>0</v>
      </c>
      <c r="K195" s="24">
        <f>+VLOOKUP(B195,[1]Balance_Gatún!$A$13:$AC$5087,10)</f>
        <v>18</v>
      </c>
      <c r="L195" s="25" t="str">
        <f>+VLOOKUP(B195,[1]Balance_Gatún!$A$13:$AC$5087,11)</f>
        <v>XFILL_PMG100%</v>
      </c>
      <c r="M195" s="25">
        <f>+VLOOKUP(B195,[1]Balance_Gatún!$A$13:$AC$5087,12)</f>
        <v>10</v>
      </c>
      <c r="N195" s="25" t="str">
        <f>+VLOOKUP(B195,[1]Balance_Gatún!$A$13:$AC$5087,13)</f>
        <v>TA+CCL100%</v>
      </c>
      <c r="O195" s="25">
        <f>+VLOOKUP(B195,[1]Balance_Gatún!$A$13:$AC$5087,14)/408.7</f>
        <v>5.2085734812103492</v>
      </c>
      <c r="P195" s="24">
        <f>+VLOOKUP(B195,[1]Balance_Madden!$A$12:$V$5087,12)/35.32</f>
        <v>1.262524301140407</v>
      </c>
      <c r="Q195" s="25">
        <f>+VLOOKUP(B195,[1]Balance_Gatún!$A$13:$AD$5087,15)/35.32</f>
        <v>9.7582223033765452</v>
      </c>
      <c r="R195" s="24">
        <f>+VLOOKUP(B195,[1]Balance_Madden!$A$12:$V$5087,14)/35.32</f>
        <v>31.911867524164236</v>
      </c>
      <c r="S195" s="26">
        <f>[1]Balance_Gatún!X194/35.32</f>
        <v>81.669461877857572</v>
      </c>
      <c r="T195" s="25">
        <v>83.312340491788078</v>
      </c>
      <c r="U195" s="25">
        <v>55.307151562534223</v>
      </c>
      <c r="V195" s="29">
        <f>LOOKUP(D195,[1]Parámetros!$A$7:$A$24,[1]Parámetros!$B$7:$B$24)</f>
        <v>48.5</v>
      </c>
      <c r="W195" s="30" t="str">
        <f t="shared" si="12"/>
        <v/>
      </c>
      <c r="X195" s="31" t="str">
        <f t="shared" si="13"/>
        <v/>
      </c>
      <c r="Y195" s="30" t="str">
        <f>IF($W195="Cambio Calado",COUNTIF($W$14:W195,"Cambio Calado"),"")</f>
        <v/>
      </c>
      <c r="Z195" s="31" t="str">
        <f t="shared" si="14"/>
        <v/>
      </c>
      <c r="AA195" s="30" t="str">
        <f t="shared" si="15"/>
        <v/>
      </c>
      <c r="AB195" s="29">
        <f>IFERROR(LOOKUP($A195,$Z$14:$Z195,$AA$14:$AA195),$U195)</f>
        <v>48.5</v>
      </c>
      <c r="AC195" s="32">
        <f>IFERROR($A196-LOOKUP($A196,$Z$14:$Z195),"")</f>
        <v>18</v>
      </c>
      <c r="AD195" s="1" cm="1">
        <f t="array" ref="AD195">IF(B195&lt;&gt;"",80,_xludf.NA())</f>
        <v>80</v>
      </c>
    </row>
    <row r="196" spans="1:30">
      <c r="A196" s="22">
        <f t="shared" si="11"/>
        <v>46386</v>
      </c>
      <c r="B196" s="9">
        <f>+[1]Balance_Madden!A194</f>
        <v>46386</v>
      </c>
      <c r="C196" s="24">
        <f>+VLOOKUP(B196,[1]Balance_Madden!$A$12:$E$5000,2)</f>
        <v>252.167</v>
      </c>
      <c r="D196" s="25">
        <f>+VLOOKUP(B196,[1]Balance_Gatún!$A$13:$E$5087,2)</f>
        <v>83.596543444087089</v>
      </c>
      <c r="E196" s="24">
        <f>+VLOOKUP(B196,[1]Balance_Madden!$A$12:$E$5087,5)/35.32</f>
        <v>21.016959229898074</v>
      </c>
      <c r="F196" s="26">
        <f>+VLOOKUP(B196,[1]Balance_Gatún!$A$13:$E$5087,5)/35.32</f>
        <v>51.884456398640992</v>
      </c>
      <c r="G196" s="24">
        <f>+VLOOKUP(B196,[1]Balance_Madden!$A$12:$K$5087,9)/111</f>
        <v>2.7027027027027026</v>
      </c>
      <c r="H196" s="25">
        <f>+VLOOKUP(B196,[1]Balance_Gatún!$A$13:$U$5087,21)/186</f>
        <v>0</v>
      </c>
      <c r="I196" s="24">
        <f>+(VLOOKUP(B196,[1]Balance_Madden!$A$12:$K$5087,10)/35.32)+VLOOKUP(B196,[1]Balance_Madden!$A$12:$K$5087,11)/35.32</f>
        <v>8.4286786405793563</v>
      </c>
      <c r="J196" s="25">
        <f>+VLOOKUP(B196,[1]Balance_Gatún!$A$13:$AD$5087,23)/35.32+ VLOOKUP(B196,[1]Balance_Gatún!$A$13:$AD$5087,17)/35.32</f>
        <v>0</v>
      </c>
      <c r="K196" s="24">
        <f>+VLOOKUP(B196,[1]Balance_Gatún!$A$13:$AC$5087,10)</f>
        <v>18</v>
      </c>
      <c r="L196" s="25" t="str">
        <f>+VLOOKUP(B196,[1]Balance_Gatún!$A$13:$AC$5087,11)</f>
        <v>XFILL_PMG100%</v>
      </c>
      <c r="M196" s="25">
        <f>+VLOOKUP(B196,[1]Balance_Gatún!$A$13:$AC$5087,12)</f>
        <v>10</v>
      </c>
      <c r="N196" s="25" t="str">
        <f>+VLOOKUP(B196,[1]Balance_Gatún!$A$13:$AC$5087,13)</f>
        <v>TA+CCL100%</v>
      </c>
      <c r="O196" s="25">
        <f>+VLOOKUP(B196,[1]Balance_Gatún!$A$13:$AC$5087,14)/408.7</f>
        <v>5.2051767484391114</v>
      </c>
      <c r="P196" s="24">
        <f>+VLOOKUP(B196,[1]Balance_Madden!$A$12:$V$5087,12)/35.32</f>
        <v>0.98058780067171014</v>
      </c>
      <c r="Q196" s="25">
        <f>+VLOOKUP(B196,[1]Balance_Gatún!$A$13:$AD$5087,15)/35.32</f>
        <v>7.5802281478060767</v>
      </c>
      <c r="R196" s="24">
        <f>+VLOOKUP(B196,[1]Balance_Madden!$A$12:$V$5087,14)/35.32</f>
        <v>30.156718309880738</v>
      </c>
      <c r="S196" s="26">
        <f>[1]Balance_Gatún!X195/35.32</f>
        <v>79.4521629464206</v>
      </c>
      <c r="T196" s="25">
        <v>66.694991251287803</v>
      </c>
      <c r="U196" s="25">
        <v>79.273982441728961</v>
      </c>
      <c r="V196" s="29">
        <f>LOOKUP(D196,[1]Parámetros!$A$7:$A$24,[1]Parámetros!$B$7:$B$24)</f>
        <v>48.5</v>
      </c>
      <c r="W196" s="30" t="str">
        <f t="shared" si="12"/>
        <v/>
      </c>
      <c r="X196" s="31" t="str">
        <f t="shared" si="13"/>
        <v/>
      </c>
      <c r="Y196" s="30" t="str">
        <f>IF($W196="Cambio Calado",COUNTIF($W$14:W196,"Cambio Calado"),"")</f>
        <v/>
      </c>
      <c r="Z196" s="31" t="str">
        <f t="shared" si="14"/>
        <v/>
      </c>
      <c r="AA196" s="30" t="str">
        <f t="shared" si="15"/>
        <v/>
      </c>
      <c r="AB196" s="29">
        <f>IFERROR(LOOKUP($A196,$Z$14:$Z196,$AA$14:$AA196),$U196)</f>
        <v>48.5</v>
      </c>
      <c r="AC196" s="32">
        <f>IFERROR($A197-LOOKUP($A197,$Z$14:$Z196),"")</f>
        <v>19</v>
      </c>
      <c r="AD196" s="1" cm="1">
        <f t="array" ref="AD196">IF(B196&lt;&gt;"",80,_xludf.NA())</f>
        <v>80</v>
      </c>
    </row>
    <row r="197" spans="1:30">
      <c r="A197" s="22">
        <f t="shared" si="11"/>
        <v>46387</v>
      </c>
      <c r="B197" s="9">
        <f>+[1]Balance_Madden!A195</f>
        <v>46387</v>
      </c>
      <c r="C197" s="24">
        <f>+VLOOKUP(B197,[1]Balance_Madden!$A$12:$E$5000,2)</f>
        <v>252.113</v>
      </c>
      <c r="D197" s="25">
        <f>+VLOOKUP(B197,[1]Balance_Gatún!$A$13:$E$5087,2)</f>
        <v>83.589284350505579</v>
      </c>
      <c r="E197" s="24">
        <f>+VLOOKUP(B197,[1]Balance_Madden!$A$12:$E$5087,5)/35.32</f>
        <v>25.406625141562852</v>
      </c>
      <c r="F197" s="26">
        <f>+VLOOKUP(B197,[1]Balance_Gatún!$A$13:$E$5087,5)/35.32</f>
        <v>19.410956964892414</v>
      </c>
      <c r="G197" s="24">
        <f>+VLOOKUP(B197,[1]Balance_Madden!$A$12:$K$5087,9)/111</f>
        <v>0</v>
      </c>
      <c r="H197" s="25">
        <f>+VLOOKUP(B197,[1]Balance_Gatún!$A$13:$U$5087,21)/186</f>
        <v>0</v>
      </c>
      <c r="I197" s="24">
        <f>+(VLOOKUP(B197,[1]Balance_Madden!$A$12:$K$5087,10)/35.32)+VLOOKUP(B197,[1]Balance_Madden!$A$12:$K$5087,11)/35.32</f>
        <v>6.3720076048699124</v>
      </c>
      <c r="J197" s="25">
        <f>+VLOOKUP(B197,[1]Balance_Gatún!$A$13:$AD$5087,23)/35.32+ VLOOKUP(B197,[1]Balance_Gatún!$A$13:$AD$5087,17)/35.32</f>
        <v>0</v>
      </c>
      <c r="K197" s="24">
        <f>+VLOOKUP(B197,[1]Balance_Gatún!$A$13:$AC$5087,10)</f>
        <v>18</v>
      </c>
      <c r="L197" s="25" t="str">
        <f>+VLOOKUP(B197,[1]Balance_Gatún!$A$13:$AC$5087,11)</f>
        <v>XFILL_PMG100%</v>
      </c>
      <c r="M197" s="25">
        <f>+VLOOKUP(B197,[1]Balance_Gatún!$A$13:$AC$5087,12)</f>
        <v>10</v>
      </c>
      <c r="N197" s="25" t="str">
        <f>+VLOOKUP(B197,[1]Balance_Gatún!$A$13:$AC$5087,13)</f>
        <v>TA+CCL100%</v>
      </c>
      <c r="O197" s="25">
        <f>+VLOOKUP(B197,[1]Balance_Gatún!$A$13:$AC$5087,14)/408.7</f>
        <v>5.2040432500683984</v>
      </c>
      <c r="P197" s="24">
        <f>+VLOOKUP(B197,[1]Balance_Madden!$A$12:$V$5087,12)/35.32</f>
        <v>1.5801256988732033</v>
      </c>
      <c r="Q197" s="25">
        <f>+VLOOKUP(B197,[1]Balance_Gatún!$A$13:$AD$5087,15)/35.32</f>
        <v>12.221565673025431</v>
      </c>
      <c r="R197" s="24">
        <f>+VLOOKUP(B197,[1]Balance_Madden!$A$12:$V$5087,14)/35.32</f>
        <v>20.205813937944701</v>
      </c>
      <c r="S197" s="26">
        <f>[1]Balance_Gatún!X196/35.32</f>
        <v>84.080384367899569</v>
      </c>
      <c r="T197" s="25">
        <v>20.997374833938132</v>
      </c>
      <c r="U197" s="25">
        <v>87.882793237950651</v>
      </c>
      <c r="V197" s="29">
        <f>LOOKUP(D197,[1]Parámetros!$A$7:$A$24,[1]Parámetros!$B$7:$B$24)</f>
        <v>48.5</v>
      </c>
      <c r="W197" s="30" t="str">
        <f t="shared" si="12"/>
        <v/>
      </c>
      <c r="X197" s="31" t="str">
        <f t="shared" si="13"/>
        <v/>
      </c>
      <c r="Y197" s="30" t="str">
        <f>IF($W197="Cambio Calado",COUNTIF($W$14:W197,"Cambio Calado"),"")</f>
        <v/>
      </c>
      <c r="Z197" s="31" t="str">
        <f t="shared" si="14"/>
        <v/>
      </c>
      <c r="AA197" s="30" t="str">
        <f t="shared" si="15"/>
        <v/>
      </c>
      <c r="AB197" s="29">
        <f>IFERROR(LOOKUP($A197,$Z$14:$Z197,$AA$14:$AA197),$U197)</f>
        <v>48.5</v>
      </c>
      <c r="AD197" s="1" cm="1">
        <f t="array" ref="AD197">IF(B197&lt;&gt;"",80,_xludf.NA())</f>
        <v>80</v>
      </c>
    </row>
    <row r="198" spans="1:30">
      <c r="A198" s="22">
        <f t="shared" si="11"/>
        <v>0</v>
      </c>
      <c r="B198" s="9"/>
      <c r="C198" s="24"/>
      <c r="D198" s="25"/>
      <c r="E198" s="24"/>
      <c r="F198" s="26"/>
      <c r="G198" s="24"/>
      <c r="H198" s="25"/>
      <c r="I198" s="24"/>
      <c r="J198" s="25"/>
      <c r="K198" s="24"/>
      <c r="L198" s="25"/>
      <c r="M198" s="25"/>
      <c r="N198" s="25"/>
      <c r="O198" s="25"/>
      <c r="P198" s="24"/>
      <c r="Q198" s="25"/>
      <c r="R198" s="24"/>
      <c r="S198" s="26"/>
      <c r="T198" s="25"/>
      <c r="U198" s="25"/>
      <c r="X198" s="50"/>
    </row>
    <row r="199" spans="1:30">
      <c r="A199" s="22">
        <f t="shared" si="11"/>
        <v>0</v>
      </c>
      <c r="B199" s="9"/>
      <c r="C199" s="24"/>
      <c r="D199" s="25"/>
      <c r="E199" s="24"/>
      <c r="F199" s="26"/>
      <c r="G199" s="24"/>
      <c r="H199" s="25"/>
      <c r="I199" s="24"/>
      <c r="J199" s="25"/>
      <c r="K199" s="24"/>
      <c r="L199" s="25"/>
      <c r="M199" s="25"/>
      <c r="N199" s="25"/>
      <c r="O199" s="25"/>
      <c r="P199" s="24"/>
      <c r="Q199" s="25"/>
      <c r="R199" s="24"/>
      <c r="S199" s="26"/>
      <c r="T199" s="25"/>
      <c r="U199" s="25"/>
      <c r="X199" s="50"/>
    </row>
    <row r="200" spans="1:30">
      <c r="A200" s="22">
        <f t="shared" si="11"/>
        <v>0</v>
      </c>
      <c r="B200" s="9"/>
      <c r="C200" s="24"/>
      <c r="D200" s="25"/>
      <c r="E200" s="24"/>
      <c r="F200" s="26"/>
      <c r="G200" s="24"/>
      <c r="H200" s="25"/>
      <c r="I200" s="24"/>
      <c r="J200" s="25"/>
      <c r="K200" s="24"/>
      <c r="L200" s="25"/>
      <c r="M200" s="25"/>
      <c r="N200" s="25"/>
      <c r="O200" s="25"/>
      <c r="P200" s="24"/>
      <c r="Q200" s="25"/>
      <c r="R200" s="24"/>
      <c r="S200" s="26"/>
      <c r="T200" s="25"/>
      <c r="U200" s="25"/>
    </row>
    <row r="201" spans="1:30">
      <c r="A201" s="22">
        <f t="shared" si="11"/>
        <v>0</v>
      </c>
      <c r="B201" s="9"/>
      <c r="C201" s="24"/>
      <c r="D201" s="25"/>
      <c r="E201" s="24"/>
      <c r="F201" s="26"/>
      <c r="G201" s="24"/>
      <c r="H201" s="25"/>
      <c r="I201" s="24"/>
      <c r="J201" s="25"/>
      <c r="K201" s="24"/>
      <c r="L201" s="25"/>
      <c r="M201" s="25"/>
      <c r="N201" s="25"/>
      <c r="O201" s="25"/>
      <c r="P201" s="24"/>
      <c r="Q201" s="25"/>
      <c r="R201" s="24"/>
      <c r="S201" s="26"/>
      <c r="T201" s="25"/>
      <c r="U201" s="25"/>
    </row>
    <row r="202" spans="1:30">
      <c r="A202" s="22">
        <f t="shared" si="11"/>
        <v>0</v>
      </c>
      <c r="B202" s="9"/>
      <c r="C202" s="24"/>
      <c r="D202" s="25"/>
      <c r="E202" s="24"/>
      <c r="F202" s="26"/>
      <c r="G202" s="24"/>
      <c r="H202" s="25"/>
      <c r="I202" s="24"/>
      <c r="J202" s="25"/>
      <c r="K202" s="24"/>
      <c r="L202" s="25"/>
      <c r="M202" s="25"/>
      <c r="N202" s="25"/>
      <c r="O202" s="25"/>
      <c r="P202" s="24"/>
      <c r="Q202" s="25"/>
      <c r="R202" s="24"/>
      <c r="S202" s="26"/>
      <c r="T202" s="25"/>
      <c r="U202" s="25"/>
    </row>
    <row r="203" spans="1:30">
      <c r="A203" s="22">
        <f t="shared" si="11"/>
        <v>0</v>
      </c>
      <c r="B203" s="9"/>
      <c r="C203" s="24"/>
      <c r="D203" s="25"/>
      <c r="E203" s="24"/>
      <c r="F203" s="26"/>
      <c r="G203" s="24"/>
      <c r="H203" s="25"/>
      <c r="I203" s="24"/>
      <c r="J203" s="25"/>
      <c r="K203" s="24"/>
      <c r="L203" s="25"/>
      <c r="M203" s="25"/>
      <c r="N203" s="25"/>
      <c r="O203" s="25"/>
      <c r="P203" s="24"/>
      <c r="Q203" s="25"/>
      <c r="R203" s="24"/>
      <c r="S203" s="26"/>
      <c r="T203" s="25"/>
      <c r="U203" s="25"/>
    </row>
    <row r="204" spans="1:30">
      <c r="A204" s="22">
        <f t="shared" si="11"/>
        <v>0</v>
      </c>
      <c r="B204" s="9"/>
      <c r="C204" s="24"/>
      <c r="D204" s="25"/>
      <c r="E204" s="24"/>
      <c r="F204" s="26"/>
      <c r="G204" s="24"/>
      <c r="H204" s="25"/>
      <c r="I204" s="24"/>
      <c r="J204" s="25"/>
      <c r="K204" s="24"/>
      <c r="L204" s="25"/>
      <c r="M204" s="25"/>
      <c r="N204" s="25"/>
      <c r="O204" s="25"/>
      <c r="P204" s="24"/>
      <c r="Q204" s="25"/>
      <c r="R204" s="24"/>
      <c r="S204" s="26"/>
      <c r="T204" s="25"/>
      <c r="U204" s="25"/>
    </row>
    <row r="205" spans="1:30">
      <c r="A205" s="22">
        <f t="shared" si="11"/>
        <v>0</v>
      </c>
      <c r="B205" s="9"/>
      <c r="C205" s="24"/>
      <c r="D205" s="25"/>
      <c r="E205" s="24"/>
      <c r="F205" s="26"/>
      <c r="G205" s="24"/>
      <c r="H205" s="25"/>
      <c r="I205" s="24"/>
      <c r="J205" s="25"/>
      <c r="K205" s="24"/>
      <c r="L205" s="25"/>
      <c r="M205" s="25"/>
      <c r="N205" s="25"/>
      <c r="O205" s="25"/>
      <c r="P205" s="24"/>
      <c r="Q205" s="25"/>
      <c r="R205" s="24"/>
      <c r="S205" s="26"/>
      <c r="T205" s="25"/>
      <c r="U205" s="25"/>
    </row>
    <row r="206" spans="1:30">
      <c r="A206" s="22">
        <f t="shared" ref="A206:A269" si="16">+INT(B206)</f>
        <v>0</v>
      </c>
      <c r="B206" s="9"/>
      <c r="C206" s="24"/>
      <c r="D206" s="25"/>
      <c r="E206" s="24"/>
      <c r="F206" s="26"/>
      <c r="G206" s="24"/>
      <c r="H206" s="25"/>
      <c r="I206" s="24"/>
      <c r="J206" s="25"/>
      <c r="K206" s="24"/>
      <c r="L206" s="25"/>
      <c r="M206" s="25"/>
      <c r="N206" s="25"/>
      <c r="O206" s="25"/>
      <c r="P206" s="24"/>
      <c r="Q206" s="25"/>
      <c r="R206" s="24"/>
      <c r="S206" s="26"/>
      <c r="T206" s="25"/>
      <c r="U206" s="25"/>
    </row>
    <row r="207" spans="1:30">
      <c r="A207" s="22">
        <f t="shared" si="16"/>
        <v>0</v>
      </c>
      <c r="B207" s="9"/>
      <c r="C207" s="24"/>
      <c r="D207" s="25"/>
      <c r="E207" s="24"/>
      <c r="F207" s="26"/>
      <c r="G207" s="24"/>
      <c r="H207" s="25"/>
      <c r="I207" s="24"/>
      <c r="J207" s="25"/>
      <c r="K207" s="24"/>
      <c r="L207" s="25"/>
      <c r="M207" s="25"/>
      <c r="N207" s="25"/>
      <c r="O207" s="25"/>
      <c r="P207" s="24"/>
      <c r="Q207" s="25"/>
      <c r="R207" s="24"/>
      <c r="S207" s="26"/>
      <c r="T207" s="25"/>
      <c r="U207" s="25"/>
    </row>
    <row r="208" spans="1:30">
      <c r="A208" s="22">
        <f t="shared" si="16"/>
        <v>0</v>
      </c>
      <c r="B208" s="9"/>
      <c r="C208" s="24"/>
      <c r="D208" s="25"/>
      <c r="E208" s="24"/>
      <c r="F208" s="26"/>
      <c r="G208" s="24"/>
      <c r="H208" s="25"/>
      <c r="I208" s="24"/>
      <c r="J208" s="25"/>
      <c r="K208" s="24"/>
      <c r="L208" s="25"/>
      <c r="M208" s="25"/>
      <c r="N208" s="25"/>
      <c r="O208" s="25"/>
      <c r="P208" s="24"/>
      <c r="Q208" s="25"/>
      <c r="R208" s="24"/>
      <c r="S208" s="26"/>
      <c r="T208" s="25"/>
      <c r="U208" s="25"/>
    </row>
    <row r="209" spans="1:21">
      <c r="A209" s="22">
        <f t="shared" si="16"/>
        <v>0</v>
      </c>
      <c r="B209" s="9"/>
      <c r="C209" s="24"/>
      <c r="D209" s="25"/>
      <c r="E209" s="24"/>
      <c r="F209" s="26"/>
      <c r="G209" s="24"/>
      <c r="H209" s="25"/>
      <c r="I209" s="24"/>
      <c r="J209" s="25"/>
      <c r="K209" s="24"/>
      <c r="L209" s="25"/>
      <c r="M209" s="25"/>
      <c r="N209" s="25"/>
      <c r="O209" s="25"/>
      <c r="P209" s="24"/>
      <c r="Q209" s="25"/>
      <c r="R209" s="24"/>
      <c r="S209" s="26"/>
      <c r="T209" s="25"/>
      <c r="U209" s="25"/>
    </row>
    <row r="210" spans="1:21">
      <c r="A210" s="22">
        <f t="shared" si="16"/>
        <v>0</v>
      </c>
      <c r="B210" s="9"/>
      <c r="C210" s="24"/>
      <c r="D210" s="25"/>
      <c r="E210" s="24"/>
      <c r="F210" s="26"/>
      <c r="G210" s="24"/>
      <c r="H210" s="25"/>
      <c r="I210" s="24"/>
      <c r="J210" s="25"/>
      <c r="K210" s="24"/>
      <c r="L210" s="25"/>
      <c r="M210" s="25"/>
      <c r="N210" s="25"/>
      <c r="O210" s="25"/>
      <c r="P210" s="24"/>
      <c r="Q210" s="25"/>
      <c r="R210" s="24"/>
      <c r="S210" s="26"/>
      <c r="T210" s="25"/>
      <c r="U210" s="25"/>
    </row>
    <row r="211" spans="1:21">
      <c r="A211" s="22">
        <f t="shared" si="16"/>
        <v>0</v>
      </c>
      <c r="B211" s="9"/>
      <c r="C211" s="24"/>
      <c r="D211" s="25"/>
      <c r="E211" s="24"/>
      <c r="F211" s="26"/>
      <c r="G211" s="24"/>
      <c r="H211" s="25"/>
      <c r="I211" s="24"/>
      <c r="J211" s="25"/>
      <c r="K211" s="24"/>
      <c r="L211" s="25"/>
      <c r="M211" s="25"/>
      <c r="N211" s="25"/>
      <c r="O211" s="25"/>
      <c r="P211" s="24"/>
      <c r="Q211" s="25"/>
      <c r="R211" s="24"/>
      <c r="S211" s="26"/>
      <c r="T211" s="25"/>
      <c r="U211" s="25"/>
    </row>
    <row r="212" spans="1:21">
      <c r="A212" s="22">
        <f t="shared" si="16"/>
        <v>0</v>
      </c>
      <c r="B212" s="9"/>
      <c r="C212" s="24"/>
      <c r="D212" s="25"/>
      <c r="E212" s="24"/>
      <c r="F212" s="26"/>
      <c r="G212" s="24"/>
      <c r="H212" s="25"/>
      <c r="I212" s="24"/>
      <c r="J212" s="25"/>
      <c r="K212" s="24"/>
      <c r="L212" s="25"/>
      <c r="M212" s="25"/>
      <c r="N212" s="25"/>
      <c r="O212" s="25"/>
      <c r="P212" s="24"/>
      <c r="Q212" s="25"/>
      <c r="R212" s="24"/>
      <c r="S212" s="26"/>
      <c r="T212" s="25"/>
      <c r="U212" s="25"/>
    </row>
    <row r="213" spans="1:21">
      <c r="A213" s="22">
        <f t="shared" si="16"/>
        <v>0</v>
      </c>
      <c r="B213" s="9"/>
      <c r="C213" s="24"/>
      <c r="D213" s="25"/>
      <c r="E213" s="24"/>
      <c r="F213" s="26"/>
      <c r="G213" s="24"/>
      <c r="H213" s="25"/>
      <c r="I213" s="24"/>
      <c r="J213" s="25"/>
      <c r="K213" s="24"/>
      <c r="L213" s="25"/>
      <c r="M213" s="25"/>
      <c r="N213" s="25"/>
      <c r="O213" s="25"/>
      <c r="P213" s="24"/>
      <c r="Q213" s="25"/>
      <c r="R213" s="24"/>
      <c r="S213" s="26"/>
      <c r="T213" s="25"/>
      <c r="U213" s="25"/>
    </row>
    <row r="214" spans="1:21">
      <c r="A214" s="22">
        <f t="shared" si="16"/>
        <v>0</v>
      </c>
      <c r="B214" s="9"/>
      <c r="C214" s="24"/>
      <c r="D214" s="25"/>
      <c r="E214" s="24"/>
      <c r="F214" s="26"/>
      <c r="G214" s="24"/>
      <c r="H214" s="25"/>
      <c r="I214" s="24"/>
      <c r="J214" s="25"/>
      <c r="K214" s="24"/>
      <c r="L214" s="25"/>
      <c r="M214" s="25"/>
      <c r="N214" s="25"/>
      <c r="O214" s="25"/>
      <c r="P214" s="24"/>
      <c r="Q214" s="25"/>
      <c r="R214" s="24"/>
      <c r="S214" s="26"/>
      <c r="T214" s="25"/>
      <c r="U214" s="25"/>
    </row>
    <row r="215" spans="1:21">
      <c r="A215" s="22">
        <f t="shared" si="16"/>
        <v>0</v>
      </c>
      <c r="B215" s="9"/>
      <c r="C215" s="24"/>
      <c r="D215" s="25"/>
      <c r="E215" s="24"/>
      <c r="F215" s="26"/>
      <c r="G215" s="24"/>
      <c r="H215" s="25"/>
      <c r="I215" s="24"/>
      <c r="J215" s="25"/>
      <c r="K215" s="24"/>
      <c r="L215" s="25"/>
      <c r="M215" s="25"/>
      <c r="N215" s="25"/>
      <c r="O215" s="25"/>
      <c r="P215" s="24"/>
      <c r="Q215" s="25"/>
      <c r="R215" s="24"/>
      <c r="S215" s="26"/>
      <c r="T215" s="25"/>
      <c r="U215" s="25"/>
    </row>
    <row r="216" spans="1:21">
      <c r="A216" s="22">
        <f t="shared" si="16"/>
        <v>0</v>
      </c>
      <c r="B216" s="9"/>
      <c r="C216" s="24"/>
      <c r="D216" s="25"/>
      <c r="E216" s="24"/>
      <c r="F216" s="26"/>
      <c r="G216" s="24"/>
      <c r="H216" s="25"/>
      <c r="I216" s="24"/>
      <c r="J216" s="25"/>
      <c r="K216" s="24"/>
      <c r="L216" s="25"/>
      <c r="M216" s="25"/>
      <c r="N216" s="25"/>
      <c r="O216" s="25"/>
      <c r="P216" s="24"/>
      <c r="Q216" s="25"/>
      <c r="R216" s="24"/>
      <c r="S216" s="26"/>
      <c r="T216" s="25"/>
      <c r="U216" s="25"/>
    </row>
    <row r="217" spans="1:21">
      <c r="A217" s="22">
        <f t="shared" si="16"/>
        <v>0</v>
      </c>
      <c r="B217" s="9"/>
      <c r="C217" s="24"/>
      <c r="D217" s="25"/>
      <c r="E217" s="24"/>
      <c r="F217" s="26"/>
      <c r="G217" s="24"/>
      <c r="H217" s="25"/>
      <c r="I217" s="24"/>
      <c r="J217" s="25"/>
      <c r="K217" s="24"/>
      <c r="L217" s="25"/>
      <c r="M217" s="25"/>
      <c r="N217" s="25"/>
      <c r="O217" s="25"/>
      <c r="P217" s="24"/>
      <c r="Q217" s="25"/>
      <c r="R217" s="24"/>
      <c r="S217" s="26"/>
      <c r="T217" s="25"/>
      <c r="U217" s="25"/>
    </row>
    <row r="218" spans="1:21">
      <c r="A218" s="22">
        <f t="shared" si="16"/>
        <v>0</v>
      </c>
      <c r="B218" s="9"/>
      <c r="C218" s="24"/>
      <c r="D218" s="25"/>
      <c r="E218" s="24"/>
      <c r="F218" s="26"/>
      <c r="G218" s="24"/>
      <c r="H218" s="25"/>
      <c r="I218" s="24"/>
      <c r="J218" s="25"/>
      <c r="K218" s="24"/>
      <c r="L218" s="25"/>
      <c r="M218" s="25"/>
      <c r="N218" s="25"/>
      <c r="O218" s="25"/>
      <c r="P218" s="24"/>
      <c r="Q218" s="25"/>
      <c r="R218" s="24"/>
      <c r="S218" s="26"/>
      <c r="T218" s="25"/>
      <c r="U218" s="25"/>
    </row>
    <row r="219" spans="1:21">
      <c r="A219" s="22">
        <f t="shared" si="16"/>
        <v>0</v>
      </c>
      <c r="B219" s="9"/>
      <c r="C219" s="24"/>
      <c r="D219" s="25"/>
      <c r="E219" s="24"/>
      <c r="F219" s="26"/>
      <c r="G219" s="24"/>
      <c r="H219" s="25"/>
      <c r="I219" s="24"/>
      <c r="J219" s="25"/>
      <c r="K219" s="24"/>
      <c r="L219" s="25"/>
      <c r="M219" s="25"/>
      <c r="N219" s="25"/>
      <c r="O219" s="25"/>
      <c r="P219" s="24"/>
      <c r="Q219" s="25"/>
      <c r="R219" s="24"/>
      <c r="S219" s="26"/>
      <c r="T219" s="25"/>
      <c r="U219" s="25"/>
    </row>
    <row r="220" spans="1:21">
      <c r="A220" s="22">
        <f t="shared" si="16"/>
        <v>0</v>
      </c>
      <c r="B220" s="9"/>
      <c r="C220" s="24"/>
      <c r="D220" s="25"/>
      <c r="E220" s="24"/>
      <c r="F220" s="26"/>
      <c r="G220" s="24"/>
      <c r="H220" s="25"/>
      <c r="I220" s="24"/>
      <c r="J220" s="25"/>
      <c r="K220" s="24"/>
      <c r="L220" s="25"/>
      <c r="M220" s="25"/>
      <c r="N220" s="25"/>
      <c r="O220" s="25"/>
      <c r="P220" s="24"/>
      <c r="Q220" s="25"/>
      <c r="R220" s="24"/>
      <c r="S220" s="26"/>
      <c r="T220" s="25"/>
      <c r="U220" s="25"/>
    </row>
    <row r="221" spans="1:21">
      <c r="A221" s="22">
        <f t="shared" si="16"/>
        <v>0</v>
      </c>
      <c r="B221" s="9"/>
      <c r="C221" s="24"/>
      <c r="D221" s="25"/>
      <c r="E221" s="24"/>
      <c r="F221" s="26"/>
      <c r="G221" s="24"/>
      <c r="H221" s="25"/>
      <c r="I221" s="24"/>
      <c r="J221" s="25"/>
      <c r="K221" s="24"/>
      <c r="L221" s="25"/>
      <c r="M221" s="25"/>
      <c r="N221" s="25"/>
      <c r="O221" s="25"/>
      <c r="P221" s="24"/>
      <c r="Q221" s="25"/>
      <c r="R221" s="24"/>
      <c r="S221" s="26"/>
      <c r="T221" s="25"/>
      <c r="U221" s="25"/>
    </row>
    <row r="222" spans="1:21">
      <c r="A222" s="22">
        <f t="shared" si="16"/>
        <v>0</v>
      </c>
      <c r="B222" s="9"/>
      <c r="C222" s="24"/>
      <c r="D222" s="25"/>
      <c r="E222" s="24"/>
      <c r="F222" s="26"/>
      <c r="G222" s="24"/>
      <c r="H222" s="25"/>
      <c r="I222" s="24"/>
      <c r="J222" s="25"/>
      <c r="K222" s="24"/>
      <c r="L222" s="25"/>
      <c r="M222" s="25"/>
      <c r="N222" s="25"/>
      <c r="O222" s="25"/>
      <c r="P222" s="24"/>
      <c r="Q222" s="25"/>
      <c r="R222" s="24"/>
      <c r="S222" s="26"/>
      <c r="T222" s="25"/>
      <c r="U222" s="25"/>
    </row>
    <row r="223" spans="1:21">
      <c r="A223" s="22">
        <f t="shared" si="16"/>
        <v>0</v>
      </c>
      <c r="B223" s="9"/>
      <c r="C223" s="24"/>
      <c r="D223" s="25"/>
      <c r="E223" s="24"/>
      <c r="F223" s="26"/>
      <c r="G223" s="24"/>
      <c r="H223" s="25"/>
      <c r="I223" s="24"/>
      <c r="J223" s="25"/>
      <c r="K223" s="24"/>
      <c r="L223" s="25"/>
      <c r="M223" s="25"/>
      <c r="N223" s="25"/>
      <c r="O223" s="25"/>
      <c r="P223" s="24"/>
      <c r="Q223" s="25"/>
      <c r="R223" s="24"/>
      <c r="S223" s="26"/>
      <c r="T223" s="25"/>
      <c r="U223" s="25"/>
    </row>
    <row r="224" spans="1:21">
      <c r="A224" s="22">
        <f t="shared" si="16"/>
        <v>0</v>
      </c>
      <c r="B224" s="9"/>
      <c r="C224" s="24"/>
      <c r="D224" s="25"/>
      <c r="E224" s="24"/>
      <c r="F224" s="26"/>
      <c r="G224" s="24"/>
      <c r="H224" s="25"/>
      <c r="I224" s="24"/>
      <c r="J224" s="25"/>
      <c r="K224" s="24"/>
      <c r="L224" s="25"/>
      <c r="M224" s="25"/>
      <c r="N224" s="25"/>
      <c r="O224" s="25"/>
      <c r="P224" s="24"/>
      <c r="Q224" s="25"/>
      <c r="R224" s="24"/>
      <c r="S224" s="26"/>
      <c r="T224" s="25"/>
      <c r="U224" s="25"/>
    </row>
    <row r="225" spans="1:21">
      <c r="A225" s="22">
        <f t="shared" si="16"/>
        <v>0</v>
      </c>
      <c r="B225" s="9"/>
      <c r="C225" s="24"/>
      <c r="D225" s="25"/>
      <c r="E225" s="24"/>
      <c r="F225" s="26"/>
      <c r="G225" s="24"/>
      <c r="H225" s="25"/>
      <c r="I225" s="24"/>
      <c r="J225" s="25"/>
      <c r="K225" s="24"/>
      <c r="L225" s="25"/>
      <c r="M225" s="25"/>
      <c r="N225" s="25"/>
      <c r="O225" s="25"/>
      <c r="P225" s="24"/>
      <c r="Q225" s="25"/>
      <c r="R225" s="24"/>
      <c r="S225" s="26"/>
      <c r="T225" s="25"/>
      <c r="U225" s="25"/>
    </row>
    <row r="226" spans="1:21">
      <c r="A226" s="22">
        <f t="shared" si="16"/>
        <v>0</v>
      </c>
      <c r="B226" s="9"/>
      <c r="C226" s="24"/>
      <c r="D226" s="25"/>
      <c r="E226" s="24"/>
      <c r="F226" s="26"/>
      <c r="G226" s="24"/>
      <c r="H226" s="25"/>
      <c r="I226" s="24"/>
      <c r="J226" s="25"/>
      <c r="K226" s="24"/>
      <c r="L226" s="25"/>
      <c r="M226" s="25"/>
      <c r="N226" s="25"/>
      <c r="O226" s="25"/>
      <c r="P226" s="24"/>
      <c r="Q226" s="25"/>
      <c r="R226" s="24"/>
      <c r="S226" s="26"/>
      <c r="T226" s="25"/>
      <c r="U226" s="25"/>
    </row>
    <row r="227" spans="1:21">
      <c r="A227" s="22">
        <f t="shared" si="16"/>
        <v>0</v>
      </c>
      <c r="B227" s="9"/>
      <c r="C227" s="24"/>
      <c r="D227" s="25"/>
      <c r="E227" s="24"/>
      <c r="F227" s="26"/>
      <c r="G227" s="24"/>
      <c r="H227" s="25"/>
      <c r="I227" s="24"/>
      <c r="J227" s="25"/>
      <c r="K227" s="24"/>
      <c r="L227" s="25"/>
      <c r="M227" s="25"/>
      <c r="N227" s="25"/>
      <c r="O227" s="25"/>
      <c r="P227" s="24"/>
      <c r="Q227" s="25"/>
      <c r="R227" s="24"/>
      <c r="S227" s="26"/>
      <c r="T227" s="25"/>
      <c r="U227" s="25"/>
    </row>
    <row r="228" spans="1:21">
      <c r="A228" s="22">
        <f t="shared" si="16"/>
        <v>0</v>
      </c>
      <c r="B228" s="9"/>
      <c r="C228" s="24"/>
      <c r="D228" s="25"/>
      <c r="E228" s="24"/>
      <c r="F228" s="26"/>
      <c r="G228" s="24"/>
      <c r="H228" s="25"/>
      <c r="I228" s="24"/>
      <c r="J228" s="25"/>
      <c r="K228" s="24"/>
      <c r="L228" s="25"/>
      <c r="M228" s="25"/>
      <c r="N228" s="25"/>
      <c r="O228" s="25"/>
      <c r="P228" s="24"/>
      <c r="Q228" s="25"/>
      <c r="R228" s="24"/>
      <c r="S228" s="26"/>
      <c r="T228" s="25"/>
      <c r="U228" s="25"/>
    </row>
    <row r="229" spans="1:21">
      <c r="A229" s="22">
        <f t="shared" si="16"/>
        <v>0</v>
      </c>
      <c r="B229" s="9"/>
      <c r="C229" s="24"/>
      <c r="D229" s="25"/>
      <c r="E229" s="24"/>
      <c r="F229" s="26"/>
      <c r="G229" s="24"/>
      <c r="H229" s="25"/>
      <c r="I229" s="24"/>
      <c r="J229" s="25"/>
      <c r="K229" s="24"/>
      <c r="L229" s="25"/>
      <c r="M229" s="25"/>
      <c r="N229" s="25"/>
      <c r="O229" s="25"/>
      <c r="P229" s="24"/>
      <c r="Q229" s="25"/>
      <c r="R229" s="24"/>
      <c r="S229" s="26"/>
      <c r="T229" s="25"/>
      <c r="U229" s="25"/>
    </row>
    <row r="230" spans="1:21">
      <c r="A230" s="22">
        <f t="shared" si="16"/>
        <v>0</v>
      </c>
      <c r="B230" s="9"/>
      <c r="C230" s="24"/>
      <c r="D230" s="25"/>
      <c r="E230" s="24"/>
      <c r="F230" s="26"/>
      <c r="G230" s="24"/>
      <c r="H230" s="25"/>
      <c r="I230" s="24"/>
      <c r="J230" s="25"/>
      <c r="K230" s="24"/>
      <c r="L230" s="25"/>
      <c r="M230" s="25"/>
      <c r="N230" s="25"/>
      <c r="O230" s="25"/>
      <c r="P230" s="24"/>
      <c r="Q230" s="25"/>
      <c r="R230" s="24"/>
      <c r="S230" s="26"/>
      <c r="T230" s="25"/>
      <c r="U230" s="25"/>
    </row>
    <row r="231" spans="1:21">
      <c r="A231" s="22">
        <f t="shared" si="16"/>
        <v>0</v>
      </c>
      <c r="B231" s="9"/>
      <c r="C231" s="24"/>
      <c r="D231" s="25"/>
      <c r="E231" s="24"/>
      <c r="F231" s="26"/>
      <c r="G231" s="24"/>
      <c r="H231" s="25"/>
      <c r="I231" s="24"/>
      <c r="J231" s="25"/>
      <c r="K231" s="24"/>
      <c r="L231" s="25"/>
      <c r="M231" s="25"/>
      <c r="N231" s="25"/>
      <c r="O231" s="25"/>
      <c r="P231" s="24"/>
      <c r="Q231" s="25"/>
      <c r="R231" s="24"/>
      <c r="S231" s="26"/>
      <c r="T231" s="25"/>
      <c r="U231" s="25"/>
    </row>
    <row r="232" spans="1:21">
      <c r="A232" s="22">
        <f t="shared" si="16"/>
        <v>0</v>
      </c>
      <c r="B232" s="9"/>
      <c r="C232" s="24"/>
      <c r="D232" s="25"/>
      <c r="E232" s="24"/>
      <c r="F232" s="26"/>
      <c r="G232" s="24"/>
      <c r="H232" s="25"/>
      <c r="I232" s="24"/>
      <c r="J232" s="25"/>
      <c r="K232" s="24"/>
      <c r="L232" s="25"/>
      <c r="M232" s="25"/>
      <c r="N232" s="25"/>
      <c r="O232" s="25"/>
      <c r="P232" s="24"/>
      <c r="Q232" s="25"/>
      <c r="R232" s="24"/>
      <c r="S232" s="26"/>
      <c r="T232" s="25"/>
      <c r="U232" s="25"/>
    </row>
    <row r="233" spans="1:21">
      <c r="A233" s="22">
        <f t="shared" si="16"/>
        <v>0</v>
      </c>
      <c r="B233" s="9"/>
      <c r="C233" s="24"/>
      <c r="D233" s="25"/>
      <c r="E233" s="24"/>
      <c r="F233" s="26"/>
      <c r="G233" s="24"/>
      <c r="H233" s="25"/>
      <c r="I233" s="24"/>
      <c r="J233" s="25"/>
      <c r="K233" s="24"/>
      <c r="L233" s="25"/>
      <c r="M233" s="25"/>
      <c r="N233" s="25"/>
      <c r="O233" s="25"/>
      <c r="P233" s="24"/>
      <c r="Q233" s="25"/>
      <c r="R233" s="24"/>
      <c r="S233" s="26"/>
      <c r="T233" s="25"/>
      <c r="U233" s="25"/>
    </row>
    <row r="234" spans="1:21">
      <c r="A234" s="22">
        <f t="shared" si="16"/>
        <v>0</v>
      </c>
      <c r="B234" s="9"/>
      <c r="C234" s="24"/>
      <c r="D234" s="25"/>
      <c r="E234" s="24"/>
      <c r="F234" s="26"/>
      <c r="G234" s="24"/>
      <c r="H234" s="25"/>
      <c r="I234" s="24"/>
      <c r="J234" s="25"/>
      <c r="K234" s="24"/>
      <c r="L234" s="25"/>
      <c r="M234" s="25"/>
      <c r="N234" s="25"/>
      <c r="O234" s="25"/>
      <c r="P234" s="24"/>
      <c r="Q234" s="25"/>
      <c r="R234" s="24"/>
      <c r="S234" s="26"/>
      <c r="T234" s="25"/>
      <c r="U234" s="25"/>
    </row>
    <row r="235" spans="1:21">
      <c r="A235" s="22">
        <f t="shared" si="16"/>
        <v>0</v>
      </c>
      <c r="B235" s="9"/>
      <c r="C235" s="24"/>
      <c r="D235" s="25"/>
      <c r="E235" s="24"/>
      <c r="F235" s="26"/>
      <c r="G235" s="24"/>
      <c r="H235" s="25"/>
      <c r="I235" s="24"/>
      <c r="J235" s="25"/>
      <c r="K235" s="24"/>
      <c r="L235" s="25"/>
      <c r="M235" s="25"/>
      <c r="N235" s="25"/>
      <c r="O235" s="25"/>
      <c r="P235" s="24"/>
      <c r="Q235" s="25"/>
      <c r="R235" s="24"/>
      <c r="S235" s="26"/>
      <c r="T235" s="25"/>
      <c r="U235" s="25"/>
    </row>
    <row r="236" spans="1:21">
      <c r="A236" s="22">
        <f t="shared" si="16"/>
        <v>0</v>
      </c>
      <c r="B236" s="9"/>
      <c r="C236" s="24"/>
      <c r="D236" s="25"/>
      <c r="E236" s="24"/>
      <c r="F236" s="26"/>
      <c r="G236" s="24"/>
      <c r="H236" s="25"/>
      <c r="I236" s="24"/>
      <c r="J236" s="25"/>
      <c r="K236" s="24"/>
      <c r="L236" s="25"/>
      <c r="M236" s="25"/>
      <c r="N236" s="25"/>
      <c r="O236" s="25"/>
      <c r="P236" s="24"/>
      <c r="Q236" s="25"/>
      <c r="R236" s="24"/>
      <c r="S236" s="26"/>
      <c r="T236" s="25"/>
      <c r="U236" s="25"/>
    </row>
    <row r="237" spans="1:21">
      <c r="A237" s="22">
        <f t="shared" si="16"/>
        <v>0</v>
      </c>
      <c r="B237" s="9"/>
      <c r="C237" s="24"/>
      <c r="D237" s="25"/>
      <c r="E237" s="24"/>
      <c r="F237" s="26"/>
      <c r="G237" s="24"/>
      <c r="H237" s="25"/>
      <c r="I237" s="24"/>
      <c r="J237" s="25"/>
      <c r="K237" s="24"/>
      <c r="L237" s="25"/>
      <c r="M237" s="25"/>
      <c r="N237" s="25"/>
      <c r="O237" s="25"/>
      <c r="P237" s="24"/>
      <c r="Q237" s="25"/>
      <c r="R237" s="24"/>
      <c r="S237" s="26"/>
      <c r="T237" s="25"/>
      <c r="U237" s="25"/>
    </row>
    <row r="238" spans="1:21">
      <c r="A238" s="22">
        <f t="shared" si="16"/>
        <v>0</v>
      </c>
      <c r="B238" s="9"/>
      <c r="C238" s="24"/>
      <c r="D238" s="25"/>
      <c r="E238" s="24"/>
      <c r="F238" s="26"/>
      <c r="G238" s="24"/>
      <c r="H238" s="25"/>
      <c r="I238" s="24"/>
      <c r="J238" s="25"/>
      <c r="K238" s="24"/>
      <c r="L238" s="25"/>
      <c r="M238" s="25"/>
      <c r="N238" s="25"/>
      <c r="O238" s="25"/>
      <c r="P238" s="24"/>
      <c r="Q238" s="25"/>
      <c r="R238" s="24"/>
      <c r="S238" s="26"/>
      <c r="T238" s="25"/>
      <c r="U238" s="25"/>
    </row>
    <row r="239" spans="1:21">
      <c r="A239" s="22">
        <f t="shared" si="16"/>
        <v>0</v>
      </c>
      <c r="B239" s="9"/>
      <c r="C239" s="24"/>
      <c r="D239" s="25"/>
      <c r="E239" s="24"/>
      <c r="F239" s="26"/>
      <c r="G239" s="24"/>
      <c r="H239" s="25"/>
      <c r="I239" s="24"/>
      <c r="J239" s="25"/>
      <c r="K239" s="24"/>
      <c r="L239" s="25"/>
      <c r="M239" s="25"/>
      <c r="N239" s="25"/>
      <c r="O239" s="25"/>
      <c r="P239" s="24"/>
      <c r="Q239" s="25"/>
      <c r="R239" s="24"/>
      <c r="S239" s="26"/>
      <c r="T239" s="25"/>
      <c r="U239" s="25"/>
    </row>
    <row r="240" spans="1:21">
      <c r="A240" s="22">
        <f t="shared" si="16"/>
        <v>0</v>
      </c>
      <c r="B240" s="9"/>
      <c r="C240" s="24"/>
      <c r="D240" s="25"/>
      <c r="E240" s="24"/>
      <c r="F240" s="26"/>
      <c r="G240" s="24"/>
      <c r="H240" s="25"/>
      <c r="I240" s="24"/>
      <c r="J240" s="25"/>
      <c r="K240" s="24"/>
      <c r="L240" s="25"/>
      <c r="M240" s="25"/>
      <c r="N240" s="25"/>
      <c r="O240" s="25"/>
      <c r="P240" s="24"/>
      <c r="Q240" s="25"/>
      <c r="R240" s="24"/>
      <c r="S240" s="26"/>
      <c r="T240" s="25"/>
      <c r="U240" s="25"/>
    </row>
    <row r="241" spans="1:21">
      <c r="A241" s="22">
        <f t="shared" si="16"/>
        <v>0</v>
      </c>
      <c r="B241" s="9"/>
      <c r="C241" s="24"/>
      <c r="D241" s="25"/>
      <c r="E241" s="24"/>
      <c r="F241" s="26"/>
      <c r="G241" s="24"/>
      <c r="H241" s="25"/>
      <c r="I241" s="24"/>
      <c r="J241" s="25"/>
      <c r="K241" s="24"/>
      <c r="L241" s="25"/>
      <c r="M241" s="25"/>
      <c r="N241" s="25"/>
      <c r="O241" s="25"/>
      <c r="P241" s="24"/>
      <c r="Q241" s="25"/>
      <c r="R241" s="24"/>
      <c r="S241" s="26"/>
      <c r="T241" s="25"/>
      <c r="U241" s="25"/>
    </row>
    <row r="242" spans="1:21">
      <c r="A242" s="22">
        <f t="shared" si="16"/>
        <v>0</v>
      </c>
      <c r="B242" s="9"/>
      <c r="C242" s="24"/>
      <c r="D242" s="25"/>
      <c r="E242" s="24"/>
      <c r="F242" s="26"/>
      <c r="G242" s="24"/>
      <c r="H242" s="25"/>
      <c r="I242" s="24"/>
      <c r="J242" s="25"/>
      <c r="K242" s="24"/>
      <c r="L242" s="25"/>
      <c r="M242" s="25"/>
      <c r="N242" s="25"/>
      <c r="O242" s="25"/>
      <c r="P242" s="24"/>
      <c r="Q242" s="25"/>
      <c r="R242" s="24"/>
      <c r="S242" s="26"/>
      <c r="T242" s="25"/>
      <c r="U242" s="25"/>
    </row>
    <row r="243" spans="1:21">
      <c r="A243" s="22">
        <f t="shared" si="16"/>
        <v>0</v>
      </c>
      <c r="B243" s="9"/>
      <c r="C243" s="24"/>
      <c r="D243" s="25"/>
      <c r="E243" s="24"/>
      <c r="F243" s="26"/>
      <c r="G243" s="24"/>
      <c r="H243" s="25"/>
      <c r="I243" s="24"/>
      <c r="J243" s="25"/>
      <c r="K243" s="24"/>
      <c r="L243" s="25"/>
      <c r="M243" s="25"/>
      <c r="N243" s="25"/>
      <c r="O243" s="25"/>
      <c r="P243" s="24"/>
      <c r="Q243" s="25"/>
      <c r="R243" s="24"/>
      <c r="S243" s="26"/>
      <c r="T243" s="25"/>
      <c r="U243" s="25"/>
    </row>
    <row r="244" spans="1:21">
      <c r="A244" s="22">
        <f t="shared" si="16"/>
        <v>0</v>
      </c>
      <c r="B244" s="9"/>
      <c r="C244" s="24"/>
      <c r="D244" s="25"/>
      <c r="E244" s="24"/>
      <c r="F244" s="26"/>
      <c r="G244" s="24"/>
      <c r="H244" s="25"/>
      <c r="I244" s="24"/>
      <c r="J244" s="25"/>
      <c r="K244" s="24"/>
      <c r="L244" s="25"/>
      <c r="M244" s="25"/>
      <c r="N244" s="25"/>
      <c r="O244" s="25"/>
      <c r="P244" s="24"/>
      <c r="Q244" s="25"/>
      <c r="R244" s="24"/>
      <c r="S244" s="26"/>
      <c r="T244" s="25"/>
      <c r="U244" s="25"/>
    </row>
    <row r="245" spans="1:21">
      <c r="A245" s="22">
        <f t="shared" si="16"/>
        <v>0</v>
      </c>
      <c r="B245" s="9"/>
      <c r="C245" s="24"/>
      <c r="D245" s="25"/>
      <c r="E245" s="24"/>
      <c r="F245" s="26"/>
      <c r="G245" s="24"/>
      <c r="H245" s="25"/>
      <c r="I245" s="24"/>
      <c r="J245" s="25"/>
      <c r="K245" s="24"/>
      <c r="L245" s="25"/>
      <c r="M245" s="25"/>
      <c r="N245" s="25"/>
      <c r="O245" s="25"/>
      <c r="P245" s="24"/>
      <c r="Q245" s="25"/>
      <c r="R245" s="24"/>
      <c r="S245" s="26"/>
      <c r="T245" s="25"/>
      <c r="U245" s="25"/>
    </row>
    <row r="246" spans="1:21">
      <c r="A246" s="22">
        <f t="shared" si="16"/>
        <v>0</v>
      </c>
      <c r="B246" s="9"/>
      <c r="C246" s="24"/>
      <c r="D246" s="25"/>
      <c r="E246" s="24"/>
      <c r="F246" s="26"/>
      <c r="G246" s="24"/>
      <c r="H246" s="25"/>
      <c r="I246" s="24"/>
      <c r="J246" s="25"/>
      <c r="K246" s="24"/>
      <c r="L246" s="25"/>
      <c r="M246" s="25"/>
      <c r="N246" s="25"/>
      <c r="O246" s="25"/>
      <c r="P246" s="24"/>
      <c r="Q246" s="25"/>
      <c r="R246" s="24"/>
      <c r="S246" s="26"/>
      <c r="T246" s="25"/>
      <c r="U246" s="25"/>
    </row>
    <row r="247" spans="1:21">
      <c r="A247" s="22">
        <f t="shared" si="16"/>
        <v>0</v>
      </c>
      <c r="B247" s="9"/>
      <c r="C247" s="24"/>
      <c r="D247" s="25"/>
      <c r="E247" s="24"/>
      <c r="F247" s="26"/>
      <c r="G247" s="24"/>
      <c r="H247" s="25"/>
      <c r="I247" s="24"/>
      <c r="J247" s="25"/>
      <c r="K247" s="24"/>
      <c r="L247" s="25"/>
      <c r="M247" s="25"/>
      <c r="N247" s="25"/>
      <c r="O247" s="25"/>
      <c r="P247" s="24"/>
      <c r="Q247" s="25"/>
      <c r="R247" s="24"/>
      <c r="S247" s="26"/>
      <c r="T247" s="25"/>
      <c r="U247" s="25"/>
    </row>
    <row r="248" spans="1:21">
      <c r="A248" s="22">
        <f t="shared" si="16"/>
        <v>0</v>
      </c>
      <c r="B248" s="9"/>
      <c r="C248" s="24"/>
      <c r="D248" s="25"/>
      <c r="E248" s="24"/>
      <c r="F248" s="26"/>
      <c r="G248" s="24"/>
      <c r="H248" s="25"/>
      <c r="I248" s="24"/>
      <c r="J248" s="25"/>
      <c r="K248" s="24"/>
      <c r="L248" s="25"/>
      <c r="M248" s="25"/>
      <c r="N248" s="25"/>
      <c r="O248" s="25"/>
      <c r="P248" s="24"/>
      <c r="Q248" s="25"/>
      <c r="R248" s="24"/>
      <c r="S248" s="26"/>
      <c r="T248" s="25"/>
      <c r="U248" s="25"/>
    </row>
    <row r="249" spans="1:21">
      <c r="A249" s="22">
        <f t="shared" si="16"/>
        <v>0</v>
      </c>
      <c r="B249" s="9"/>
      <c r="C249" s="24"/>
      <c r="D249" s="25"/>
      <c r="E249" s="24"/>
      <c r="F249" s="26"/>
      <c r="G249" s="24"/>
      <c r="H249" s="25"/>
      <c r="I249" s="24"/>
      <c r="J249" s="25"/>
      <c r="K249" s="24"/>
      <c r="L249" s="25"/>
      <c r="M249" s="25"/>
      <c r="N249" s="25"/>
      <c r="O249" s="25"/>
      <c r="P249" s="24"/>
      <c r="Q249" s="25"/>
      <c r="R249" s="24"/>
      <c r="S249" s="26"/>
      <c r="T249" s="25"/>
      <c r="U249" s="25"/>
    </row>
    <row r="250" spans="1:21">
      <c r="A250" s="22">
        <f t="shared" si="16"/>
        <v>0</v>
      </c>
      <c r="B250" s="9"/>
      <c r="C250" s="24"/>
      <c r="D250" s="25"/>
      <c r="E250" s="24"/>
      <c r="F250" s="26"/>
      <c r="G250" s="24"/>
      <c r="H250" s="25"/>
      <c r="I250" s="24"/>
      <c r="J250" s="25"/>
      <c r="K250" s="24"/>
      <c r="L250" s="25"/>
      <c r="M250" s="25"/>
      <c r="N250" s="25"/>
      <c r="O250" s="25"/>
      <c r="P250" s="24"/>
      <c r="Q250" s="25"/>
      <c r="R250" s="24"/>
      <c r="S250" s="26"/>
      <c r="T250" s="25"/>
      <c r="U250" s="25"/>
    </row>
    <row r="251" spans="1:21">
      <c r="A251" s="22">
        <f t="shared" si="16"/>
        <v>0</v>
      </c>
      <c r="B251" s="9"/>
      <c r="C251" s="24"/>
      <c r="D251" s="25"/>
      <c r="E251" s="24"/>
      <c r="F251" s="26"/>
      <c r="G251" s="24"/>
      <c r="H251" s="25"/>
      <c r="I251" s="24"/>
      <c r="J251" s="25"/>
      <c r="K251" s="24"/>
      <c r="L251" s="25"/>
      <c r="M251" s="25"/>
      <c r="N251" s="25"/>
      <c r="O251" s="25"/>
      <c r="P251" s="24"/>
      <c r="Q251" s="25"/>
      <c r="R251" s="24"/>
      <c r="S251" s="26"/>
      <c r="T251" s="25"/>
      <c r="U251" s="25"/>
    </row>
    <row r="252" spans="1:21">
      <c r="A252" s="22">
        <f t="shared" si="16"/>
        <v>0</v>
      </c>
      <c r="B252" s="9"/>
      <c r="C252" s="24"/>
      <c r="D252" s="25"/>
      <c r="E252" s="24"/>
      <c r="F252" s="26"/>
      <c r="G252" s="24"/>
      <c r="H252" s="25"/>
      <c r="I252" s="24"/>
      <c r="J252" s="25"/>
      <c r="K252" s="24"/>
      <c r="L252" s="25"/>
      <c r="M252" s="25"/>
      <c r="N252" s="25"/>
      <c r="O252" s="25"/>
      <c r="P252" s="24"/>
      <c r="Q252" s="25"/>
      <c r="R252" s="24"/>
      <c r="S252" s="26"/>
      <c r="T252" s="25"/>
      <c r="U252" s="25"/>
    </row>
    <row r="253" spans="1:21">
      <c r="A253" s="22">
        <f t="shared" si="16"/>
        <v>0</v>
      </c>
      <c r="B253" s="9"/>
      <c r="C253" s="24"/>
      <c r="D253" s="25"/>
      <c r="E253" s="24"/>
      <c r="F253" s="26"/>
      <c r="G253" s="24"/>
      <c r="H253" s="25"/>
      <c r="I253" s="24"/>
      <c r="J253" s="25"/>
      <c r="K253" s="24"/>
      <c r="L253" s="25"/>
      <c r="M253" s="25"/>
      <c r="N253" s="25"/>
      <c r="O253" s="25"/>
      <c r="P253" s="24"/>
      <c r="Q253" s="25"/>
      <c r="R253" s="24"/>
      <c r="S253" s="26"/>
      <c r="T253" s="25"/>
      <c r="U253" s="25"/>
    </row>
    <row r="254" spans="1:21">
      <c r="A254" s="22">
        <f t="shared" si="16"/>
        <v>0</v>
      </c>
      <c r="B254" s="9"/>
      <c r="C254" s="24"/>
      <c r="D254" s="25"/>
      <c r="E254" s="24"/>
      <c r="F254" s="26"/>
      <c r="G254" s="24"/>
      <c r="H254" s="25"/>
      <c r="I254" s="24"/>
      <c r="J254" s="25"/>
      <c r="K254" s="24"/>
      <c r="L254" s="25"/>
      <c r="M254" s="25"/>
      <c r="N254" s="25"/>
      <c r="O254" s="25"/>
      <c r="P254" s="24"/>
      <c r="Q254" s="25"/>
      <c r="R254" s="24"/>
      <c r="S254" s="26"/>
      <c r="T254" s="25"/>
      <c r="U254" s="25"/>
    </row>
    <row r="255" spans="1:21">
      <c r="A255" s="22">
        <f t="shared" si="16"/>
        <v>0</v>
      </c>
      <c r="B255" s="9"/>
      <c r="C255" s="24"/>
      <c r="D255" s="25"/>
      <c r="E255" s="24"/>
      <c r="F255" s="26"/>
      <c r="G255" s="24"/>
      <c r="H255" s="25"/>
      <c r="I255" s="24"/>
      <c r="J255" s="25"/>
      <c r="K255" s="24"/>
      <c r="L255" s="25"/>
      <c r="M255" s="25"/>
      <c r="N255" s="25"/>
      <c r="O255" s="25"/>
      <c r="P255" s="24"/>
      <c r="Q255" s="25"/>
      <c r="R255" s="24"/>
      <c r="S255" s="26"/>
      <c r="T255" s="25"/>
      <c r="U255" s="25"/>
    </row>
    <row r="256" spans="1:21">
      <c r="A256" s="22">
        <f t="shared" si="16"/>
        <v>0</v>
      </c>
      <c r="B256" s="9"/>
      <c r="C256" s="24"/>
      <c r="D256" s="25"/>
      <c r="E256" s="24"/>
      <c r="F256" s="26"/>
      <c r="G256" s="24"/>
      <c r="H256" s="25"/>
      <c r="I256" s="24"/>
      <c r="J256" s="25"/>
      <c r="K256" s="24"/>
      <c r="L256" s="25"/>
      <c r="M256" s="25"/>
      <c r="N256" s="25"/>
      <c r="O256" s="25"/>
      <c r="P256" s="24"/>
      <c r="Q256" s="25"/>
      <c r="R256" s="24"/>
      <c r="S256" s="26"/>
      <c r="T256" s="25"/>
      <c r="U256" s="25"/>
    </row>
    <row r="257" spans="1:21">
      <c r="A257" s="22">
        <f t="shared" si="16"/>
        <v>0</v>
      </c>
      <c r="B257" s="9"/>
      <c r="C257" s="24"/>
      <c r="D257" s="25"/>
      <c r="E257" s="24"/>
      <c r="F257" s="26"/>
      <c r="G257" s="24"/>
      <c r="H257" s="25"/>
      <c r="I257" s="24"/>
      <c r="J257" s="25"/>
      <c r="K257" s="24"/>
      <c r="L257" s="25"/>
      <c r="M257" s="25"/>
      <c r="N257" s="25"/>
      <c r="O257" s="25"/>
      <c r="P257" s="24"/>
      <c r="Q257" s="25"/>
      <c r="R257" s="24"/>
      <c r="S257" s="26"/>
      <c r="T257" s="25"/>
      <c r="U257" s="25"/>
    </row>
    <row r="258" spans="1:21">
      <c r="A258" s="22">
        <f t="shared" si="16"/>
        <v>0</v>
      </c>
      <c r="B258" s="9"/>
      <c r="C258" s="24"/>
      <c r="D258" s="25"/>
      <c r="E258" s="24"/>
      <c r="F258" s="26"/>
      <c r="G258" s="24"/>
      <c r="H258" s="25"/>
      <c r="I258" s="24"/>
      <c r="J258" s="25"/>
      <c r="K258" s="24"/>
      <c r="L258" s="25"/>
      <c r="M258" s="25"/>
      <c r="N258" s="25"/>
      <c r="O258" s="25"/>
      <c r="P258" s="24"/>
      <c r="Q258" s="25"/>
      <c r="R258" s="24"/>
      <c r="S258" s="26"/>
      <c r="T258" s="25"/>
      <c r="U258" s="25"/>
    </row>
    <row r="259" spans="1:21">
      <c r="A259" s="22">
        <f t="shared" si="16"/>
        <v>0</v>
      </c>
      <c r="B259" s="9"/>
      <c r="C259" s="24"/>
      <c r="D259" s="25"/>
      <c r="E259" s="24"/>
      <c r="F259" s="26"/>
      <c r="G259" s="24"/>
      <c r="H259" s="25"/>
      <c r="I259" s="24"/>
      <c r="J259" s="25"/>
      <c r="K259" s="24"/>
      <c r="L259" s="25"/>
      <c r="M259" s="25"/>
      <c r="N259" s="25"/>
      <c r="O259" s="25"/>
      <c r="P259" s="24"/>
      <c r="Q259" s="25"/>
      <c r="R259" s="24"/>
      <c r="S259" s="26"/>
      <c r="T259" s="25"/>
      <c r="U259" s="25"/>
    </row>
    <row r="260" spans="1:21">
      <c r="A260" s="22">
        <f t="shared" si="16"/>
        <v>0</v>
      </c>
      <c r="B260" s="9"/>
      <c r="C260" s="24"/>
      <c r="D260" s="25"/>
      <c r="E260" s="24"/>
      <c r="F260" s="26"/>
      <c r="G260" s="24"/>
      <c r="H260" s="25"/>
      <c r="I260" s="24"/>
      <c r="J260" s="25"/>
      <c r="K260" s="24"/>
      <c r="L260" s="25"/>
      <c r="M260" s="25"/>
      <c r="N260" s="25"/>
      <c r="O260" s="25"/>
      <c r="P260" s="24"/>
      <c r="Q260" s="25"/>
      <c r="R260" s="24"/>
      <c r="S260" s="26"/>
      <c r="T260" s="25"/>
      <c r="U260" s="25"/>
    </row>
    <row r="261" spans="1:21">
      <c r="A261" s="22">
        <f t="shared" si="16"/>
        <v>0</v>
      </c>
      <c r="B261" s="9"/>
      <c r="C261" s="24"/>
      <c r="D261" s="25"/>
      <c r="E261" s="24"/>
      <c r="F261" s="26"/>
      <c r="G261" s="24"/>
      <c r="H261" s="25"/>
      <c r="I261" s="24"/>
      <c r="J261" s="25"/>
      <c r="K261" s="24"/>
      <c r="L261" s="25"/>
      <c r="M261" s="25"/>
      <c r="N261" s="25"/>
      <c r="O261" s="25"/>
      <c r="P261" s="24"/>
      <c r="Q261" s="25"/>
      <c r="R261" s="24"/>
      <c r="S261" s="26"/>
      <c r="T261" s="25"/>
      <c r="U261" s="25"/>
    </row>
    <row r="262" spans="1:21">
      <c r="A262" s="22">
        <f t="shared" si="16"/>
        <v>0</v>
      </c>
      <c r="B262" s="9"/>
      <c r="C262" s="24"/>
      <c r="D262" s="25"/>
      <c r="E262" s="24"/>
      <c r="F262" s="26"/>
      <c r="G262" s="24"/>
      <c r="H262" s="25"/>
      <c r="I262" s="24"/>
      <c r="J262" s="25"/>
      <c r="K262" s="24"/>
      <c r="L262" s="25"/>
      <c r="M262" s="25"/>
      <c r="N262" s="25"/>
      <c r="O262" s="25"/>
      <c r="P262" s="24"/>
      <c r="Q262" s="25"/>
      <c r="R262" s="24"/>
      <c r="S262" s="26"/>
      <c r="T262" s="25"/>
      <c r="U262" s="25"/>
    </row>
    <row r="263" spans="1:21">
      <c r="A263" s="22">
        <f t="shared" si="16"/>
        <v>0</v>
      </c>
      <c r="B263" s="9"/>
      <c r="C263" s="24"/>
      <c r="D263" s="25"/>
      <c r="E263" s="24"/>
      <c r="F263" s="26"/>
      <c r="G263" s="24"/>
      <c r="H263" s="25"/>
      <c r="I263" s="24"/>
      <c r="J263" s="25"/>
      <c r="K263" s="24"/>
      <c r="L263" s="25"/>
      <c r="M263" s="25"/>
      <c r="N263" s="25"/>
      <c r="O263" s="25"/>
      <c r="P263" s="24"/>
      <c r="Q263" s="25"/>
      <c r="R263" s="24"/>
      <c r="S263" s="26"/>
      <c r="T263" s="25"/>
      <c r="U263" s="25"/>
    </row>
    <row r="264" spans="1:21">
      <c r="A264" s="22">
        <f t="shared" si="16"/>
        <v>0</v>
      </c>
      <c r="B264" s="9"/>
      <c r="C264" s="24"/>
      <c r="D264" s="25"/>
      <c r="E264" s="24"/>
      <c r="F264" s="26"/>
      <c r="G264" s="24"/>
      <c r="H264" s="25"/>
      <c r="I264" s="24"/>
      <c r="J264" s="25"/>
      <c r="K264" s="24"/>
      <c r="L264" s="25"/>
      <c r="M264" s="25"/>
      <c r="N264" s="25"/>
      <c r="O264" s="25"/>
      <c r="P264" s="24"/>
      <c r="Q264" s="25"/>
      <c r="R264" s="24"/>
      <c r="S264" s="26"/>
      <c r="T264" s="25"/>
      <c r="U264" s="25"/>
    </row>
    <row r="265" spans="1:21">
      <c r="A265" s="22">
        <f t="shared" si="16"/>
        <v>0</v>
      </c>
      <c r="B265" s="9"/>
      <c r="C265" s="24"/>
      <c r="D265" s="25"/>
      <c r="E265" s="24"/>
      <c r="F265" s="26"/>
      <c r="G265" s="24"/>
      <c r="H265" s="25"/>
      <c r="I265" s="24"/>
      <c r="J265" s="25"/>
      <c r="K265" s="24"/>
      <c r="L265" s="25"/>
      <c r="M265" s="25"/>
      <c r="N265" s="25"/>
      <c r="O265" s="25"/>
      <c r="P265" s="24"/>
      <c r="Q265" s="25"/>
      <c r="R265" s="24"/>
      <c r="S265" s="26"/>
      <c r="T265" s="25"/>
      <c r="U265" s="25"/>
    </row>
    <row r="266" spans="1:21">
      <c r="A266" s="22">
        <f t="shared" si="16"/>
        <v>0</v>
      </c>
      <c r="B266" s="9"/>
      <c r="C266" s="24"/>
      <c r="D266" s="25"/>
      <c r="E266" s="24"/>
      <c r="F266" s="26"/>
      <c r="G266" s="24"/>
      <c r="H266" s="25"/>
      <c r="I266" s="24"/>
      <c r="J266" s="25"/>
      <c r="K266" s="24"/>
      <c r="L266" s="25"/>
      <c r="M266" s="25"/>
      <c r="N266" s="25"/>
      <c r="O266" s="25"/>
      <c r="P266" s="24"/>
      <c r="Q266" s="25"/>
      <c r="R266" s="24"/>
      <c r="S266" s="26"/>
      <c r="T266" s="25"/>
      <c r="U266" s="25"/>
    </row>
    <row r="267" spans="1:21">
      <c r="A267" s="22">
        <f t="shared" si="16"/>
        <v>0</v>
      </c>
      <c r="B267" s="9"/>
      <c r="C267" s="24"/>
      <c r="D267" s="25"/>
      <c r="E267" s="24"/>
      <c r="F267" s="26"/>
      <c r="G267" s="24"/>
      <c r="H267" s="25"/>
      <c r="I267" s="24"/>
      <c r="J267" s="25"/>
      <c r="K267" s="24"/>
      <c r="L267" s="25"/>
      <c r="M267" s="25"/>
      <c r="N267" s="25"/>
      <c r="O267" s="25"/>
      <c r="P267" s="24"/>
      <c r="Q267" s="25"/>
      <c r="R267" s="24"/>
      <c r="S267" s="26"/>
      <c r="T267" s="25"/>
      <c r="U267" s="25"/>
    </row>
    <row r="268" spans="1:21">
      <c r="A268" s="22">
        <f t="shared" si="16"/>
        <v>0</v>
      </c>
      <c r="B268" s="9"/>
      <c r="C268" s="24"/>
      <c r="D268" s="25"/>
      <c r="E268" s="24"/>
      <c r="F268" s="26"/>
      <c r="G268" s="24"/>
      <c r="H268" s="25"/>
      <c r="I268" s="24"/>
      <c r="J268" s="25"/>
      <c r="K268" s="24"/>
      <c r="L268" s="25"/>
      <c r="M268" s="25"/>
      <c r="N268" s="25"/>
      <c r="O268" s="25"/>
      <c r="P268" s="24"/>
      <c r="Q268" s="25"/>
      <c r="R268" s="24"/>
      <c r="S268" s="26"/>
      <c r="T268" s="25"/>
      <c r="U268" s="25"/>
    </row>
    <row r="269" spans="1:21">
      <c r="A269" s="22">
        <f t="shared" si="16"/>
        <v>0</v>
      </c>
      <c r="B269" s="9"/>
      <c r="C269" s="24"/>
      <c r="D269" s="25"/>
      <c r="E269" s="24"/>
      <c r="F269" s="26"/>
      <c r="G269" s="24"/>
      <c r="H269" s="25"/>
      <c r="I269" s="24"/>
      <c r="J269" s="25"/>
      <c r="K269" s="24"/>
      <c r="L269" s="25"/>
      <c r="M269" s="25"/>
      <c r="N269" s="25"/>
      <c r="O269" s="25"/>
      <c r="P269" s="24"/>
      <c r="Q269" s="25"/>
      <c r="R269" s="24"/>
      <c r="S269" s="26"/>
      <c r="T269" s="25"/>
      <c r="U269" s="25"/>
    </row>
    <row r="270" spans="1:21">
      <c r="A270" s="22">
        <f t="shared" ref="A270:A277" si="17">+INT(B270)</f>
        <v>0</v>
      </c>
      <c r="B270" s="9"/>
      <c r="C270" s="24"/>
      <c r="D270" s="25"/>
      <c r="E270" s="24"/>
      <c r="F270" s="26"/>
      <c r="G270" s="24"/>
      <c r="H270" s="25"/>
      <c r="I270" s="24"/>
      <c r="J270" s="25"/>
      <c r="K270" s="24"/>
      <c r="L270" s="25"/>
      <c r="M270" s="25"/>
      <c r="N270" s="25"/>
      <c r="O270" s="25"/>
      <c r="P270" s="24"/>
      <c r="Q270" s="25"/>
      <c r="R270" s="24"/>
      <c r="S270" s="26"/>
      <c r="T270" s="25"/>
      <c r="U270" s="25"/>
    </row>
    <row r="271" spans="1:21">
      <c r="A271" s="22">
        <f t="shared" si="17"/>
        <v>0</v>
      </c>
      <c r="B271" s="9"/>
      <c r="C271" s="24"/>
      <c r="D271" s="25"/>
      <c r="E271" s="24"/>
      <c r="F271" s="26"/>
      <c r="G271" s="24"/>
      <c r="H271" s="25"/>
      <c r="I271" s="24"/>
      <c r="J271" s="25"/>
      <c r="K271" s="24"/>
      <c r="L271" s="25"/>
      <c r="M271" s="25"/>
      <c r="N271" s="25"/>
      <c r="O271" s="25"/>
      <c r="P271" s="24"/>
      <c r="Q271" s="25"/>
      <c r="R271" s="24"/>
      <c r="S271" s="26"/>
      <c r="T271" s="25"/>
      <c r="U271" s="25"/>
    </row>
    <row r="272" spans="1:21">
      <c r="A272" s="22">
        <f t="shared" si="17"/>
        <v>0</v>
      </c>
      <c r="B272" s="9"/>
      <c r="C272" s="24"/>
      <c r="D272" s="25"/>
      <c r="E272" s="24"/>
      <c r="F272" s="26"/>
      <c r="G272" s="24"/>
      <c r="H272" s="25"/>
      <c r="I272" s="24"/>
      <c r="J272" s="25"/>
      <c r="K272" s="24"/>
      <c r="L272" s="25"/>
      <c r="M272" s="25"/>
      <c r="N272" s="25"/>
      <c r="O272" s="25"/>
      <c r="P272" s="24"/>
      <c r="Q272" s="25"/>
      <c r="R272" s="24"/>
      <c r="S272" s="26"/>
      <c r="T272" s="25"/>
      <c r="U272" s="25"/>
    </row>
    <row r="273" spans="1:21">
      <c r="A273" s="22">
        <f t="shared" si="17"/>
        <v>0</v>
      </c>
      <c r="B273" s="9"/>
      <c r="C273" s="24"/>
      <c r="D273" s="25"/>
      <c r="E273" s="24"/>
      <c r="F273" s="26"/>
      <c r="G273" s="24"/>
      <c r="H273" s="25"/>
      <c r="I273" s="24"/>
      <c r="J273" s="25"/>
      <c r="K273" s="24"/>
      <c r="L273" s="25"/>
      <c r="M273" s="25"/>
      <c r="N273" s="25"/>
      <c r="O273" s="25"/>
      <c r="P273" s="24"/>
      <c r="Q273" s="25"/>
      <c r="R273" s="24"/>
      <c r="S273" s="26"/>
      <c r="T273" s="25"/>
      <c r="U273" s="25"/>
    </row>
    <row r="274" spans="1:21">
      <c r="A274" s="22">
        <f t="shared" si="17"/>
        <v>0</v>
      </c>
      <c r="B274" s="9"/>
      <c r="C274" s="24"/>
      <c r="D274" s="25"/>
      <c r="E274" s="24"/>
      <c r="F274" s="26"/>
      <c r="G274" s="24"/>
      <c r="H274" s="25"/>
      <c r="I274" s="24"/>
      <c r="J274" s="25"/>
      <c r="K274" s="24"/>
      <c r="L274" s="25"/>
      <c r="M274" s="25"/>
      <c r="N274" s="25"/>
      <c r="O274" s="25"/>
      <c r="P274" s="24"/>
      <c r="Q274" s="25"/>
      <c r="R274" s="24"/>
      <c r="S274" s="26"/>
      <c r="T274" s="25"/>
      <c r="U274" s="25"/>
    </row>
    <row r="275" spans="1:21">
      <c r="A275" s="22">
        <f t="shared" si="17"/>
        <v>0</v>
      </c>
      <c r="B275" s="9"/>
      <c r="C275" s="24"/>
      <c r="D275" s="25"/>
      <c r="E275" s="24"/>
      <c r="F275" s="26"/>
      <c r="G275" s="24"/>
      <c r="H275" s="25"/>
      <c r="I275" s="24"/>
      <c r="J275" s="25"/>
      <c r="K275" s="24"/>
      <c r="L275" s="25"/>
      <c r="M275" s="25"/>
      <c r="N275" s="25"/>
      <c r="O275" s="25"/>
      <c r="P275" s="24"/>
      <c r="Q275" s="25"/>
      <c r="R275" s="24"/>
      <c r="S275" s="26"/>
      <c r="T275" s="25"/>
      <c r="U275" s="25"/>
    </row>
    <row r="276" spans="1:21">
      <c r="A276" s="22">
        <f t="shared" si="17"/>
        <v>0</v>
      </c>
      <c r="B276" s="9"/>
      <c r="C276" s="24"/>
      <c r="D276" s="25"/>
      <c r="E276" s="24"/>
      <c r="F276" s="26"/>
      <c r="G276" s="24"/>
      <c r="H276" s="25"/>
      <c r="I276" s="24"/>
      <c r="J276" s="25"/>
      <c r="K276" s="24"/>
      <c r="L276" s="25"/>
      <c r="M276" s="25"/>
      <c r="N276" s="25"/>
      <c r="O276" s="25"/>
      <c r="P276" s="24"/>
      <c r="Q276" s="25"/>
      <c r="R276" s="24"/>
      <c r="S276" s="26"/>
      <c r="T276" s="25"/>
      <c r="U276" s="25"/>
    </row>
    <row r="277" spans="1:21">
      <c r="A277" s="22">
        <f t="shared" si="17"/>
        <v>0</v>
      </c>
      <c r="B277" s="9"/>
      <c r="C277" s="24"/>
      <c r="D277" s="25"/>
      <c r="E277" s="24"/>
      <c r="F277" s="26"/>
      <c r="G277" s="24"/>
      <c r="H277" s="25"/>
      <c r="I277" s="24"/>
      <c r="J277" s="25"/>
      <c r="K277" s="24"/>
      <c r="L277" s="25"/>
      <c r="M277" s="25"/>
      <c r="N277" s="25"/>
      <c r="O277" s="25"/>
      <c r="P277" s="24"/>
      <c r="Q277" s="25"/>
      <c r="R277" s="24"/>
      <c r="S277" s="26"/>
      <c r="T277" s="25"/>
      <c r="U277" s="25"/>
    </row>
    <row r="278" spans="1:21">
      <c r="B278" s="9"/>
      <c r="C278" s="24"/>
      <c r="D278" s="25"/>
      <c r="E278" s="24"/>
      <c r="F278" s="26"/>
      <c r="G278" s="24"/>
      <c r="H278" s="25"/>
      <c r="I278" s="24"/>
      <c r="J278" s="25"/>
      <c r="K278" s="24"/>
      <c r="L278" s="25"/>
      <c r="M278" s="25"/>
      <c r="N278" s="25"/>
      <c r="O278" s="25"/>
      <c r="P278" s="24"/>
      <c r="Q278" s="25"/>
      <c r="R278" s="24"/>
      <c r="S278" s="26"/>
      <c r="T278" s="25"/>
      <c r="U278" s="25"/>
    </row>
    <row r="279" spans="1:21">
      <c r="B279" s="9"/>
      <c r="C279" s="24"/>
      <c r="D279" s="25"/>
      <c r="E279" s="24"/>
      <c r="F279" s="26"/>
      <c r="G279" s="24"/>
      <c r="H279" s="25"/>
      <c r="I279" s="24"/>
      <c r="J279" s="25"/>
      <c r="K279" s="24"/>
      <c r="L279" s="25"/>
      <c r="M279" s="25"/>
      <c r="N279" s="25"/>
      <c r="O279" s="25"/>
      <c r="P279" s="24"/>
      <c r="Q279" s="25"/>
      <c r="R279" s="24"/>
      <c r="S279" s="26"/>
      <c r="T279" s="25"/>
      <c r="U279" s="25"/>
    </row>
    <row r="280" spans="1:21">
      <c r="B280" s="9"/>
      <c r="C280" s="24"/>
      <c r="D280" s="25"/>
      <c r="E280" s="24"/>
      <c r="F280" s="26"/>
      <c r="G280" s="24"/>
      <c r="H280" s="25"/>
      <c r="I280" s="24"/>
      <c r="J280" s="25"/>
      <c r="K280" s="24"/>
      <c r="L280" s="25"/>
      <c r="M280" s="25"/>
      <c r="N280" s="25"/>
      <c r="O280" s="25"/>
      <c r="P280" s="24"/>
      <c r="Q280" s="25"/>
      <c r="R280" s="24"/>
      <c r="S280" s="26"/>
      <c r="T280" s="25"/>
      <c r="U280" s="25"/>
    </row>
    <row r="281" spans="1:21">
      <c r="B281" s="9"/>
      <c r="C281" s="24"/>
      <c r="D281" s="25"/>
      <c r="E281" s="24"/>
      <c r="F281" s="26"/>
      <c r="G281" s="24"/>
      <c r="H281" s="25"/>
      <c r="I281" s="24"/>
      <c r="J281" s="25"/>
      <c r="K281" s="24"/>
      <c r="L281" s="25"/>
      <c r="M281" s="25"/>
      <c r="N281" s="25"/>
      <c r="O281" s="25"/>
      <c r="P281" s="24"/>
      <c r="Q281" s="25"/>
      <c r="R281" s="24"/>
      <c r="S281" s="26"/>
      <c r="T281" s="25"/>
      <c r="U281" s="25"/>
    </row>
    <row r="282" spans="1:21">
      <c r="B282" s="9"/>
      <c r="C282" s="24"/>
      <c r="D282" s="25"/>
      <c r="E282" s="24"/>
      <c r="F282" s="26"/>
      <c r="G282" s="24"/>
      <c r="H282" s="25"/>
      <c r="I282" s="24"/>
      <c r="J282" s="25"/>
      <c r="K282" s="24"/>
      <c r="L282" s="25"/>
      <c r="M282" s="25"/>
      <c r="N282" s="25"/>
      <c r="O282" s="25"/>
      <c r="P282" s="24"/>
      <c r="Q282" s="25"/>
      <c r="R282" s="24"/>
      <c r="S282" s="26"/>
      <c r="T282" s="25"/>
      <c r="U282" s="25"/>
    </row>
    <row r="283" spans="1:21">
      <c r="B283" s="9"/>
      <c r="C283" s="24"/>
      <c r="D283" s="25"/>
      <c r="E283" s="24"/>
      <c r="F283" s="26"/>
      <c r="G283" s="24"/>
      <c r="H283" s="25"/>
      <c r="I283" s="24"/>
      <c r="J283" s="25"/>
      <c r="K283" s="24"/>
      <c r="L283" s="25"/>
      <c r="M283" s="25"/>
      <c r="N283" s="25"/>
      <c r="O283" s="25"/>
      <c r="P283" s="24"/>
      <c r="Q283" s="25"/>
      <c r="R283" s="24"/>
      <c r="S283" s="26"/>
      <c r="T283" s="25"/>
      <c r="U283" s="25"/>
    </row>
    <row r="284" spans="1:21">
      <c r="B284" s="9"/>
      <c r="C284" s="24"/>
      <c r="D284" s="25"/>
      <c r="E284" s="24"/>
      <c r="F284" s="26"/>
      <c r="G284" s="24"/>
      <c r="H284" s="25"/>
      <c r="I284" s="24"/>
      <c r="J284" s="25"/>
      <c r="K284" s="24"/>
      <c r="L284" s="25"/>
      <c r="M284" s="25"/>
      <c r="N284" s="25"/>
      <c r="O284" s="25"/>
      <c r="P284" s="24"/>
      <c r="Q284" s="25"/>
      <c r="R284" s="24"/>
      <c r="S284" s="26"/>
      <c r="T284" s="25"/>
      <c r="U284" s="25"/>
    </row>
    <row r="285" spans="1:21">
      <c r="B285" s="9"/>
      <c r="C285" s="24"/>
      <c r="D285" s="25"/>
      <c r="E285" s="24"/>
      <c r="F285" s="26"/>
      <c r="G285" s="24"/>
      <c r="H285" s="25"/>
      <c r="I285" s="24"/>
      <c r="J285" s="25"/>
      <c r="K285" s="24"/>
      <c r="L285" s="25"/>
      <c r="M285" s="25"/>
      <c r="N285" s="25"/>
      <c r="O285" s="25"/>
      <c r="P285" s="24"/>
      <c r="Q285" s="25"/>
      <c r="R285" s="24"/>
      <c r="S285" s="26"/>
      <c r="T285" s="25"/>
      <c r="U285" s="25"/>
    </row>
    <row r="286" spans="1:21">
      <c r="B286" s="9"/>
      <c r="C286" s="24"/>
      <c r="D286" s="25"/>
      <c r="E286" s="24"/>
      <c r="F286" s="26"/>
      <c r="G286" s="24"/>
      <c r="H286" s="25"/>
      <c r="I286" s="24"/>
      <c r="J286" s="25"/>
      <c r="K286" s="24"/>
      <c r="L286" s="25"/>
      <c r="M286" s="25"/>
      <c r="N286" s="25"/>
      <c r="O286" s="25"/>
      <c r="P286" s="24"/>
      <c r="Q286" s="25"/>
      <c r="R286" s="24"/>
      <c r="S286" s="26"/>
      <c r="T286" s="25"/>
      <c r="U286" s="25"/>
    </row>
    <row r="287" spans="1:21">
      <c r="B287" s="9"/>
      <c r="C287" s="24"/>
      <c r="D287" s="25"/>
      <c r="E287" s="24"/>
      <c r="F287" s="26"/>
      <c r="G287" s="24"/>
      <c r="H287" s="25"/>
      <c r="I287" s="24"/>
      <c r="J287" s="25"/>
      <c r="K287" s="24"/>
      <c r="L287" s="25"/>
      <c r="M287" s="25"/>
      <c r="N287" s="25"/>
      <c r="O287" s="25"/>
      <c r="P287" s="24"/>
      <c r="Q287" s="25"/>
      <c r="R287" s="24"/>
      <c r="S287" s="26"/>
      <c r="T287" s="25"/>
      <c r="U287" s="25"/>
    </row>
    <row r="288" spans="1:21">
      <c r="B288" s="9"/>
      <c r="C288" s="24"/>
      <c r="D288" s="25"/>
      <c r="E288" s="24"/>
      <c r="F288" s="26"/>
      <c r="G288" s="24"/>
      <c r="H288" s="25"/>
      <c r="I288" s="24"/>
      <c r="J288" s="25"/>
      <c r="K288" s="24"/>
      <c r="L288" s="25"/>
      <c r="M288" s="25"/>
      <c r="N288" s="25"/>
      <c r="O288" s="25"/>
      <c r="P288" s="24"/>
      <c r="Q288" s="25"/>
      <c r="R288" s="24"/>
      <c r="S288" s="26"/>
      <c r="T288" s="25"/>
      <c r="U288" s="25"/>
    </row>
    <row r="289" spans="2:21">
      <c r="B289" s="9"/>
      <c r="C289" s="24"/>
      <c r="D289" s="25"/>
      <c r="E289" s="24"/>
      <c r="F289" s="26"/>
      <c r="G289" s="24"/>
      <c r="H289" s="25"/>
      <c r="I289" s="24"/>
      <c r="J289" s="25"/>
      <c r="K289" s="24"/>
      <c r="L289" s="25"/>
      <c r="M289" s="25"/>
      <c r="N289" s="25"/>
      <c r="O289" s="25"/>
      <c r="P289" s="24"/>
      <c r="Q289" s="25"/>
      <c r="R289" s="24"/>
      <c r="S289" s="26"/>
      <c r="T289" s="25"/>
      <c r="U289" s="25"/>
    </row>
    <row r="290" spans="2:21">
      <c r="B290" s="9"/>
      <c r="C290" s="24"/>
      <c r="D290" s="25"/>
      <c r="E290" s="24"/>
      <c r="F290" s="26"/>
      <c r="G290" s="24"/>
      <c r="H290" s="25"/>
      <c r="I290" s="24"/>
      <c r="J290" s="25"/>
      <c r="K290" s="24"/>
      <c r="L290" s="25"/>
      <c r="M290" s="25"/>
      <c r="N290" s="25"/>
      <c r="O290" s="25"/>
      <c r="P290" s="24"/>
      <c r="Q290" s="25"/>
      <c r="R290" s="24"/>
      <c r="S290" s="26"/>
      <c r="T290" s="25"/>
      <c r="U290" s="25"/>
    </row>
    <row r="291" spans="2:21">
      <c r="B291" s="9"/>
      <c r="C291" s="24"/>
      <c r="D291" s="25"/>
      <c r="E291" s="24"/>
      <c r="F291" s="26"/>
      <c r="G291" s="24"/>
      <c r="H291" s="25"/>
      <c r="I291" s="24"/>
      <c r="J291" s="25"/>
      <c r="K291" s="24"/>
      <c r="L291" s="25"/>
      <c r="M291" s="25"/>
      <c r="N291" s="25"/>
      <c r="O291" s="25"/>
      <c r="P291" s="24"/>
      <c r="Q291" s="25"/>
      <c r="R291" s="24"/>
      <c r="S291" s="26"/>
      <c r="T291" s="25"/>
      <c r="U291" s="25"/>
    </row>
    <row r="292" spans="2:21">
      <c r="B292" s="9"/>
      <c r="C292" s="24"/>
      <c r="D292" s="25"/>
      <c r="E292" s="24"/>
      <c r="F292" s="26"/>
      <c r="G292" s="24"/>
      <c r="H292" s="25"/>
      <c r="I292" s="24"/>
      <c r="J292" s="25"/>
      <c r="K292" s="24"/>
      <c r="L292" s="25"/>
      <c r="M292" s="25"/>
      <c r="N292" s="25"/>
      <c r="O292" s="25"/>
      <c r="P292" s="24"/>
      <c r="Q292" s="25"/>
      <c r="R292" s="24"/>
      <c r="S292" s="26"/>
      <c r="T292" s="25"/>
      <c r="U292" s="25"/>
    </row>
    <row r="293" spans="2:21">
      <c r="B293" s="9"/>
      <c r="C293" s="24"/>
      <c r="D293" s="25"/>
      <c r="E293" s="24"/>
      <c r="F293" s="26"/>
      <c r="G293" s="24"/>
      <c r="H293" s="25"/>
      <c r="I293" s="24"/>
      <c r="J293" s="25"/>
      <c r="K293" s="24"/>
      <c r="L293" s="25"/>
      <c r="M293" s="25"/>
      <c r="N293" s="25"/>
      <c r="O293" s="25"/>
      <c r="P293" s="24"/>
      <c r="Q293" s="25"/>
      <c r="R293" s="24"/>
      <c r="S293" s="26"/>
      <c r="T293" s="25"/>
      <c r="U293" s="25"/>
    </row>
    <row r="294" spans="2:21">
      <c r="B294" s="9"/>
      <c r="C294" s="24"/>
      <c r="D294" s="25"/>
      <c r="E294" s="24"/>
      <c r="F294" s="26"/>
      <c r="G294" s="24"/>
      <c r="H294" s="25"/>
      <c r="I294" s="24"/>
      <c r="J294" s="25"/>
      <c r="K294" s="24"/>
      <c r="L294" s="25"/>
      <c r="M294" s="25"/>
      <c r="N294" s="25"/>
      <c r="O294" s="25"/>
      <c r="P294" s="24"/>
      <c r="Q294" s="25"/>
      <c r="R294" s="24"/>
      <c r="S294" s="26"/>
      <c r="T294" s="25"/>
      <c r="U294" s="25"/>
    </row>
    <row r="295" spans="2:21">
      <c r="B295" s="9"/>
      <c r="C295" s="24"/>
      <c r="D295" s="25"/>
      <c r="E295" s="24"/>
      <c r="F295" s="26"/>
      <c r="G295" s="24"/>
      <c r="H295" s="25"/>
      <c r="I295" s="24"/>
      <c r="J295" s="25"/>
      <c r="K295" s="24"/>
      <c r="L295" s="25"/>
      <c r="M295" s="25"/>
      <c r="N295" s="25"/>
      <c r="O295" s="25"/>
      <c r="P295" s="24"/>
      <c r="Q295" s="25"/>
      <c r="R295" s="24"/>
      <c r="S295" s="26"/>
      <c r="T295" s="25"/>
      <c r="U295" s="25"/>
    </row>
    <row r="296" spans="2:21">
      <c r="B296" s="9"/>
      <c r="C296" s="24"/>
      <c r="D296" s="25"/>
      <c r="E296" s="24"/>
      <c r="F296" s="26"/>
      <c r="G296" s="24"/>
      <c r="H296" s="25"/>
      <c r="I296" s="24"/>
      <c r="J296" s="25"/>
      <c r="K296" s="24"/>
      <c r="L296" s="25"/>
      <c r="M296" s="25"/>
      <c r="N296" s="25"/>
      <c r="O296" s="25"/>
      <c r="P296" s="24"/>
      <c r="Q296" s="25"/>
      <c r="R296" s="24"/>
      <c r="S296" s="26"/>
      <c r="T296" s="25"/>
      <c r="U296" s="25"/>
    </row>
    <row r="297" spans="2:21">
      <c r="B297" s="9"/>
      <c r="C297" s="24"/>
      <c r="D297" s="25"/>
      <c r="E297" s="24"/>
      <c r="F297" s="26"/>
      <c r="G297" s="24"/>
      <c r="H297" s="25"/>
      <c r="I297" s="24"/>
      <c r="J297" s="25"/>
      <c r="K297" s="24"/>
      <c r="L297" s="25"/>
      <c r="M297" s="25"/>
      <c r="N297" s="25"/>
      <c r="O297" s="25"/>
      <c r="P297" s="24"/>
      <c r="Q297" s="25"/>
      <c r="R297" s="24"/>
      <c r="S297" s="26"/>
      <c r="T297" s="25"/>
      <c r="U297" s="25"/>
    </row>
    <row r="298" spans="2:21">
      <c r="B298" s="9"/>
      <c r="C298" s="24"/>
      <c r="D298" s="25"/>
      <c r="E298" s="24"/>
      <c r="F298" s="26"/>
      <c r="G298" s="24"/>
      <c r="H298" s="25"/>
      <c r="I298" s="24"/>
      <c r="J298" s="25"/>
      <c r="K298" s="24"/>
      <c r="L298" s="25"/>
      <c r="M298" s="25"/>
      <c r="N298" s="25"/>
      <c r="O298" s="25"/>
      <c r="P298" s="24"/>
      <c r="Q298" s="25"/>
      <c r="R298" s="24"/>
      <c r="S298" s="26"/>
      <c r="T298" s="25"/>
      <c r="U298" s="25"/>
    </row>
    <row r="299" spans="2:21">
      <c r="B299" s="9"/>
      <c r="C299" s="24"/>
      <c r="D299" s="25"/>
      <c r="E299" s="24"/>
      <c r="F299" s="26"/>
      <c r="G299" s="24"/>
      <c r="H299" s="25"/>
      <c r="I299" s="24"/>
      <c r="J299" s="25"/>
      <c r="K299" s="24"/>
      <c r="L299" s="25"/>
      <c r="M299" s="25"/>
      <c r="N299" s="25"/>
      <c r="O299" s="25"/>
      <c r="P299" s="24"/>
      <c r="Q299" s="25"/>
      <c r="R299" s="24"/>
      <c r="S299" s="26"/>
      <c r="T299" s="25"/>
      <c r="U299" s="25"/>
    </row>
    <row r="300" spans="2:21">
      <c r="B300" s="9"/>
      <c r="C300" s="24"/>
      <c r="D300" s="25"/>
      <c r="E300" s="24"/>
      <c r="F300" s="26"/>
      <c r="G300" s="24"/>
      <c r="H300" s="25"/>
      <c r="I300" s="24"/>
      <c r="J300" s="25"/>
      <c r="K300" s="24"/>
      <c r="L300" s="25"/>
      <c r="M300" s="25"/>
      <c r="N300" s="25"/>
      <c r="O300" s="25"/>
      <c r="P300" s="24"/>
      <c r="Q300" s="25"/>
      <c r="R300" s="24"/>
      <c r="S300" s="26"/>
      <c r="T300" s="25"/>
      <c r="U300" s="25"/>
    </row>
    <row r="301" spans="2:21">
      <c r="B301" s="9"/>
      <c r="C301" s="24"/>
      <c r="D301" s="25"/>
      <c r="E301" s="24"/>
      <c r="F301" s="26"/>
      <c r="G301" s="24"/>
      <c r="H301" s="25"/>
      <c r="I301" s="24"/>
      <c r="J301" s="25"/>
      <c r="K301" s="24"/>
      <c r="L301" s="25"/>
      <c r="M301" s="25"/>
      <c r="N301" s="25"/>
      <c r="O301" s="25"/>
      <c r="P301" s="24"/>
      <c r="Q301" s="25"/>
      <c r="R301" s="24"/>
      <c r="S301" s="26"/>
      <c r="T301" s="25"/>
      <c r="U301" s="25"/>
    </row>
    <row r="302" spans="2:21">
      <c r="B302" s="9"/>
      <c r="C302" s="24"/>
      <c r="D302" s="25"/>
      <c r="E302" s="24"/>
      <c r="F302" s="26"/>
      <c r="G302" s="24"/>
      <c r="H302" s="25"/>
      <c r="I302" s="24"/>
      <c r="J302" s="25"/>
      <c r="K302" s="24"/>
      <c r="L302" s="25"/>
      <c r="M302" s="25"/>
      <c r="N302" s="25"/>
      <c r="O302" s="25"/>
      <c r="P302" s="24"/>
      <c r="Q302" s="25"/>
      <c r="R302" s="24"/>
      <c r="S302" s="26"/>
      <c r="T302" s="25"/>
      <c r="U302" s="25"/>
    </row>
    <row r="303" spans="2:21">
      <c r="B303" s="9"/>
      <c r="C303" s="24"/>
      <c r="D303" s="25"/>
      <c r="E303" s="24"/>
      <c r="F303" s="26"/>
      <c r="G303" s="24"/>
      <c r="H303" s="25"/>
      <c r="I303" s="24"/>
      <c r="J303" s="25"/>
      <c r="K303" s="24"/>
      <c r="L303" s="25"/>
      <c r="M303" s="25"/>
      <c r="N303" s="25"/>
      <c r="O303" s="25"/>
      <c r="P303" s="24"/>
      <c r="Q303" s="25"/>
      <c r="R303" s="24"/>
      <c r="S303" s="26"/>
      <c r="T303" s="25"/>
      <c r="U303" s="25"/>
    </row>
    <row r="304" spans="2:21">
      <c r="B304" s="9"/>
      <c r="C304" s="24"/>
      <c r="D304" s="25"/>
      <c r="E304" s="24"/>
      <c r="F304" s="26"/>
      <c r="G304" s="24"/>
      <c r="H304" s="25"/>
      <c r="I304" s="24"/>
      <c r="J304" s="25"/>
      <c r="K304" s="24"/>
      <c r="L304" s="25"/>
      <c r="M304" s="25"/>
      <c r="N304" s="25"/>
      <c r="O304" s="25"/>
      <c r="P304" s="24"/>
      <c r="Q304" s="25"/>
      <c r="R304" s="24"/>
      <c r="S304" s="26"/>
      <c r="T304" s="25"/>
      <c r="U304" s="25"/>
    </row>
    <row r="305" spans="2:21">
      <c r="B305" s="9"/>
      <c r="C305" s="24"/>
      <c r="D305" s="25"/>
      <c r="E305" s="24"/>
      <c r="F305" s="26"/>
      <c r="G305" s="24"/>
      <c r="H305" s="25"/>
      <c r="I305" s="24"/>
      <c r="J305" s="25"/>
      <c r="K305" s="24"/>
      <c r="L305" s="25"/>
      <c r="M305" s="25"/>
      <c r="N305" s="25"/>
      <c r="O305" s="25"/>
      <c r="P305" s="24"/>
      <c r="Q305" s="25"/>
      <c r="R305" s="24"/>
      <c r="S305" s="26"/>
      <c r="T305" s="25"/>
      <c r="U305" s="25"/>
    </row>
    <row r="306" spans="2:21">
      <c r="B306" s="9"/>
      <c r="C306" s="24"/>
      <c r="D306" s="25"/>
      <c r="E306" s="24"/>
      <c r="F306" s="26"/>
      <c r="G306" s="24"/>
      <c r="H306" s="25"/>
      <c r="I306" s="24"/>
      <c r="J306" s="25"/>
      <c r="K306" s="24"/>
      <c r="L306" s="25"/>
      <c r="M306" s="25"/>
      <c r="N306" s="25"/>
      <c r="O306" s="25"/>
      <c r="P306" s="24"/>
      <c r="Q306" s="25"/>
      <c r="R306" s="24"/>
      <c r="S306" s="26"/>
      <c r="T306" s="25"/>
      <c r="U306" s="25"/>
    </row>
    <row r="307" spans="2:21">
      <c r="B307" s="9"/>
      <c r="C307" s="24"/>
      <c r="D307" s="25"/>
      <c r="E307" s="24"/>
      <c r="F307" s="26"/>
      <c r="G307" s="24"/>
      <c r="H307" s="25"/>
      <c r="I307" s="24"/>
      <c r="J307" s="25"/>
      <c r="K307" s="24"/>
      <c r="L307" s="25"/>
      <c r="M307" s="25"/>
      <c r="N307" s="25"/>
      <c r="O307" s="25"/>
      <c r="P307" s="24"/>
      <c r="Q307" s="25"/>
      <c r="R307" s="24"/>
      <c r="S307" s="26"/>
      <c r="T307" s="25"/>
      <c r="U307" s="25"/>
    </row>
    <row r="308" spans="2:21">
      <c r="B308" s="9"/>
      <c r="C308" s="24"/>
      <c r="D308" s="25"/>
      <c r="E308" s="24"/>
      <c r="F308" s="26"/>
      <c r="G308" s="24"/>
      <c r="H308" s="25"/>
      <c r="I308" s="24"/>
      <c r="J308" s="25"/>
      <c r="K308" s="24"/>
      <c r="L308" s="25"/>
      <c r="M308" s="25"/>
      <c r="N308" s="25"/>
      <c r="O308" s="25"/>
      <c r="P308" s="24"/>
      <c r="Q308" s="25"/>
      <c r="R308" s="24"/>
      <c r="S308" s="26"/>
      <c r="T308" s="25"/>
      <c r="U308" s="25"/>
    </row>
    <row r="309" spans="2:21">
      <c r="B309" s="9"/>
      <c r="C309" s="24"/>
      <c r="D309" s="25"/>
      <c r="E309" s="24"/>
      <c r="F309" s="26"/>
      <c r="G309" s="24"/>
      <c r="H309" s="25"/>
      <c r="I309" s="24"/>
      <c r="J309" s="25"/>
      <c r="K309" s="24"/>
      <c r="L309" s="25"/>
      <c r="M309" s="25"/>
      <c r="N309" s="25"/>
      <c r="O309" s="25"/>
      <c r="P309" s="24"/>
      <c r="Q309" s="25"/>
      <c r="R309" s="24"/>
      <c r="S309" s="26"/>
      <c r="T309" s="25"/>
      <c r="U309" s="25"/>
    </row>
    <row r="310" spans="2:21">
      <c r="B310" s="9"/>
      <c r="C310" s="24"/>
      <c r="D310" s="25"/>
      <c r="E310" s="24"/>
      <c r="F310" s="26"/>
      <c r="G310" s="24"/>
      <c r="H310" s="25"/>
      <c r="I310" s="24"/>
      <c r="J310" s="25"/>
      <c r="K310" s="24"/>
      <c r="L310" s="25"/>
      <c r="M310" s="25"/>
      <c r="N310" s="25"/>
      <c r="O310" s="25"/>
      <c r="P310" s="24"/>
      <c r="Q310" s="25"/>
      <c r="R310" s="24"/>
      <c r="S310" s="26"/>
      <c r="T310" s="25"/>
      <c r="U310" s="25"/>
    </row>
    <row r="311" spans="2:21">
      <c r="B311" s="9"/>
      <c r="C311" s="24"/>
      <c r="D311" s="25"/>
      <c r="E311" s="24"/>
      <c r="F311" s="26"/>
      <c r="G311" s="24"/>
      <c r="H311" s="25"/>
      <c r="I311" s="24"/>
      <c r="J311" s="25"/>
      <c r="K311" s="24"/>
      <c r="L311" s="25"/>
      <c r="M311" s="25"/>
      <c r="N311" s="25"/>
      <c r="O311" s="25"/>
      <c r="P311" s="24"/>
      <c r="Q311" s="25"/>
      <c r="R311" s="24"/>
      <c r="S311" s="26"/>
      <c r="T311" s="25"/>
      <c r="U311" s="25"/>
    </row>
    <row r="312" spans="2:21">
      <c r="B312" s="9"/>
      <c r="C312" s="24"/>
      <c r="D312" s="25"/>
      <c r="E312" s="24"/>
      <c r="F312" s="26"/>
      <c r="G312" s="24"/>
      <c r="H312" s="25"/>
      <c r="I312" s="24"/>
      <c r="J312" s="25"/>
      <c r="K312" s="24"/>
      <c r="L312" s="25"/>
      <c r="M312" s="25"/>
      <c r="N312" s="25"/>
      <c r="O312" s="25"/>
      <c r="P312" s="24"/>
      <c r="Q312" s="25"/>
      <c r="R312" s="24"/>
      <c r="S312" s="26"/>
      <c r="T312" s="25"/>
      <c r="U312" s="25"/>
    </row>
    <row r="313" spans="2:21">
      <c r="B313" s="9"/>
      <c r="C313" s="24"/>
      <c r="D313" s="25"/>
      <c r="E313" s="24"/>
      <c r="F313" s="26"/>
      <c r="G313" s="24"/>
      <c r="H313" s="25"/>
      <c r="I313" s="24"/>
      <c r="J313" s="25"/>
      <c r="K313" s="24"/>
      <c r="L313" s="25"/>
      <c r="M313" s="25"/>
      <c r="N313" s="25"/>
      <c r="O313" s="25"/>
      <c r="P313" s="24"/>
      <c r="Q313" s="25"/>
      <c r="R313" s="24"/>
      <c r="S313" s="26"/>
      <c r="T313" s="25"/>
      <c r="U313" s="25"/>
    </row>
    <row r="314" spans="2:21">
      <c r="B314" s="9"/>
      <c r="C314" s="24"/>
      <c r="D314" s="25"/>
      <c r="E314" s="24"/>
      <c r="F314" s="26"/>
      <c r="G314" s="24"/>
      <c r="H314" s="25"/>
      <c r="I314" s="24"/>
      <c r="J314" s="25"/>
      <c r="K314" s="24"/>
      <c r="L314" s="25"/>
      <c r="M314" s="25"/>
      <c r="N314" s="25"/>
      <c r="O314" s="25"/>
      <c r="P314" s="24"/>
      <c r="Q314" s="25"/>
      <c r="R314" s="24"/>
      <c r="S314" s="26"/>
      <c r="T314" s="25"/>
      <c r="U314" s="25"/>
    </row>
    <row r="315" spans="2:21">
      <c r="B315" s="9"/>
      <c r="C315" s="24"/>
      <c r="D315" s="25"/>
      <c r="E315" s="24"/>
      <c r="F315" s="26"/>
      <c r="G315" s="24"/>
      <c r="H315" s="25"/>
      <c r="I315" s="24"/>
      <c r="J315" s="25"/>
      <c r="K315" s="24"/>
      <c r="L315" s="25"/>
      <c r="M315" s="25"/>
      <c r="N315" s="25"/>
      <c r="O315" s="25"/>
      <c r="P315" s="24"/>
      <c r="Q315" s="25"/>
      <c r="R315" s="24"/>
      <c r="S315" s="26"/>
      <c r="T315" s="25"/>
      <c r="U315" s="25"/>
    </row>
    <row r="316" spans="2:21">
      <c r="B316" s="9"/>
      <c r="C316" s="24"/>
      <c r="D316" s="25"/>
      <c r="E316" s="24"/>
      <c r="F316" s="26"/>
      <c r="G316" s="24"/>
      <c r="H316" s="25"/>
      <c r="I316" s="24"/>
      <c r="J316" s="25"/>
      <c r="K316" s="24"/>
      <c r="L316" s="25"/>
      <c r="M316" s="25"/>
      <c r="N316" s="25"/>
      <c r="O316" s="25"/>
      <c r="P316" s="24"/>
      <c r="Q316" s="25"/>
      <c r="R316" s="24"/>
      <c r="S316" s="26"/>
      <c r="T316" s="25"/>
      <c r="U316" s="25"/>
    </row>
    <row r="317" spans="2:21">
      <c r="B317" s="9"/>
      <c r="C317" s="24"/>
      <c r="D317" s="25"/>
      <c r="E317" s="24"/>
      <c r="F317" s="26"/>
      <c r="G317" s="24"/>
      <c r="H317" s="25"/>
      <c r="I317" s="24"/>
      <c r="J317" s="25"/>
      <c r="K317" s="24"/>
      <c r="L317" s="25"/>
      <c r="M317" s="25"/>
      <c r="N317" s="25"/>
      <c r="O317" s="25"/>
      <c r="P317" s="24"/>
      <c r="Q317" s="25"/>
      <c r="R317" s="24"/>
      <c r="S317" s="26"/>
      <c r="T317" s="25"/>
      <c r="U317" s="25"/>
    </row>
    <row r="318" spans="2:21">
      <c r="B318" s="9"/>
      <c r="C318" s="24"/>
      <c r="D318" s="25"/>
      <c r="E318" s="24"/>
      <c r="F318" s="26"/>
      <c r="G318" s="24"/>
      <c r="H318" s="25"/>
      <c r="I318" s="24"/>
      <c r="J318" s="25"/>
      <c r="K318" s="24"/>
      <c r="L318" s="25"/>
      <c r="M318" s="25"/>
      <c r="N318" s="25"/>
      <c r="O318" s="25"/>
      <c r="P318" s="24"/>
      <c r="Q318" s="25"/>
      <c r="R318" s="24"/>
      <c r="S318" s="26"/>
      <c r="T318" s="25"/>
      <c r="U318" s="25"/>
    </row>
    <row r="319" spans="2:21">
      <c r="B319" s="9"/>
      <c r="C319" s="24"/>
      <c r="D319" s="25"/>
      <c r="E319" s="24"/>
      <c r="F319" s="26"/>
      <c r="G319" s="24"/>
      <c r="H319" s="25"/>
      <c r="I319" s="24"/>
      <c r="J319" s="25"/>
      <c r="K319" s="24"/>
      <c r="L319" s="25"/>
      <c r="M319" s="25"/>
      <c r="N319" s="25"/>
      <c r="O319" s="25"/>
      <c r="P319" s="24"/>
      <c r="Q319" s="25"/>
      <c r="R319" s="24"/>
      <c r="S319" s="26"/>
      <c r="T319" s="25"/>
      <c r="U319" s="25"/>
    </row>
    <row r="320" spans="2:21">
      <c r="B320" s="9"/>
      <c r="C320" s="24"/>
      <c r="D320" s="25"/>
      <c r="E320" s="24"/>
      <c r="F320" s="26"/>
      <c r="G320" s="24"/>
      <c r="H320" s="25"/>
      <c r="I320" s="24"/>
      <c r="J320" s="25"/>
      <c r="K320" s="24"/>
      <c r="L320" s="25"/>
      <c r="M320" s="25"/>
      <c r="N320" s="25"/>
      <c r="O320" s="25"/>
      <c r="P320" s="24"/>
      <c r="Q320" s="25"/>
      <c r="R320" s="24"/>
      <c r="S320" s="26"/>
      <c r="T320" s="25"/>
      <c r="U320" s="25"/>
    </row>
    <row r="321" spans="2:21">
      <c r="B321" s="9"/>
      <c r="C321" s="24"/>
      <c r="D321" s="25"/>
      <c r="E321" s="24"/>
      <c r="F321" s="26"/>
      <c r="G321" s="24"/>
      <c r="H321" s="25"/>
      <c r="I321" s="24"/>
      <c r="J321" s="25"/>
      <c r="K321" s="24"/>
      <c r="L321" s="25"/>
      <c r="M321" s="25"/>
      <c r="N321" s="25"/>
      <c r="O321" s="25"/>
      <c r="P321" s="24"/>
      <c r="Q321" s="25"/>
      <c r="R321" s="24"/>
      <c r="S321" s="26"/>
      <c r="T321" s="25"/>
      <c r="U321" s="25"/>
    </row>
    <row r="322" spans="2:21">
      <c r="B322" s="9"/>
      <c r="C322" s="24"/>
      <c r="D322" s="25"/>
      <c r="E322" s="24"/>
      <c r="F322" s="26"/>
      <c r="G322" s="24"/>
      <c r="H322" s="25"/>
      <c r="I322" s="24"/>
      <c r="J322" s="25"/>
      <c r="K322" s="24"/>
      <c r="L322" s="25"/>
      <c r="M322" s="25"/>
      <c r="N322" s="25"/>
      <c r="O322" s="25"/>
      <c r="P322" s="24"/>
      <c r="Q322" s="25"/>
      <c r="R322" s="24"/>
      <c r="S322" s="26"/>
      <c r="T322" s="25"/>
      <c r="U322" s="25"/>
    </row>
    <row r="323" spans="2:21">
      <c r="B323" s="9"/>
      <c r="C323" s="24"/>
      <c r="D323" s="25"/>
      <c r="E323" s="24"/>
      <c r="F323" s="26"/>
      <c r="G323" s="24"/>
      <c r="H323" s="25"/>
      <c r="I323" s="24"/>
      <c r="J323" s="25"/>
      <c r="K323" s="24"/>
      <c r="L323" s="25"/>
      <c r="M323" s="25"/>
      <c r="N323" s="25"/>
      <c r="O323" s="25"/>
      <c r="P323" s="24"/>
      <c r="Q323" s="25"/>
      <c r="R323" s="24"/>
      <c r="S323" s="26"/>
      <c r="T323" s="25"/>
      <c r="U323" s="25"/>
    </row>
    <row r="324" spans="2:21">
      <c r="B324" s="9"/>
      <c r="C324" s="24"/>
      <c r="D324" s="25"/>
      <c r="E324" s="24"/>
      <c r="F324" s="26"/>
      <c r="G324" s="24"/>
      <c r="H324" s="25"/>
      <c r="I324" s="24"/>
      <c r="J324" s="25"/>
      <c r="K324" s="24"/>
      <c r="L324" s="25"/>
      <c r="M324" s="25"/>
      <c r="N324" s="25"/>
      <c r="O324" s="25"/>
      <c r="P324" s="24"/>
      <c r="Q324" s="25"/>
      <c r="R324" s="24"/>
      <c r="S324" s="26"/>
      <c r="T324" s="25"/>
      <c r="U324" s="25"/>
    </row>
    <row r="325" spans="2:21">
      <c r="B325" s="9"/>
      <c r="C325" s="24"/>
      <c r="D325" s="25"/>
      <c r="E325" s="24"/>
      <c r="F325" s="26"/>
      <c r="G325" s="24"/>
      <c r="H325" s="25"/>
      <c r="I325" s="24"/>
      <c r="J325" s="25"/>
      <c r="K325" s="24"/>
      <c r="L325" s="25"/>
      <c r="M325" s="25"/>
      <c r="N325" s="25"/>
      <c r="O325" s="25"/>
      <c r="P325" s="24"/>
      <c r="Q325" s="25"/>
      <c r="R325" s="24"/>
      <c r="S325" s="26"/>
      <c r="T325" s="25"/>
      <c r="U325" s="25"/>
    </row>
    <row r="326" spans="2:21">
      <c r="B326" s="9"/>
      <c r="C326" s="24"/>
      <c r="D326" s="25"/>
      <c r="E326" s="24"/>
      <c r="F326" s="26"/>
      <c r="G326" s="24"/>
      <c r="H326" s="25"/>
      <c r="I326" s="24"/>
      <c r="J326" s="25"/>
      <c r="K326" s="24"/>
      <c r="L326" s="25"/>
      <c r="M326" s="25"/>
      <c r="N326" s="25"/>
      <c r="O326" s="25"/>
      <c r="P326" s="24"/>
      <c r="Q326" s="25"/>
      <c r="R326" s="24"/>
      <c r="S326" s="26"/>
      <c r="T326" s="25"/>
      <c r="U326" s="25"/>
    </row>
    <row r="327" spans="2:21">
      <c r="B327" s="9"/>
      <c r="C327" s="24"/>
      <c r="D327" s="25"/>
      <c r="E327" s="24"/>
      <c r="F327" s="26"/>
      <c r="G327" s="24"/>
      <c r="H327" s="25"/>
      <c r="I327" s="24"/>
      <c r="J327" s="25"/>
      <c r="K327" s="24"/>
      <c r="L327" s="25"/>
      <c r="M327" s="25"/>
      <c r="N327" s="25"/>
      <c r="O327" s="25"/>
      <c r="P327" s="24"/>
      <c r="Q327" s="25"/>
      <c r="R327" s="24"/>
      <c r="S327" s="26"/>
      <c r="T327" s="25"/>
      <c r="U327" s="25"/>
    </row>
    <row r="328" spans="2:21">
      <c r="B328" s="9"/>
      <c r="C328" s="24"/>
      <c r="D328" s="25"/>
      <c r="E328" s="24"/>
      <c r="F328" s="26"/>
      <c r="G328" s="24"/>
      <c r="H328" s="25"/>
      <c r="I328" s="24"/>
      <c r="J328" s="25"/>
      <c r="K328" s="24"/>
      <c r="L328" s="25"/>
      <c r="M328" s="25"/>
      <c r="N328" s="25"/>
      <c r="O328" s="25"/>
      <c r="P328" s="24"/>
      <c r="Q328" s="25"/>
      <c r="R328" s="24"/>
      <c r="S328" s="26"/>
      <c r="T328" s="25"/>
      <c r="U328" s="25"/>
    </row>
    <row r="329" spans="2:21">
      <c r="B329" s="9"/>
      <c r="C329" s="24"/>
      <c r="D329" s="25"/>
      <c r="E329" s="24"/>
      <c r="F329" s="26"/>
      <c r="G329" s="24"/>
      <c r="H329" s="25"/>
      <c r="I329" s="24"/>
      <c r="J329" s="25"/>
      <c r="K329" s="24"/>
      <c r="L329" s="25"/>
      <c r="M329" s="25"/>
      <c r="N329" s="25"/>
      <c r="O329" s="25"/>
      <c r="P329" s="24"/>
      <c r="Q329" s="25"/>
      <c r="R329" s="24"/>
      <c r="S329" s="26"/>
      <c r="T329" s="25"/>
      <c r="U329" s="25"/>
    </row>
    <row r="330" spans="2:21">
      <c r="B330" s="9"/>
      <c r="C330" s="24"/>
      <c r="D330" s="25"/>
      <c r="E330" s="24"/>
      <c r="F330" s="26"/>
      <c r="G330" s="24"/>
      <c r="H330" s="25"/>
      <c r="I330" s="24"/>
      <c r="J330" s="25"/>
      <c r="K330" s="24"/>
      <c r="L330" s="25"/>
      <c r="M330" s="25"/>
      <c r="N330" s="25"/>
      <c r="O330" s="25"/>
      <c r="P330" s="24"/>
      <c r="Q330" s="25"/>
      <c r="R330" s="24"/>
      <c r="S330" s="26"/>
      <c r="T330" s="25"/>
      <c r="U330" s="25"/>
    </row>
    <row r="331" spans="2:21">
      <c r="B331" s="9"/>
      <c r="C331" s="24"/>
      <c r="D331" s="25"/>
      <c r="E331" s="24"/>
      <c r="F331" s="26"/>
      <c r="G331" s="24"/>
      <c r="H331" s="25"/>
      <c r="I331" s="24"/>
      <c r="J331" s="25"/>
      <c r="K331" s="24"/>
      <c r="L331" s="25"/>
      <c r="M331" s="25"/>
      <c r="N331" s="25"/>
      <c r="O331" s="25"/>
      <c r="P331" s="24"/>
      <c r="Q331" s="25"/>
      <c r="R331" s="24"/>
      <c r="S331" s="26"/>
      <c r="T331" s="25"/>
      <c r="U331" s="25"/>
    </row>
    <row r="332" spans="2:21">
      <c r="B332" s="9"/>
      <c r="C332" s="24"/>
      <c r="D332" s="25"/>
      <c r="E332" s="24"/>
      <c r="F332" s="26"/>
      <c r="G332" s="24"/>
      <c r="H332" s="25"/>
      <c r="I332" s="24"/>
      <c r="J332" s="25"/>
      <c r="K332" s="24"/>
      <c r="L332" s="25"/>
      <c r="M332" s="25"/>
      <c r="N332" s="25"/>
      <c r="O332" s="25"/>
      <c r="P332" s="24"/>
      <c r="Q332" s="25"/>
      <c r="R332" s="24"/>
      <c r="S332" s="26"/>
      <c r="T332" s="25"/>
      <c r="U332" s="25"/>
    </row>
    <row r="333" spans="2:21">
      <c r="B333" s="9"/>
      <c r="C333" s="24"/>
      <c r="D333" s="25"/>
      <c r="E333" s="24"/>
      <c r="F333" s="26"/>
      <c r="G333" s="24"/>
      <c r="H333" s="25"/>
      <c r="I333" s="24"/>
      <c r="J333" s="25"/>
      <c r="K333" s="24"/>
      <c r="L333" s="25"/>
      <c r="M333" s="25"/>
      <c r="N333" s="25"/>
      <c r="O333" s="25"/>
      <c r="P333" s="24"/>
      <c r="Q333" s="25"/>
      <c r="R333" s="24"/>
      <c r="S333" s="26"/>
      <c r="T333" s="25"/>
      <c r="U333" s="25"/>
    </row>
    <row r="334" spans="2:21">
      <c r="B334" s="9"/>
      <c r="C334" s="24"/>
      <c r="D334" s="25"/>
      <c r="E334" s="24"/>
      <c r="F334" s="26"/>
      <c r="G334" s="24"/>
      <c r="H334" s="25"/>
      <c r="I334" s="24"/>
      <c r="J334" s="25"/>
      <c r="K334" s="24"/>
      <c r="L334" s="25"/>
      <c r="M334" s="25"/>
      <c r="N334" s="25"/>
      <c r="O334" s="25"/>
      <c r="P334" s="24"/>
      <c r="Q334" s="25"/>
      <c r="R334" s="24"/>
      <c r="S334" s="26"/>
      <c r="T334" s="25"/>
      <c r="U334" s="25"/>
    </row>
    <row r="335" spans="2:21">
      <c r="B335" s="9"/>
      <c r="C335" s="24"/>
      <c r="D335" s="25"/>
      <c r="E335" s="24"/>
      <c r="F335" s="26"/>
      <c r="G335" s="24"/>
      <c r="H335" s="25"/>
      <c r="I335" s="24"/>
      <c r="J335" s="25"/>
      <c r="K335" s="24"/>
      <c r="L335" s="25"/>
      <c r="M335" s="25"/>
      <c r="N335" s="25"/>
      <c r="O335" s="25"/>
      <c r="P335" s="24"/>
      <c r="Q335" s="25"/>
      <c r="R335" s="24"/>
      <c r="S335" s="26"/>
      <c r="T335" s="25"/>
      <c r="U335" s="25"/>
    </row>
    <row r="336" spans="2:21">
      <c r="B336" s="9"/>
      <c r="C336" s="24"/>
      <c r="D336" s="25"/>
      <c r="E336" s="24"/>
      <c r="F336" s="26"/>
      <c r="G336" s="24"/>
      <c r="H336" s="25"/>
      <c r="I336" s="24"/>
      <c r="J336" s="25"/>
      <c r="K336" s="24"/>
      <c r="L336" s="25"/>
      <c r="M336" s="25"/>
      <c r="N336" s="25"/>
      <c r="O336" s="25"/>
      <c r="P336" s="24"/>
      <c r="Q336" s="25"/>
      <c r="R336" s="24"/>
      <c r="S336" s="26"/>
      <c r="T336" s="25"/>
      <c r="U336" s="25"/>
    </row>
    <row r="337" spans="2:21">
      <c r="B337" s="9"/>
      <c r="C337" s="24"/>
      <c r="D337" s="25"/>
      <c r="E337" s="24"/>
      <c r="F337" s="26"/>
      <c r="G337" s="24"/>
      <c r="H337" s="25"/>
      <c r="I337" s="24"/>
      <c r="J337" s="25"/>
      <c r="K337" s="24"/>
      <c r="L337" s="25"/>
      <c r="M337" s="25"/>
      <c r="N337" s="25"/>
      <c r="O337" s="25"/>
      <c r="P337" s="24"/>
      <c r="Q337" s="25"/>
      <c r="R337" s="24"/>
      <c r="S337" s="26"/>
      <c r="T337" s="25"/>
      <c r="U337" s="25"/>
    </row>
    <row r="338" spans="2:21">
      <c r="B338" s="9"/>
      <c r="C338" s="24"/>
      <c r="D338" s="25"/>
      <c r="E338" s="24"/>
      <c r="F338" s="26"/>
      <c r="G338" s="24"/>
      <c r="H338" s="25"/>
      <c r="I338" s="24"/>
      <c r="J338" s="25"/>
      <c r="K338" s="24"/>
      <c r="L338" s="25"/>
      <c r="M338" s="25"/>
      <c r="N338" s="25"/>
      <c r="O338" s="25"/>
      <c r="P338" s="24"/>
      <c r="Q338" s="25"/>
      <c r="R338" s="24"/>
      <c r="S338" s="26"/>
      <c r="T338" s="25"/>
      <c r="U338" s="25"/>
    </row>
    <row r="339" spans="2:21">
      <c r="B339" s="9"/>
      <c r="C339" s="24"/>
      <c r="D339" s="25"/>
      <c r="E339" s="24"/>
      <c r="F339" s="26"/>
      <c r="G339" s="24"/>
      <c r="H339" s="25"/>
      <c r="I339" s="24"/>
      <c r="J339" s="25"/>
      <c r="K339" s="24"/>
      <c r="L339" s="25"/>
      <c r="M339" s="25"/>
      <c r="N339" s="25"/>
      <c r="O339" s="25"/>
      <c r="P339" s="24"/>
      <c r="Q339" s="25"/>
      <c r="R339" s="24"/>
      <c r="S339" s="26"/>
      <c r="T339" s="25"/>
      <c r="U339" s="25"/>
    </row>
    <row r="340" spans="2:21">
      <c r="B340" s="9"/>
      <c r="C340" s="24"/>
      <c r="D340" s="25"/>
      <c r="E340" s="24"/>
      <c r="F340" s="26"/>
      <c r="G340" s="24"/>
      <c r="H340" s="25"/>
      <c r="I340" s="24"/>
      <c r="J340" s="25"/>
      <c r="K340" s="24"/>
      <c r="L340" s="25"/>
      <c r="M340" s="25"/>
      <c r="N340" s="25"/>
      <c r="O340" s="25"/>
      <c r="P340" s="24"/>
      <c r="Q340" s="25"/>
      <c r="R340" s="24"/>
      <c r="S340" s="26"/>
      <c r="T340" s="25"/>
      <c r="U340" s="25"/>
    </row>
    <row r="341" spans="2:21">
      <c r="B341" s="9"/>
      <c r="C341" s="24"/>
      <c r="D341" s="25"/>
      <c r="E341" s="24"/>
      <c r="F341" s="26"/>
      <c r="G341" s="24"/>
      <c r="H341" s="25"/>
      <c r="I341" s="24"/>
      <c r="J341" s="25"/>
      <c r="K341" s="24"/>
      <c r="L341" s="25"/>
      <c r="M341" s="25"/>
      <c r="N341" s="25"/>
      <c r="O341" s="25"/>
      <c r="P341" s="24"/>
      <c r="Q341" s="25"/>
      <c r="R341" s="24"/>
      <c r="S341" s="26"/>
      <c r="T341" s="25"/>
      <c r="U341" s="25"/>
    </row>
    <row r="342" spans="2:21">
      <c r="B342" s="9"/>
      <c r="C342" s="24"/>
      <c r="D342" s="25"/>
      <c r="E342" s="24"/>
      <c r="F342" s="26"/>
      <c r="G342" s="24"/>
      <c r="H342" s="25"/>
      <c r="I342" s="24"/>
      <c r="J342" s="25"/>
      <c r="K342" s="24"/>
      <c r="L342" s="25"/>
      <c r="M342" s="25"/>
      <c r="N342" s="25"/>
      <c r="O342" s="25"/>
      <c r="P342" s="24"/>
      <c r="Q342" s="25"/>
      <c r="R342" s="24"/>
      <c r="S342" s="26"/>
      <c r="T342" s="25"/>
      <c r="U342" s="25"/>
    </row>
    <row r="343" spans="2:21">
      <c r="B343" s="9"/>
      <c r="C343" s="24"/>
      <c r="D343" s="25"/>
      <c r="E343" s="24"/>
      <c r="F343" s="26"/>
      <c r="G343" s="24"/>
      <c r="H343" s="25"/>
      <c r="I343" s="24"/>
      <c r="J343" s="25"/>
      <c r="K343" s="24"/>
      <c r="L343" s="25"/>
      <c r="M343" s="25"/>
      <c r="N343" s="25"/>
      <c r="O343" s="25"/>
      <c r="P343" s="24"/>
      <c r="Q343" s="25"/>
      <c r="R343" s="24"/>
      <c r="S343" s="26"/>
      <c r="T343" s="25"/>
      <c r="U343" s="25"/>
    </row>
    <row r="344" spans="2:21">
      <c r="B344" s="9"/>
      <c r="C344" s="24"/>
      <c r="D344" s="25"/>
      <c r="E344" s="24"/>
      <c r="F344" s="26"/>
      <c r="G344" s="24"/>
      <c r="H344" s="25"/>
      <c r="I344" s="24"/>
      <c r="J344" s="25"/>
      <c r="K344" s="24"/>
      <c r="L344" s="25"/>
      <c r="M344" s="25"/>
      <c r="N344" s="25"/>
      <c r="O344" s="25"/>
      <c r="P344" s="24"/>
      <c r="Q344" s="25"/>
      <c r="R344" s="24"/>
      <c r="S344" s="26"/>
      <c r="T344" s="25"/>
      <c r="U344" s="25"/>
    </row>
    <row r="345" spans="2:21">
      <c r="B345" s="9"/>
      <c r="C345" s="24"/>
      <c r="D345" s="25"/>
      <c r="E345" s="24"/>
      <c r="F345" s="26"/>
      <c r="G345" s="24"/>
      <c r="H345" s="25"/>
      <c r="I345" s="24"/>
      <c r="J345" s="25"/>
      <c r="K345" s="24"/>
      <c r="L345" s="25"/>
      <c r="M345" s="25"/>
      <c r="N345" s="25"/>
      <c r="O345" s="25"/>
      <c r="P345" s="24"/>
      <c r="Q345" s="25"/>
      <c r="R345" s="24"/>
      <c r="S345" s="26"/>
      <c r="T345" s="25"/>
      <c r="U345" s="25"/>
    </row>
    <row r="346" spans="2:21">
      <c r="B346" s="9"/>
      <c r="C346" s="24"/>
      <c r="D346" s="25"/>
      <c r="E346" s="24"/>
      <c r="F346" s="26"/>
      <c r="G346" s="24"/>
      <c r="H346" s="25"/>
      <c r="I346" s="24"/>
      <c r="J346" s="25"/>
      <c r="K346" s="24"/>
      <c r="L346" s="25"/>
      <c r="M346" s="25"/>
      <c r="N346" s="25"/>
      <c r="O346" s="25"/>
      <c r="P346" s="24"/>
      <c r="Q346" s="25"/>
      <c r="R346" s="24"/>
      <c r="S346" s="26"/>
      <c r="T346" s="25"/>
      <c r="U346" s="25"/>
    </row>
    <row r="347" spans="2:21">
      <c r="B347" s="9"/>
      <c r="C347" s="24"/>
      <c r="D347" s="25"/>
      <c r="E347" s="24"/>
      <c r="F347" s="26"/>
      <c r="G347" s="24"/>
      <c r="H347" s="25"/>
      <c r="I347" s="24"/>
      <c r="J347" s="25"/>
      <c r="K347" s="24"/>
      <c r="L347" s="25"/>
      <c r="M347" s="25"/>
      <c r="N347" s="25"/>
      <c r="O347" s="25"/>
      <c r="P347" s="24"/>
      <c r="Q347" s="25"/>
      <c r="R347" s="24"/>
      <c r="S347" s="26"/>
      <c r="T347" s="25"/>
      <c r="U347" s="25"/>
    </row>
    <row r="348" spans="2:21">
      <c r="B348" s="9"/>
      <c r="C348" s="24"/>
      <c r="D348" s="25"/>
      <c r="E348" s="24"/>
      <c r="F348" s="26"/>
      <c r="G348" s="24"/>
      <c r="H348" s="25"/>
      <c r="I348" s="24"/>
      <c r="J348" s="25"/>
      <c r="K348" s="24"/>
      <c r="L348" s="25"/>
      <c r="M348" s="25"/>
      <c r="N348" s="25"/>
      <c r="O348" s="25"/>
      <c r="P348" s="24"/>
      <c r="Q348" s="25"/>
      <c r="R348" s="24"/>
      <c r="S348" s="26"/>
      <c r="T348" s="25"/>
      <c r="U348" s="25"/>
    </row>
    <row r="349" spans="2:21">
      <c r="B349" s="9"/>
      <c r="C349" s="24"/>
      <c r="D349" s="25"/>
      <c r="E349" s="24"/>
      <c r="F349" s="26"/>
      <c r="G349" s="24"/>
      <c r="H349" s="25"/>
      <c r="I349" s="24"/>
      <c r="J349" s="25"/>
      <c r="K349" s="24"/>
      <c r="L349" s="25"/>
      <c r="M349" s="25"/>
      <c r="N349" s="25"/>
      <c r="O349" s="25"/>
      <c r="P349" s="24"/>
      <c r="Q349" s="25"/>
      <c r="R349" s="24"/>
      <c r="S349" s="26"/>
      <c r="T349" s="25"/>
      <c r="U349" s="25"/>
    </row>
    <row r="350" spans="2:21">
      <c r="B350" s="9"/>
      <c r="C350" s="24"/>
      <c r="D350" s="25"/>
      <c r="E350" s="24"/>
      <c r="F350" s="26"/>
      <c r="G350" s="24"/>
      <c r="H350" s="25"/>
      <c r="I350" s="24"/>
      <c r="J350" s="25"/>
      <c r="K350" s="24"/>
      <c r="L350" s="25"/>
      <c r="M350" s="25"/>
      <c r="N350" s="25"/>
      <c r="O350" s="25"/>
      <c r="P350" s="24"/>
      <c r="Q350" s="25"/>
      <c r="R350" s="24"/>
      <c r="S350" s="26"/>
      <c r="T350" s="25"/>
      <c r="U350" s="25"/>
    </row>
    <row r="351" spans="2:21">
      <c r="B351" s="9"/>
      <c r="C351" s="24"/>
      <c r="D351" s="25"/>
      <c r="E351" s="24"/>
      <c r="F351" s="26"/>
      <c r="G351" s="24"/>
      <c r="H351" s="25"/>
      <c r="I351" s="24"/>
      <c r="J351" s="25"/>
      <c r="K351" s="24"/>
      <c r="L351" s="25"/>
      <c r="M351" s="25"/>
      <c r="N351" s="25"/>
      <c r="O351" s="25"/>
      <c r="P351" s="24"/>
      <c r="Q351" s="25"/>
      <c r="R351" s="24"/>
      <c r="S351" s="26"/>
      <c r="T351" s="25"/>
      <c r="U351" s="25"/>
    </row>
    <row r="352" spans="2:21">
      <c r="B352" s="9"/>
      <c r="C352" s="24"/>
      <c r="D352" s="25"/>
      <c r="E352" s="24"/>
      <c r="F352" s="26"/>
      <c r="G352" s="24"/>
      <c r="H352" s="25"/>
      <c r="I352" s="24"/>
      <c r="J352" s="25"/>
      <c r="K352" s="24"/>
      <c r="L352" s="25"/>
      <c r="M352" s="25"/>
      <c r="N352" s="25"/>
      <c r="O352" s="25"/>
      <c r="P352" s="24"/>
      <c r="Q352" s="25"/>
      <c r="R352" s="24"/>
      <c r="S352" s="26"/>
      <c r="T352" s="25"/>
      <c r="U352" s="25"/>
    </row>
    <row r="353" spans="2:21">
      <c r="B353" s="9"/>
      <c r="C353" s="24"/>
      <c r="D353" s="25"/>
      <c r="E353" s="24"/>
      <c r="F353" s="26"/>
      <c r="G353" s="24"/>
      <c r="H353" s="25"/>
      <c r="I353" s="24"/>
      <c r="J353" s="25"/>
      <c r="K353" s="24"/>
      <c r="L353" s="25"/>
      <c r="M353" s="25"/>
      <c r="N353" s="25"/>
      <c r="O353" s="25"/>
      <c r="P353" s="24"/>
      <c r="Q353" s="25"/>
      <c r="R353" s="24"/>
      <c r="S353" s="26"/>
      <c r="T353" s="25"/>
      <c r="U353" s="25"/>
    </row>
    <row r="354" spans="2:21">
      <c r="B354" s="9"/>
      <c r="C354" s="24"/>
      <c r="D354" s="25"/>
      <c r="E354" s="24"/>
      <c r="F354" s="26"/>
      <c r="G354" s="24"/>
      <c r="H354" s="25"/>
      <c r="I354" s="24"/>
      <c r="J354" s="25"/>
      <c r="K354" s="24"/>
      <c r="L354" s="25"/>
      <c r="M354" s="25"/>
      <c r="N354" s="25"/>
      <c r="O354" s="25"/>
      <c r="P354" s="24"/>
      <c r="Q354" s="25"/>
      <c r="R354" s="24"/>
      <c r="S354" s="26"/>
      <c r="T354" s="25"/>
      <c r="U354" s="25"/>
    </row>
    <row r="355" spans="2:21">
      <c r="B355" s="9"/>
      <c r="C355" s="24"/>
      <c r="D355" s="25"/>
      <c r="E355" s="24"/>
      <c r="F355" s="26"/>
      <c r="G355" s="24"/>
      <c r="H355" s="25"/>
      <c r="I355" s="24"/>
      <c r="J355" s="25"/>
      <c r="K355" s="24"/>
      <c r="L355" s="25"/>
      <c r="M355" s="25"/>
      <c r="N355" s="25"/>
      <c r="O355" s="25"/>
      <c r="P355" s="24"/>
      <c r="Q355" s="25"/>
      <c r="R355" s="24"/>
      <c r="S355" s="26"/>
      <c r="T355" s="25"/>
      <c r="U355" s="25"/>
    </row>
    <row r="356" spans="2:21">
      <c r="B356" s="9"/>
      <c r="C356" s="24"/>
      <c r="D356" s="25"/>
      <c r="E356" s="24"/>
      <c r="F356" s="26"/>
      <c r="G356" s="24"/>
      <c r="H356" s="25"/>
      <c r="I356" s="24"/>
      <c r="J356" s="25"/>
      <c r="K356" s="24"/>
      <c r="L356" s="25"/>
      <c r="M356" s="25"/>
      <c r="N356" s="25"/>
      <c r="O356" s="25"/>
      <c r="P356" s="24"/>
      <c r="Q356" s="25"/>
      <c r="R356" s="24"/>
      <c r="S356" s="26"/>
      <c r="T356" s="25"/>
      <c r="U356" s="25"/>
    </row>
    <row r="357" spans="2:21">
      <c r="B357" s="9"/>
      <c r="C357" s="24"/>
      <c r="D357" s="25"/>
      <c r="E357" s="24"/>
      <c r="F357" s="26"/>
      <c r="G357" s="24"/>
      <c r="H357" s="25"/>
      <c r="I357" s="24"/>
      <c r="J357" s="25"/>
      <c r="K357" s="24"/>
      <c r="L357" s="25"/>
      <c r="M357" s="25"/>
      <c r="N357" s="25"/>
      <c r="O357" s="25"/>
      <c r="P357" s="24"/>
      <c r="Q357" s="25"/>
      <c r="R357" s="24"/>
      <c r="S357" s="26"/>
      <c r="T357" s="25"/>
      <c r="U357" s="25"/>
    </row>
    <row r="358" spans="2:21">
      <c r="B358" s="9"/>
      <c r="C358" s="24"/>
      <c r="D358" s="25"/>
      <c r="E358" s="24"/>
      <c r="F358" s="26"/>
      <c r="G358" s="24"/>
      <c r="H358" s="25"/>
      <c r="I358" s="24"/>
      <c r="J358" s="25"/>
      <c r="K358" s="24"/>
      <c r="L358" s="25"/>
      <c r="M358" s="25"/>
      <c r="N358" s="25"/>
      <c r="O358" s="25"/>
      <c r="P358" s="24"/>
      <c r="Q358" s="25"/>
      <c r="R358" s="24"/>
      <c r="S358" s="26"/>
      <c r="T358" s="25"/>
      <c r="U358" s="25"/>
    </row>
    <row r="359" spans="2:21">
      <c r="B359" s="9"/>
      <c r="C359" s="24"/>
      <c r="D359" s="25"/>
      <c r="E359" s="24"/>
      <c r="F359" s="26"/>
      <c r="G359" s="24"/>
      <c r="H359" s="25"/>
      <c r="I359" s="24"/>
      <c r="J359" s="25"/>
      <c r="K359" s="24"/>
      <c r="L359" s="25"/>
      <c r="M359" s="25"/>
      <c r="N359" s="25"/>
      <c r="O359" s="25"/>
      <c r="P359" s="24"/>
      <c r="Q359" s="25"/>
      <c r="R359" s="24"/>
      <c r="S359" s="26"/>
      <c r="T359" s="25"/>
      <c r="U359" s="25"/>
    </row>
    <row r="360" spans="2:21">
      <c r="B360" s="9"/>
      <c r="C360" s="24"/>
      <c r="D360" s="25"/>
      <c r="E360" s="24"/>
      <c r="F360" s="26"/>
      <c r="G360" s="24"/>
      <c r="H360" s="25"/>
      <c r="I360" s="24"/>
      <c r="J360" s="25"/>
      <c r="K360" s="24"/>
      <c r="L360" s="25"/>
      <c r="M360" s="25"/>
      <c r="N360" s="25"/>
      <c r="O360" s="25"/>
      <c r="P360" s="24"/>
      <c r="Q360" s="25"/>
      <c r="R360" s="24"/>
      <c r="S360" s="26"/>
      <c r="T360" s="25"/>
      <c r="U360" s="25"/>
    </row>
    <row r="361" spans="2:21">
      <c r="B361" s="9"/>
      <c r="C361" s="24"/>
      <c r="D361" s="25"/>
      <c r="E361" s="24"/>
      <c r="F361" s="26"/>
      <c r="G361" s="24"/>
      <c r="H361" s="25"/>
      <c r="I361" s="24"/>
      <c r="J361" s="25"/>
      <c r="K361" s="24"/>
      <c r="L361" s="25"/>
      <c r="M361" s="25"/>
      <c r="N361" s="25"/>
      <c r="O361" s="25"/>
      <c r="P361" s="24"/>
      <c r="Q361" s="25"/>
      <c r="R361" s="24"/>
      <c r="S361" s="26"/>
      <c r="T361" s="25"/>
      <c r="U361" s="25"/>
    </row>
    <row r="362" spans="2:21">
      <c r="B362" s="9"/>
      <c r="C362" s="24"/>
      <c r="D362" s="25"/>
      <c r="E362" s="24"/>
      <c r="F362" s="26"/>
      <c r="G362" s="24"/>
      <c r="H362" s="25"/>
      <c r="I362" s="24"/>
      <c r="J362" s="25"/>
      <c r="K362" s="24"/>
      <c r="L362" s="25"/>
      <c r="M362" s="25"/>
      <c r="N362" s="25"/>
      <c r="O362" s="25"/>
      <c r="P362" s="24"/>
      <c r="Q362" s="25"/>
      <c r="R362" s="24"/>
      <c r="S362" s="26"/>
      <c r="T362" s="25"/>
      <c r="U362" s="25"/>
    </row>
    <row r="363" spans="2:21">
      <c r="B363" s="9"/>
      <c r="C363" s="24"/>
      <c r="D363" s="25"/>
      <c r="E363" s="24"/>
      <c r="F363" s="26"/>
      <c r="G363" s="24"/>
      <c r="H363" s="25"/>
      <c r="I363" s="24"/>
      <c r="J363" s="25"/>
      <c r="K363" s="24"/>
      <c r="L363" s="25"/>
      <c r="M363" s="25"/>
      <c r="N363" s="25"/>
      <c r="O363" s="25"/>
      <c r="P363" s="24"/>
      <c r="Q363" s="25"/>
      <c r="R363" s="24"/>
      <c r="S363" s="26"/>
      <c r="T363" s="25"/>
      <c r="U363" s="25"/>
    </row>
    <row r="364" spans="2:21">
      <c r="B364" s="9"/>
      <c r="C364" s="24"/>
      <c r="D364" s="25"/>
      <c r="E364" s="24"/>
      <c r="F364" s="26"/>
      <c r="G364" s="24"/>
      <c r="H364" s="25"/>
      <c r="I364" s="24"/>
      <c r="J364" s="25"/>
      <c r="K364" s="24"/>
      <c r="L364" s="25"/>
      <c r="M364" s="25"/>
      <c r="N364" s="25"/>
      <c r="O364" s="25"/>
      <c r="P364" s="24"/>
      <c r="Q364" s="25"/>
      <c r="R364" s="24"/>
      <c r="S364" s="26"/>
      <c r="T364" s="25"/>
      <c r="U364" s="25"/>
    </row>
    <row r="365" spans="2:21">
      <c r="B365" s="9"/>
      <c r="C365" s="24"/>
      <c r="D365" s="25"/>
      <c r="E365" s="24"/>
      <c r="F365" s="26"/>
      <c r="G365" s="24"/>
      <c r="H365" s="25"/>
      <c r="I365" s="24"/>
      <c r="J365" s="25"/>
      <c r="K365" s="24"/>
      <c r="L365" s="25"/>
      <c r="M365" s="25"/>
      <c r="N365" s="25"/>
      <c r="O365" s="25"/>
      <c r="P365" s="24"/>
      <c r="Q365" s="25"/>
      <c r="R365" s="24"/>
      <c r="S365" s="26"/>
      <c r="T365" s="25"/>
      <c r="U365" s="25"/>
    </row>
    <row r="366" spans="2:21">
      <c r="B366" s="9"/>
      <c r="C366" s="24"/>
      <c r="D366" s="25"/>
      <c r="E366" s="24"/>
      <c r="F366" s="26"/>
      <c r="G366" s="24"/>
      <c r="H366" s="25"/>
      <c r="I366" s="24"/>
      <c r="J366" s="25"/>
      <c r="K366" s="24"/>
      <c r="L366" s="25"/>
      <c r="M366" s="25"/>
      <c r="N366" s="25"/>
      <c r="O366" s="25"/>
      <c r="P366" s="24"/>
      <c r="Q366" s="25"/>
      <c r="R366" s="24"/>
      <c r="S366" s="26"/>
      <c r="T366" s="25"/>
      <c r="U366" s="25"/>
    </row>
    <row r="367" spans="2:21">
      <c r="B367" s="9"/>
      <c r="C367" s="24"/>
      <c r="D367" s="25"/>
      <c r="E367" s="24"/>
      <c r="F367" s="26"/>
      <c r="G367" s="24"/>
      <c r="H367" s="25"/>
      <c r="I367" s="24"/>
      <c r="J367" s="25"/>
      <c r="K367" s="24"/>
      <c r="L367" s="25"/>
      <c r="M367" s="25"/>
      <c r="N367" s="25"/>
      <c r="O367" s="25"/>
      <c r="P367" s="24"/>
      <c r="Q367" s="25"/>
      <c r="R367" s="24"/>
      <c r="S367" s="26"/>
      <c r="T367" s="25"/>
      <c r="U367" s="25"/>
    </row>
    <row r="368" spans="2:21">
      <c r="B368" s="9"/>
      <c r="C368" s="24"/>
      <c r="D368" s="25"/>
      <c r="E368" s="24"/>
      <c r="F368" s="26"/>
      <c r="G368" s="24"/>
      <c r="H368" s="25"/>
      <c r="I368" s="24"/>
      <c r="J368" s="25"/>
      <c r="K368" s="24"/>
      <c r="L368" s="25"/>
      <c r="M368" s="25"/>
      <c r="N368" s="25"/>
      <c r="O368" s="25"/>
      <c r="P368" s="24"/>
      <c r="Q368" s="25"/>
      <c r="R368" s="24"/>
      <c r="S368" s="26"/>
      <c r="T368" s="25"/>
      <c r="U368" s="25"/>
    </row>
    <row r="369" spans="2:21">
      <c r="B369" s="9"/>
      <c r="C369" s="24"/>
      <c r="D369" s="25"/>
      <c r="E369" s="24"/>
      <c r="F369" s="26"/>
      <c r="G369" s="24"/>
      <c r="H369" s="25"/>
      <c r="I369" s="24"/>
      <c r="J369" s="25"/>
      <c r="K369" s="24"/>
      <c r="L369" s="25"/>
      <c r="M369" s="25"/>
      <c r="N369" s="25"/>
      <c r="O369" s="25"/>
      <c r="P369" s="24"/>
      <c r="Q369" s="25"/>
      <c r="R369" s="24"/>
      <c r="S369" s="26"/>
      <c r="T369" s="25"/>
      <c r="U369" s="25"/>
    </row>
    <row r="370" spans="2:21">
      <c r="B370" s="9"/>
      <c r="C370" s="24"/>
      <c r="D370" s="25"/>
      <c r="E370" s="24"/>
      <c r="F370" s="26"/>
      <c r="G370" s="24"/>
      <c r="H370" s="25"/>
      <c r="I370" s="24"/>
      <c r="J370" s="25"/>
      <c r="K370" s="24"/>
      <c r="L370" s="25"/>
      <c r="M370" s="25"/>
      <c r="N370" s="25"/>
      <c r="O370" s="25"/>
      <c r="P370" s="24"/>
      <c r="Q370" s="25"/>
      <c r="R370" s="24"/>
      <c r="S370" s="26"/>
      <c r="T370" s="25"/>
      <c r="U370" s="25"/>
    </row>
    <row r="371" spans="2:21">
      <c r="B371" s="9"/>
      <c r="C371" s="24"/>
      <c r="D371" s="25"/>
      <c r="E371" s="24"/>
      <c r="F371" s="26"/>
      <c r="G371" s="24"/>
      <c r="H371" s="25"/>
      <c r="I371" s="24"/>
      <c r="J371" s="25"/>
      <c r="K371" s="24"/>
      <c r="L371" s="25"/>
      <c r="M371" s="25"/>
      <c r="N371" s="25"/>
      <c r="O371" s="25"/>
      <c r="P371" s="24"/>
      <c r="Q371" s="25"/>
      <c r="R371" s="24"/>
      <c r="S371" s="26"/>
      <c r="T371" s="25"/>
      <c r="U371" s="25"/>
    </row>
    <row r="372" spans="2:21">
      <c r="B372" s="9"/>
      <c r="C372" s="24"/>
      <c r="D372" s="25"/>
      <c r="E372" s="24"/>
      <c r="F372" s="26"/>
      <c r="G372" s="24"/>
      <c r="H372" s="25"/>
      <c r="I372" s="24"/>
      <c r="J372" s="25"/>
      <c r="K372" s="24"/>
      <c r="L372" s="25"/>
      <c r="M372" s="25"/>
      <c r="N372" s="25"/>
      <c r="O372" s="25"/>
      <c r="P372" s="24"/>
      <c r="Q372" s="25"/>
      <c r="R372" s="24"/>
      <c r="S372" s="26"/>
      <c r="T372" s="25"/>
      <c r="U372" s="25"/>
    </row>
    <row r="373" spans="2:21">
      <c r="B373" s="9"/>
      <c r="C373" s="24"/>
      <c r="D373" s="25"/>
      <c r="E373" s="24"/>
      <c r="F373" s="26"/>
      <c r="G373" s="24"/>
      <c r="H373" s="25"/>
      <c r="I373" s="24"/>
      <c r="J373" s="25"/>
      <c r="K373" s="24"/>
      <c r="L373" s="25"/>
      <c r="M373" s="25"/>
      <c r="N373" s="25"/>
      <c r="O373" s="25"/>
      <c r="P373" s="24"/>
      <c r="Q373" s="25"/>
      <c r="R373" s="24"/>
      <c r="S373" s="26"/>
      <c r="T373" s="25"/>
      <c r="U373" s="25"/>
    </row>
    <row r="374" spans="2:21">
      <c r="B374" s="9"/>
      <c r="C374" s="24"/>
      <c r="D374" s="25"/>
      <c r="E374" s="24"/>
      <c r="F374" s="26"/>
      <c r="G374" s="24"/>
      <c r="H374" s="25"/>
      <c r="I374" s="24"/>
      <c r="J374" s="25"/>
      <c r="K374" s="24"/>
      <c r="L374" s="25"/>
      <c r="M374" s="25"/>
      <c r="N374" s="25"/>
      <c r="O374" s="25"/>
      <c r="P374" s="24"/>
      <c r="Q374" s="25"/>
      <c r="R374" s="24"/>
      <c r="S374" s="26"/>
      <c r="T374" s="25"/>
      <c r="U374" s="25"/>
    </row>
    <row r="375" spans="2:21">
      <c r="B375" s="9"/>
      <c r="C375" s="24"/>
      <c r="D375" s="25"/>
      <c r="E375" s="24"/>
      <c r="F375" s="26"/>
      <c r="G375" s="24"/>
      <c r="H375" s="25"/>
      <c r="I375" s="24"/>
      <c r="J375" s="25"/>
      <c r="K375" s="24"/>
      <c r="L375" s="25"/>
      <c r="M375" s="25"/>
      <c r="N375" s="25"/>
      <c r="O375" s="25"/>
      <c r="P375" s="24"/>
      <c r="Q375" s="25"/>
      <c r="R375" s="24"/>
      <c r="S375" s="26"/>
      <c r="T375" s="25"/>
      <c r="U375" s="25"/>
    </row>
    <row r="376" spans="2:21">
      <c r="B376" s="9"/>
      <c r="C376" s="24"/>
      <c r="D376" s="25"/>
      <c r="E376" s="24"/>
      <c r="F376" s="26"/>
      <c r="G376" s="24"/>
      <c r="H376" s="25"/>
      <c r="I376" s="24"/>
      <c r="J376" s="25"/>
      <c r="K376" s="24"/>
      <c r="L376" s="25"/>
      <c r="M376" s="25"/>
      <c r="N376" s="25"/>
      <c r="O376" s="25"/>
      <c r="P376" s="24"/>
      <c r="Q376" s="25"/>
      <c r="R376" s="24"/>
      <c r="S376" s="26"/>
      <c r="T376" s="25"/>
      <c r="U376" s="25"/>
    </row>
    <row r="377" spans="2:21">
      <c r="B377" s="9"/>
      <c r="C377" s="24"/>
      <c r="D377" s="25"/>
      <c r="E377" s="24"/>
      <c r="F377" s="26"/>
      <c r="G377" s="24"/>
      <c r="H377" s="25"/>
      <c r="I377" s="24"/>
      <c r="J377" s="25"/>
      <c r="K377" s="24"/>
      <c r="L377" s="25"/>
      <c r="M377" s="25"/>
      <c r="N377" s="25"/>
      <c r="O377" s="25"/>
      <c r="P377" s="24"/>
      <c r="Q377" s="25"/>
      <c r="R377" s="24"/>
      <c r="S377" s="26"/>
      <c r="T377" s="25"/>
      <c r="U377" s="25"/>
    </row>
    <row r="378" spans="2:21">
      <c r="B378" s="9"/>
      <c r="C378" s="24"/>
      <c r="D378" s="25"/>
      <c r="E378" s="24"/>
      <c r="F378" s="26"/>
      <c r="G378" s="24"/>
      <c r="H378" s="25"/>
      <c r="I378" s="24"/>
      <c r="J378" s="25"/>
      <c r="K378" s="24"/>
      <c r="L378" s="25"/>
      <c r="M378" s="25"/>
      <c r="N378" s="25"/>
      <c r="O378" s="25"/>
      <c r="P378" s="24"/>
      <c r="Q378" s="25"/>
      <c r="R378" s="24"/>
      <c r="S378" s="26"/>
      <c r="T378" s="25"/>
      <c r="U378" s="25"/>
    </row>
    <row r="379" spans="2:21">
      <c r="B379" s="9"/>
      <c r="C379" s="24"/>
      <c r="D379" s="25"/>
      <c r="E379" s="24"/>
      <c r="F379" s="26"/>
      <c r="G379" s="24"/>
      <c r="H379" s="25"/>
      <c r="I379" s="24"/>
      <c r="J379" s="25"/>
      <c r="K379" s="24"/>
      <c r="L379" s="25"/>
      <c r="M379" s="25"/>
      <c r="N379" s="25"/>
      <c r="O379" s="25"/>
      <c r="P379" s="24"/>
      <c r="Q379" s="25"/>
      <c r="R379" s="24"/>
      <c r="S379" s="26"/>
      <c r="T379" s="25"/>
      <c r="U379" s="25"/>
    </row>
    <row r="380" spans="2:21">
      <c r="B380" s="9"/>
      <c r="C380" s="24"/>
      <c r="D380" s="25"/>
      <c r="E380" s="24"/>
      <c r="F380" s="26"/>
      <c r="G380" s="24"/>
      <c r="H380" s="25"/>
      <c r="I380" s="24"/>
      <c r="J380" s="25"/>
      <c r="K380" s="24"/>
      <c r="L380" s="25"/>
      <c r="M380" s="25"/>
      <c r="N380" s="25"/>
      <c r="O380" s="25"/>
      <c r="P380" s="24"/>
      <c r="Q380" s="25"/>
      <c r="R380" s="24"/>
      <c r="S380" s="26"/>
      <c r="T380" s="25"/>
      <c r="U380" s="25"/>
    </row>
    <row r="381" spans="2:21">
      <c r="B381" s="9"/>
      <c r="C381" s="24"/>
      <c r="D381" s="25"/>
      <c r="E381" s="24"/>
      <c r="F381" s="26"/>
      <c r="G381" s="24"/>
      <c r="H381" s="25"/>
      <c r="I381" s="24"/>
      <c r="J381" s="25"/>
      <c r="K381" s="24"/>
      <c r="L381" s="25"/>
      <c r="M381" s="25"/>
      <c r="N381" s="25"/>
      <c r="O381" s="25"/>
      <c r="P381" s="24"/>
      <c r="Q381" s="25"/>
      <c r="R381" s="24"/>
      <c r="S381" s="26"/>
      <c r="T381" s="25"/>
      <c r="U381" s="25"/>
    </row>
    <row r="382" spans="2:21">
      <c r="B382" s="9"/>
      <c r="C382" s="24"/>
      <c r="D382" s="25"/>
      <c r="E382" s="24"/>
      <c r="F382" s="26"/>
      <c r="G382" s="24"/>
      <c r="H382" s="25"/>
      <c r="I382" s="24"/>
      <c r="J382" s="25"/>
      <c r="K382" s="24"/>
      <c r="L382" s="25"/>
      <c r="M382" s="25"/>
      <c r="N382" s="25"/>
      <c r="O382" s="25"/>
      <c r="P382" s="24"/>
      <c r="Q382" s="25"/>
      <c r="R382" s="24"/>
      <c r="S382" s="26"/>
      <c r="T382" s="25"/>
      <c r="U382" s="25"/>
    </row>
    <row r="383" spans="2:21">
      <c r="B383" s="9"/>
      <c r="C383" s="24"/>
      <c r="D383" s="25"/>
      <c r="E383" s="24"/>
      <c r="F383" s="26"/>
      <c r="G383" s="24"/>
      <c r="H383" s="25"/>
      <c r="I383" s="24"/>
      <c r="J383" s="25"/>
      <c r="K383" s="24"/>
      <c r="L383" s="25"/>
      <c r="M383" s="25"/>
      <c r="N383" s="25"/>
      <c r="O383" s="25"/>
      <c r="P383" s="24"/>
      <c r="Q383" s="25"/>
      <c r="R383" s="24"/>
      <c r="S383" s="26"/>
      <c r="T383" s="25"/>
      <c r="U383" s="25"/>
    </row>
    <row r="384" spans="2:21">
      <c r="B384" s="9"/>
      <c r="C384" s="24"/>
      <c r="D384" s="25"/>
      <c r="E384" s="24"/>
      <c r="F384" s="26"/>
      <c r="G384" s="24"/>
      <c r="H384" s="25"/>
      <c r="I384" s="24"/>
      <c r="J384" s="25"/>
      <c r="K384" s="24"/>
      <c r="L384" s="25"/>
      <c r="M384" s="25"/>
      <c r="N384" s="25"/>
      <c r="O384" s="25"/>
      <c r="P384" s="24"/>
      <c r="Q384" s="25"/>
      <c r="R384" s="24"/>
      <c r="S384" s="26"/>
      <c r="T384" s="25"/>
      <c r="U384" s="25"/>
    </row>
    <row r="385" spans="2:21">
      <c r="B385" s="9"/>
      <c r="C385" s="24"/>
      <c r="D385" s="25"/>
      <c r="E385" s="24"/>
      <c r="F385" s="26"/>
      <c r="G385" s="24"/>
      <c r="H385" s="25"/>
      <c r="I385" s="24"/>
      <c r="J385" s="25"/>
      <c r="K385" s="24"/>
      <c r="L385" s="25"/>
      <c r="M385" s="25"/>
      <c r="N385" s="25"/>
      <c r="O385" s="25"/>
      <c r="P385" s="24"/>
      <c r="Q385" s="25"/>
      <c r="R385" s="24"/>
      <c r="S385" s="26"/>
      <c r="T385" s="25"/>
      <c r="U385" s="25"/>
    </row>
    <row r="386" spans="2:21">
      <c r="B386" s="9"/>
      <c r="C386" s="24"/>
      <c r="D386" s="25"/>
      <c r="E386" s="24"/>
      <c r="F386" s="26"/>
      <c r="G386" s="24"/>
      <c r="H386" s="25"/>
      <c r="I386" s="24"/>
      <c r="J386" s="25"/>
      <c r="K386" s="24"/>
      <c r="L386" s="25"/>
      <c r="M386" s="25"/>
      <c r="N386" s="25"/>
      <c r="O386" s="25"/>
      <c r="P386" s="24"/>
      <c r="Q386" s="25"/>
      <c r="R386" s="24"/>
      <c r="S386" s="26"/>
      <c r="T386" s="25"/>
      <c r="U386" s="25"/>
    </row>
    <row r="387" spans="2:21">
      <c r="B387" s="9"/>
      <c r="C387" s="24"/>
      <c r="D387" s="25"/>
      <c r="E387" s="24"/>
      <c r="F387" s="26"/>
      <c r="G387" s="24"/>
      <c r="H387" s="25"/>
      <c r="I387" s="24"/>
      <c r="J387" s="25"/>
      <c r="K387" s="24"/>
      <c r="L387" s="25"/>
      <c r="M387" s="25"/>
      <c r="N387" s="25"/>
      <c r="O387" s="25"/>
      <c r="P387" s="24"/>
      <c r="Q387" s="25"/>
      <c r="R387" s="24"/>
      <c r="S387" s="26"/>
      <c r="T387" s="25"/>
      <c r="U387" s="25"/>
    </row>
    <row r="388" spans="2:21">
      <c r="B388" s="9"/>
      <c r="C388" s="24"/>
      <c r="D388" s="25"/>
      <c r="E388" s="24"/>
      <c r="F388" s="26"/>
      <c r="G388" s="24"/>
      <c r="H388" s="25"/>
      <c r="I388" s="24"/>
      <c r="J388" s="25"/>
      <c r="K388" s="24"/>
      <c r="L388" s="25"/>
      <c r="M388" s="25"/>
      <c r="N388" s="25"/>
      <c r="O388" s="25"/>
      <c r="P388" s="24"/>
      <c r="Q388" s="25"/>
      <c r="R388" s="24"/>
      <c r="S388" s="26"/>
      <c r="T388" s="25"/>
      <c r="U388" s="25"/>
    </row>
    <row r="389" spans="2:21">
      <c r="B389" s="9"/>
      <c r="C389" s="24"/>
      <c r="D389" s="25"/>
      <c r="E389" s="24"/>
      <c r="F389" s="26"/>
      <c r="G389" s="24"/>
      <c r="H389" s="25"/>
      <c r="I389" s="24"/>
      <c r="J389" s="25"/>
      <c r="K389" s="24"/>
      <c r="L389" s="25"/>
      <c r="M389" s="25"/>
      <c r="N389" s="25"/>
      <c r="O389" s="25"/>
      <c r="P389" s="24"/>
      <c r="Q389" s="25"/>
      <c r="R389" s="24"/>
      <c r="S389" s="26"/>
      <c r="T389" s="25"/>
      <c r="U389" s="25"/>
    </row>
    <row r="390" spans="2:21">
      <c r="B390" s="9"/>
      <c r="C390" s="24"/>
      <c r="D390" s="25"/>
      <c r="E390" s="24"/>
      <c r="F390" s="26"/>
      <c r="G390" s="24"/>
      <c r="H390" s="25"/>
      <c r="I390" s="24"/>
      <c r="J390" s="25"/>
      <c r="K390" s="24"/>
      <c r="L390" s="25"/>
      <c r="M390" s="25"/>
      <c r="N390" s="25"/>
      <c r="O390" s="25"/>
      <c r="P390" s="24"/>
      <c r="Q390" s="25"/>
      <c r="R390" s="24"/>
      <c r="S390" s="26"/>
      <c r="T390" s="25"/>
      <c r="U390" s="25"/>
    </row>
    <row r="391" spans="2:21">
      <c r="B391" s="9"/>
      <c r="C391" s="24"/>
      <c r="D391" s="25"/>
      <c r="E391" s="24"/>
      <c r="F391" s="26"/>
      <c r="G391" s="24"/>
      <c r="H391" s="25"/>
      <c r="I391" s="24"/>
      <c r="J391" s="25"/>
      <c r="K391" s="24"/>
      <c r="L391" s="25"/>
      <c r="M391" s="25"/>
      <c r="N391" s="25"/>
      <c r="O391" s="25"/>
      <c r="P391" s="24"/>
      <c r="Q391" s="25"/>
      <c r="R391" s="24"/>
      <c r="S391" s="26"/>
      <c r="T391" s="25"/>
      <c r="U391" s="25"/>
    </row>
    <row r="392" spans="2:21">
      <c r="B392" s="9"/>
      <c r="C392" s="24"/>
      <c r="D392" s="25"/>
      <c r="E392" s="24"/>
      <c r="F392" s="26"/>
      <c r="G392" s="24"/>
      <c r="H392" s="25"/>
      <c r="I392" s="24"/>
      <c r="J392" s="25"/>
      <c r="K392" s="24"/>
      <c r="L392" s="25"/>
      <c r="M392" s="25"/>
      <c r="N392" s="25"/>
      <c r="O392" s="25"/>
      <c r="P392" s="24"/>
      <c r="Q392" s="25"/>
      <c r="R392" s="24"/>
      <c r="S392" s="26"/>
      <c r="T392" s="25"/>
      <c r="U392" s="25"/>
    </row>
    <row r="393" spans="2:21">
      <c r="B393" s="9"/>
      <c r="C393" s="24"/>
      <c r="D393" s="25"/>
      <c r="E393" s="24"/>
      <c r="F393" s="26"/>
      <c r="G393" s="24"/>
      <c r="H393" s="25"/>
      <c r="I393" s="24"/>
      <c r="J393" s="25"/>
      <c r="K393" s="24"/>
      <c r="L393" s="25"/>
      <c r="M393" s="25"/>
      <c r="N393" s="25"/>
      <c r="O393" s="25"/>
      <c r="P393" s="24"/>
      <c r="Q393" s="25"/>
      <c r="R393" s="24"/>
      <c r="S393" s="26"/>
      <c r="T393" s="25"/>
      <c r="U393" s="25"/>
    </row>
    <row r="394" spans="2:21">
      <c r="B394" s="9"/>
      <c r="C394" s="24"/>
      <c r="D394" s="25"/>
      <c r="E394" s="24"/>
      <c r="F394" s="26"/>
      <c r="G394" s="24"/>
      <c r="H394" s="25"/>
      <c r="I394" s="24"/>
      <c r="J394" s="25"/>
      <c r="K394" s="24"/>
      <c r="L394" s="25"/>
      <c r="M394" s="25"/>
      <c r="N394" s="25"/>
      <c r="O394" s="25"/>
      <c r="P394" s="24"/>
      <c r="Q394" s="25"/>
      <c r="R394" s="24"/>
      <c r="S394" s="26"/>
      <c r="T394" s="25"/>
      <c r="U394" s="25"/>
    </row>
    <row r="395" spans="2:21">
      <c r="B395" s="9"/>
      <c r="C395" s="24"/>
      <c r="D395" s="25"/>
      <c r="E395" s="24"/>
      <c r="F395" s="26"/>
      <c r="G395" s="24"/>
      <c r="H395" s="25"/>
      <c r="I395" s="24"/>
      <c r="J395" s="25"/>
      <c r="K395" s="24"/>
      <c r="L395" s="25"/>
      <c r="M395" s="25"/>
      <c r="N395" s="25"/>
      <c r="O395" s="25"/>
      <c r="P395" s="24"/>
      <c r="Q395" s="25"/>
      <c r="R395" s="24"/>
      <c r="S395" s="26"/>
      <c r="T395" s="25"/>
      <c r="U395" s="25"/>
    </row>
    <row r="396" spans="2:21">
      <c r="B396" s="9"/>
      <c r="C396" s="24"/>
      <c r="D396" s="25"/>
      <c r="E396" s="24"/>
      <c r="F396" s="26"/>
      <c r="G396" s="24"/>
      <c r="H396" s="25"/>
      <c r="I396" s="24"/>
      <c r="J396" s="25"/>
      <c r="K396" s="24"/>
      <c r="L396" s="25"/>
      <c r="M396" s="25"/>
      <c r="N396" s="25"/>
      <c r="O396" s="25"/>
      <c r="P396" s="24"/>
      <c r="Q396" s="25"/>
      <c r="R396" s="24"/>
      <c r="S396" s="26"/>
      <c r="T396" s="25"/>
      <c r="U396" s="25"/>
    </row>
    <row r="397" spans="2:21">
      <c r="B397" s="9"/>
      <c r="C397" s="24"/>
      <c r="D397" s="25"/>
      <c r="E397" s="24"/>
      <c r="F397" s="26"/>
      <c r="G397" s="24"/>
      <c r="H397" s="25"/>
      <c r="I397" s="24"/>
      <c r="J397" s="25"/>
      <c r="K397" s="24"/>
      <c r="L397" s="25"/>
      <c r="M397" s="25"/>
      <c r="N397" s="25"/>
      <c r="O397" s="25"/>
      <c r="P397" s="24"/>
      <c r="Q397" s="25"/>
      <c r="R397" s="24"/>
      <c r="S397" s="26"/>
      <c r="T397" s="25"/>
      <c r="U397" s="25"/>
    </row>
    <row r="398" spans="2:21">
      <c r="B398" s="9"/>
      <c r="C398" s="24"/>
      <c r="D398" s="25"/>
      <c r="E398" s="24"/>
      <c r="F398" s="26"/>
      <c r="G398" s="24"/>
      <c r="H398" s="25"/>
      <c r="I398" s="24"/>
      <c r="J398" s="25"/>
      <c r="K398" s="24"/>
      <c r="L398" s="25"/>
      <c r="M398" s="25"/>
      <c r="N398" s="25"/>
      <c r="O398" s="25"/>
      <c r="P398" s="24"/>
      <c r="Q398" s="25"/>
      <c r="R398" s="24"/>
      <c r="S398" s="26"/>
      <c r="T398" s="25"/>
      <c r="U398" s="25"/>
    </row>
    <row r="399" spans="2:21">
      <c r="B399" s="9"/>
      <c r="C399" s="24"/>
      <c r="D399" s="25"/>
      <c r="E399" s="24"/>
      <c r="F399" s="26"/>
      <c r="G399" s="24"/>
      <c r="H399" s="25"/>
      <c r="I399" s="24"/>
      <c r="J399" s="25"/>
      <c r="K399" s="24"/>
      <c r="L399" s="25"/>
      <c r="M399" s="25"/>
      <c r="N399" s="25"/>
      <c r="O399" s="25"/>
      <c r="P399" s="24"/>
      <c r="Q399" s="25"/>
      <c r="R399" s="24"/>
      <c r="S399" s="26"/>
      <c r="T399" s="25"/>
      <c r="U399" s="25"/>
    </row>
    <row r="400" spans="2:21">
      <c r="B400" s="9"/>
      <c r="C400" s="24"/>
      <c r="D400" s="25"/>
      <c r="E400" s="24"/>
      <c r="F400" s="26"/>
      <c r="G400" s="24"/>
      <c r="H400" s="25"/>
      <c r="I400" s="24"/>
      <c r="J400" s="25"/>
      <c r="K400" s="24"/>
      <c r="L400" s="25"/>
      <c r="M400" s="25"/>
      <c r="N400" s="25"/>
      <c r="O400" s="25"/>
      <c r="P400" s="24"/>
      <c r="Q400" s="25"/>
      <c r="R400" s="24"/>
      <c r="S400" s="26"/>
      <c r="T400" s="25"/>
      <c r="U400" s="25"/>
    </row>
    <row r="401" spans="2:21">
      <c r="B401" s="9"/>
      <c r="C401" s="24"/>
      <c r="D401" s="25"/>
      <c r="E401" s="24"/>
      <c r="F401" s="26"/>
      <c r="G401" s="24"/>
      <c r="H401" s="25"/>
      <c r="I401" s="24"/>
      <c r="J401" s="25"/>
      <c r="K401" s="24"/>
      <c r="L401" s="25"/>
      <c r="M401" s="25"/>
      <c r="N401" s="25"/>
      <c r="O401" s="25"/>
      <c r="P401" s="24"/>
      <c r="Q401" s="25"/>
      <c r="R401" s="24"/>
      <c r="S401" s="26"/>
      <c r="T401" s="25"/>
      <c r="U401" s="25"/>
    </row>
    <row r="402" spans="2:21">
      <c r="B402" s="9"/>
      <c r="C402" s="24"/>
      <c r="D402" s="25"/>
      <c r="E402" s="24"/>
      <c r="F402" s="26"/>
      <c r="G402" s="24"/>
      <c r="H402" s="25"/>
      <c r="I402" s="24"/>
      <c r="J402" s="25"/>
      <c r="K402" s="24"/>
      <c r="L402" s="25"/>
      <c r="M402" s="25"/>
      <c r="N402" s="25"/>
      <c r="O402" s="25"/>
      <c r="P402" s="24"/>
      <c r="Q402" s="25"/>
      <c r="R402" s="24"/>
      <c r="S402" s="26"/>
      <c r="T402" s="25"/>
      <c r="U402" s="25"/>
    </row>
    <row r="403" spans="2:21">
      <c r="B403" s="9"/>
      <c r="C403" s="24"/>
      <c r="D403" s="25"/>
      <c r="E403" s="24"/>
      <c r="F403" s="26"/>
      <c r="G403" s="24"/>
      <c r="H403" s="25"/>
      <c r="I403" s="24"/>
      <c r="J403" s="25"/>
      <c r="K403" s="24"/>
      <c r="L403" s="25"/>
      <c r="M403" s="25"/>
      <c r="N403" s="25"/>
      <c r="O403" s="25"/>
      <c r="P403" s="24"/>
      <c r="Q403" s="25"/>
      <c r="R403" s="24"/>
      <c r="S403" s="26"/>
      <c r="T403" s="25"/>
      <c r="U403" s="25"/>
    </row>
    <row r="404" spans="2:21">
      <c r="B404" s="9"/>
      <c r="C404" s="24"/>
      <c r="D404" s="25"/>
      <c r="E404" s="24"/>
      <c r="F404" s="26"/>
      <c r="G404" s="24"/>
      <c r="H404" s="25"/>
      <c r="I404" s="24"/>
      <c r="J404" s="25"/>
      <c r="K404" s="24"/>
      <c r="L404" s="25"/>
      <c r="M404" s="25"/>
      <c r="N404" s="25"/>
      <c r="O404" s="25"/>
      <c r="P404" s="24"/>
      <c r="Q404" s="25"/>
      <c r="R404" s="24"/>
      <c r="S404" s="26"/>
      <c r="T404" s="25"/>
      <c r="U404" s="25"/>
    </row>
    <row r="405" spans="2:21">
      <c r="B405" s="9"/>
      <c r="C405" s="24"/>
      <c r="D405" s="25"/>
      <c r="E405" s="24"/>
      <c r="F405" s="26"/>
      <c r="G405" s="24"/>
      <c r="H405" s="25"/>
      <c r="I405" s="24"/>
      <c r="J405" s="25"/>
      <c r="K405" s="24"/>
      <c r="L405" s="25"/>
      <c r="M405" s="25"/>
      <c r="N405" s="25"/>
      <c r="O405" s="25"/>
      <c r="P405" s="24"/>
      <c r="Q405" s="25"/>
      <c r="R405" s="24"/>
      <c r="S405" s="26"/>
      <c r="T405" s="25"/>
      <c r="U405" s="25"/>
    </row>
    <row r="406" spans="2:21">
      <c r="B406" s="9"/>
      <c r="C406" s="24"/>
      <c r="D406" s="25"/>
      <c r="E406" s="24"/>
      <c r="F406" s="26"/>
      <c r="G406" s="24"/>
      <c r="H406" s="25"/>
      <c r="I406" s="24"/>
      <c r="J406" s="25"/>
      <c r="K406" s="24"/>
      <c r="L406" s="25"/>
      <c r="M406" s="25"/>
      <c r="N406" s="25"/>
      <c r="O406" s="25"/>
      <c r="P406" s="24"/>
      <c r="Q406" s="25"/>
      <c r="R406" s="24"/>
      <c r="S406" s="26"/>
      <c r="T406" s="25"/>
      <c r="U406" s="25"/>
    </row>
    <row r="407" spans="2:21">
      <c r="B407" s="9"/>
      <c r="C407" s="24"/>
      <c r="D407" s="25"/>
      <c r="E407" s="24"/>
      <c r="F407" s="26"/>
      <c r="G407" s="24"/>
      <c r="H407" s="25"/>
      <c r="I407" s="24"/>
      <c r="J407" s="25"/>
      <c r="K407" s="24"/>
      <c r="L407" s="25"/>
      <c r="M407" s="25"/>
      <c r="N407" s="25"/>
      <c r="O407" s="25"/>
      <c r="P407" s="24"/>
      <c r="Q407" s="25"/>
      <c r="R407" s="24"/>
      <c r="S407" s="26"/>
      <c r="T407" s="25"/>
      <c r="U407" s="25"/>
    </row>
    <row r="408" spans="2:21">
      <c r="B408" s="9"/>
      <c r="C408" s="24"/>
      <c r="D408" s="25"/>
      <c r="E408" s="24"/>
      <c r="F408" s="26"/>
      <c r="G408" s="24"/>
      <c r="H408" s="25"/>
      <c r="I408" s="24"/>
      <c r="J408" s="25"/>
      <c r="K408" s="24"/>
      <c r="L408" s="25"/>
      <c r="M408" s="25"/>
      <c r="N408" s="25"/>
      <c r="O408" s="25"/>
      <c r="P408" s="24"/>
      <c r="Q408" s="25"/>
      <c r="R408" s="24"/>
      <c r="S408" s="26"/>
      <c r="T408" s="25"/>
      <c r="U408" s="25"/>
    </row>
    <row r="409" spans="2:21">
      <c r="B409" s="9"/>
      <c r="C409" s="24"/>
      <c r="D409" s="25"/>
      <c r="E409" s="24"/>
      <c r="F409" s="26"/>
      <c r="G409" s="24"/>
      <c r="H409" s="25"/>
      <c r="I409" s="24"/>
      <c r="J409" s="25"/>
      <c r="K409" s="24"/>
      <c r="L409" s="25"/>
      <c r="M409" s="25"/>
      <c r="N409" s="25"/>
      <c r="O409" s="25"/>
      <c r="P409" s="24"/>
      <c r="Q409" s="25"/>
      <c r="R409" s="24"/>
      <c r="S409" s="26"/>
      <c r="T409" s="25"/>
      <c r="U409" s="25"/>
    </row>
    <row r="410" spans="2:21">
      <c r="B410" s="9"/>
      <c r="C410" s="24"/>
      <c r="D410" s="25"/>
      <c r="E410" s="24"/>
      <c r="F410" s="26"/>
      <c r="G410" s="24"/>
      <c r="H410" s="25"/>
      <c r="I410" s="24"/>
      <c r="J410" s="25"/>
      <c r="K410" s="24"/>
      <c r="L410" s="25"/>
      <c r="M410" s="25"/>
      <c r="N410" s="25"/>
      <c r="O410" s="25"/>
      <c r="P410" s="24"/>
      <c r="Q410" s="25"/>
      <c r="R410" s="24"/>
      <c r="S410" s="26"/>
      <c r="T410" s="25"/>
      <c r="U410" s="25"/>
    </row>
    <row r="411" spans="2:21">
      <c r="B411" s="9"/>
      <c r="C411" s="24"/>
      <c r="D411" s="25"/>
      <c r="E411" s="24"/>
      <c r="F411" s="26"/>
      <c r="G411" s="24"/>
      <c r="H411" s="25"/>
      <c r="I411" s="24"/>
      <c r="J411" s="25"/>
      <c r="K411" s="24"/>
      <c r="L411" s="25"/>
      <c r="M411" s="25"/>
      <c r="N411" s="25"/>
      <c r="O411" s="25"/>
      <c r="P411" s="24"/>
      <c r="Q411" s="25"/>
      <c r="R411" s="24"/>
      <c r="S411" s="26"/>
      <c r="T411" s="25"/>
      <c r="U411" s="25"/>
    </row>
    <row r="412" spans="2:21">
      <c r="B412" s="9"/>
      <c r="C412" s="24"/>
      <c r="D412" s="25"/>
      <c r="E412" s="24"/>
      <c r="F412" s="26"/>
      <c r="G412" s="24"/>
      <c r="H412" s="25"/>
      <c r="I412" s="24"/>
      <c r="J412" s="25"/>
      <c r="K412" s="24"/>
      <c r="L412" s="25"/>
      <c r="M412" s="25"/>
      <c r="N412" s="25"/>
      <c r="O412" s="25"/>
      <c r="P412" s="24"/>
      <c r="Q412" s="25"/>
      <c r="R412" s="24"/>
      <c r="S412" s="26"/>
      <c r="T412" s="25"/>
      <c r="U412" s="25"/>
    </row>
    <row r="413" spans="2:21">
      <c r="B413" s="9"/>
      <c r="C413" s="24"/>
      <c r="D413" s="25"/>
      <c r="E413" s="24"/>
      <c r="F413" s="26"/>
      <c r="G413" s="24"/>
      <c r="H413" s="25"/>
      <c r="I413" s="24"/>
      <c r="J413" s="25"/>
      <c r="K413" s="24"/>
      <c r="L413" s="25"/>
      <c r="M413" s="25"/>
      <c r="N413" s="25"/>
      <c r="O413" s="25"/>
      <c r="P413" s="24"/>
      <c r="Q413" s="25"/>
      <c r="R413" s="24"/>
      <c r="S413" s="26"/>
      <c r="T413" s="25"/>
      <c r="U413" s="25"/>
    </row>
    <row r="414" spans="2:21">
      <c r="B414" s="9"/>
      <c r="C414" s="24"/>
      <c r="D414" s="25"/>
      <c r="E414" s="24"/>
      <c r="F414" s="26"/>
      <c r="G414" s="24"/>
      <c r="H414" s="25"/>
      <c r="I414" s="24"/>
      <c r="J414" s="25"/>
      <c r="K414" s="24"/>
      <c r="L414" s="25"/>
      <c r="M414" s="25"/>
      <c r="N414" s="25"/>
      <c r="O414" s="25"/>
      <c r="P414" s="24"/>
      <c r="Q414" s="25"/>
      <c r="R414" s="24"/>
      <c r="S414" s="26"/>
      <c r="T414" s="25"/>
      <c r="U414" s="25"/>
    </row>
    <row r="415" spans="2:21">
      <c r="B415" s="9"/>
      <c r="C415" s="24"/>
      <c r="D415" s="25"/>
      <c r="E415" s="24"/>
      <c r="F415" s="26"/>
      <c r="G415" s="24"/>
      <c r="H415" s="25"/>
      <c r="I415" s="24"/>
      <c r="J415" s="25"/>
      <c r="K415" s="24"/>
      <c r="L415" s="25"/>
      <c r="M415" s="25"/>
      <c r="N415" s="25"/>
      <c r="O415" s="25"/>
      <c r="P415" s="24"/>
      <c r="Q415" s="25"/>
      <c r="R415" s="24"/>
      <c r="S415" s="26"/>
      <c r="T415" s="25"/>
      <c r="U415" s="25"/>
    </row>
    <row r="416" spans="2:21">
      <c r="B416" s="9"/>
      <c r="C416" s="24"/>
      <c r="D416" s="25"/>
      <c r="E416" s="24"/>
      <c r="F416" s="26"/>
      <c r="G416" s="24"/>
      <c r="H416" s="25"/>
      <c r="I416" s="24"/>
      <c r="J416" s="25"/>
      <c r="K416" s="24"/>
      <c r="L416" s="25"/>
      <c r="M416" s="25"/>
      <c r="N416" s="25"/>
      <c r="O416" s="25"/>
      <c r="P416" s="24"/>
      <c r="Q416" s="25"/>
      <c r="R416" s="24"/>
      <c r="S416" s="26"/>
      <c r="T416" s="25"/>
      <c r="U416" s="25"/>
    </row>
    <row r="417" spans="2:21">
      <c r="B417" s="9"/>
      <c r="C417" s="24"/>
      <c r="D417" s="25"/>
      <c r="E417" s="24"/>
      <c r="F417" s="26"/>
      <c r="G417" s="24"/>
      <c r="H417" s="25"/>
      <c r="I417" s="24"/>
      <c r="J417" s="25"/>
      <c r="K417" s="24"/>
      <c r="L417" s="25"/>
      <c r="M417" s="25"/>
      <c r="N417" s="25"/>
      <c r="O417" s="25"/>
      <c r="P417" s="24"/>
      <c r="Q417" s="25"/>
      <c r="R417" s="24"/>
      <c r="S417" s="26"/>
      <c r="T417" s="25"/>
      <c r="U417" s="25"/>
    </row>
    <row r="418" spans="2:21">
      <c r="B418" s="9"/>
      <c r="C418" s="24"/>
      <c r="D418" s="25"/>
      <c r="E418" s="24"/>
      <c r="F418" s="26"/>
      <c r="G418" s="24"/>
      <c r="H418" s="25"/>
      <c r="I418" s="24"/>
      <c r="J418" s="25"/>
      <c r="K418" s="24"/>
      <c r="L418" s="25"/>
      <c r="M418" s="25"/>
      <c r="N418" s="25"/>
      <c r="O418" s="25"/>
      <c r="P418" s="24"/>
      <c r="Q418" s="25"/>
      <c r="R418" s="24"/>
      <c r="S418" s="26"/>
      <c r="T418" s="25"/>
      <c r="U418" s="25"/>
    </row>
    <row r="419" spans="2:21">
      <c r="B419" s="9"/>
      <c r="C419" s="24"/>
      <c r="D419" s="25"/>
      <c r="E419" s="24"/>
      <c r="F419" s="26"/>
      <c r="G419" s="24"/>
      <c r="H419" s="25"/>
      <c r="I419" s="24"/>
      <c r="J419" s="25"/>
      <c r="K419" s="24"/>
      <c r="L419" s="25"/>
      <c r="M419" s="25"/>
      <c r="N419" s="25"/>
      <c r="O419" s="25"/>
      <c r="P419" s="24"/>
      <c r="Q419" s="25"/>
      <c r="R419" s="24"/>
      <c r="S419" s="26"/>
      <c r="T419" s="25"/>
      <c r="U419" s="25"/>
    </row>
    <row r="420" spans="2:21">
      <c r="B420" s="9"/>
      <c r="C420" s="24"/>
      <c r="D420" s="25"/>
      <c r="E420" s="24"/>
      <c r="F420" s="26"/>
      <c r="G420" s="24"/>
      <c r="H420" s="25"/>
      <c r="I420" s="24"/>
      <c r="J420" s="25"/>
      <c r="K420" s="24"/>
      <c r="L420" s="25"/>
      <c r="M420" s="25"/>
      <c r="N420" s="25"/>
      <c r="O420" s="25"/>
      <c r="P420" s="24"/>
      <c r="Q420" s="25"/>
      <c r="R420" s="24"/>
      <c r="S420" s="26"/>
      <c r="T420" s="25"/>
      <c r="U420" s="25"/>
    </row>
    <row r="421" spans="2:21">
      <c r="B421" s="9"/>
      <c r="C421" s="24"/>
      <c r="D421" s="25"/>
      <c r="E421" s="24"/>
      <c r="F421" s="26"/>
      <c r="G421" s="24"/>
      <c r="H421" s="25"/>
      <c r="I421" s="24"/>
      <c r="J421" s="25"/>
      <c r="K421" s="24"/>
      <c r="L421" s="25"/>
      <c r="M421" s="25"/>
      <c r="N421" s="25"/>
      <c r="O421" s="25"/>
      <c r="P421" s="24"/>
      <c r="Q421" s="25"/>
      <c r="R421" s="24"/>
      <c r="S421" s="26"/>
      <c r="T421" s="25"/>
      <c r="U421" s="25"/>
    </row>
    <row r="422" spans="2:21">
      <c r="B422" s="9"/>
      <c r="C422" s="24"/>
      <c r="D422" s="25"/>
      <c r="E422" s="24"/>
      <c r="F422" s="26"/>
      <c r="G422" s="24"/>
      <c r="H422" s="25"/>
      <c r="I422" s="24"/>
      <c r="J422" s="25"/>
      <c r="K422" s="24"/>
      <c r="L422" s="25"/>
      <c r="M422" s="25"/>
      <c r="N422" s="25"/>
      <c r="O422" s="25"/>
      <c r="P422" s="24"/>
      <c r="Q422" s="25"/>
      <c r="R422" s="24"/>
      <c r="S422" s="26"/>
      <c r="T422" s="25"/>
      <c r="U422" s="25"/>
    </row>
    <row r="423" spans="2:21">
      <c r="B423" s="9"/>
      <c r="C423" s="24"/>
      <c r="D423" s="25"/>
      <c r="E423" s="24"/>
      <c r="F423" s="26"/>
      <c r="G423" s="24"/>
      <c r="H423" s="25"/>
      <c r="I423" s="24"/>
      <c r="J423" s="25"/>
      <c r="K423" s="24"/>
      <c r="L423" s="25"/>
      <c r="M423" s="25"/>
      <c r="N423" s="25"/>
      <c r="O423" s="25"/>
      <c r="P423" s="24"/>
      <c r="Q423" s="25"/>
      <c r="R423" s="24"/>
      <c r="S423" s="26"/>
      <c r="T423" s="25"/>
      <c r="U423" s="25"/>
    </row>
    <row r="424" spans="2:21">
      <c r="B424" s="9"/>
      <c r="C424" s="24"/>
      <c r="D424" s="25"/>
      <c r="E424" s="24"/>
      <c r="F424" s="26"/>
      <c r="G424" s="24"/>
      <c r="H424" s="25"/>
      <c r="I424" s="24"/>
      <c r="J424" s="25"/>
      <c r="K424" s="24"/>
      <c r="L424" s="25"/>
      <c r="M424" s="25"/>
      <c r="N424" s="25"/>
      <c r="O424" s="25"/>
      <c r="P424" s="24"/>
      <c r="Q424" s="25"/>
      <c r="R424" s="24"/>
      <c r="S424" s="26"/>
      <c r="T424" s="25"/>
      <c r="U424" s="25"/>
    </row>
    <row r="425" spans="2:21">
      <c r="B425" s="9"/>
      <c r="C425" s="24"/>
      <c r="D425" s="25"/>
      <c r="E425" s="24"/>
      <c r="F425" s="26"/>
      <c r="G425" s="24"/>
      <c r="H425" s="25"/>
      <c r="I425" s="24"/>
      <c r="J425" s="25"/>
      <c r="K425" s="24"/>
      <c r="L425" s="25"/>
      <c r="M425" s="25"/>
      <c r="N425" s="25"/>
      <c r="O425" s="25"/>
      <c r="P425" s="24"/>
      <c r="Q425" s="25"/>
      <c r="R425" s="24"/>
      <c r="S425" s="26"/>
      <c r="T425" s="25"/>
      <c r="U425" s="25"/>
    </row>
    <row r="426" spans="2:21">
      <c r="B426" s="9"/>
      <c r="C426" s="24"/>
      <c r="D426" s="25"/>
      <c r="E426" s="24"/>
      <c r="F426" s="26"/>
      <c r="G426" s="24"/>
      <c r="H426" s="25"/>
      <c r="I426" s="24"/>
      <c r="J426" s="25"/>
      <c r="K426" s="24"/>
      <c r="L426" s="25"/>
      <c r="M426" s="25"/>
      <c r="N426" s="25"/>
      <c r="O426" s="25"/>
      <c r="P426" s="24"/>
      <c r="Q426" s="25"/>
      <c r="R426" s="24"/>
      <c r="S426" s="26"/>
      <c r="T426" s="25"/>
      <c r="U426" s="25"/>
    </row>
    <row r="427" spans="2:21">
      <c r="B427" s="9"/>
      <c r="C427" s="24"/>
      <c r="D427" s="25"/>
      <c r="E427" s="24"/>
      <c r="F427" s="26"/>
      <c r="G427" s="24"/>
      <c r="H427" s="25"/>
      <c r="I427" s="24"/>
      <c r="J427" s="25"/>
      <c r="K427" s="24"/>
      <c r="L427" s="25"/>
      <c r="M427" s="25"/>
      <c r="N427" s="25"/>
      <c r="O427" s="25"/>
      <c r="P427" s="24"/>
      <c r="Q427" s="25"/>
      <c r="R427" s="24"/>
      <c r="S427" s="26"/>
      <c r="T427" s="25"/>
      <c r="U427" s="25"/>
    </row>
    <row r="428" spans="2:21">
      <c r="B428" s="9"/>
      <c r="C428" s="24"/>
      <c r="D428" s="25"/>
      <c r="E428" s="24"/>
      <c r="F428" s="26"/>
      <c r="G428" s="24"/>
      <c r="H428" s="25"/>
      <c r="I428" s="24"/>
      <c r="J428" s="25"/>
      <c r="K428" s="24"/>
      <c r="L428" s="25"/>
      <c r="M428" s="25"/>
      <c r="N428" s="25"/>
      <c r="O428" s="25"/>
      <c r="P428" s="24"/>
      <c r="Q428" s="25"/>
      <c r="R428" s="24"/>
      <c r="S428" s="26"/>
      <c r="T428" s="25"/>
      <c r="U428" s="25"/>
    </row>
    <row r="429" spans="2:21">
      <c r="B429" s="9"/>
      <c r="C429" s="24"/>
      <c r="D429" s="25"/>
      <c r="E429" s="24"/>
      <c r="F429" s="26"/>
      <c r="G429" s="24"/>
      <c r="H429" s="25"/>
      <c r="I429" s="24"/>
      <c r="J429" s="25"/>
      <c r="K429" s="24"/>
      <c r="L429" s="25"/>
      <c r="M429" s="25"/>
      <c r="N429" s="25"/>
      <c r="O429" s="25"/>
      <c r="P429" s="24"/>
      <c r="Q429" s="25"/>
      <c r="R429" s="24"/>
      <c r="S429" s="26"/>
      <c r="T429" s="25"/>
      <c r="U429" s="25"/>
    </row>
    <row r="430" spans="2:21">
      <c r="B430" s="9"/>
      <c r="C430" s="24"/>
      <c r="D430" s="25"/>
      <c r="E430" s="24"/>
      <c r="F430" s="26"/>
      <c r="G430" s="24"/>
      <c r="H430" s="25"/>
      <c r="I430" s="24"/>
      <c r="J430" s="25"/>
      <c r="K430" s="24"/>
      <c r="L430" s="25"/>
      <c r="M430" s="25"/>
      <c r="N430" s="25"/>
      <c r="O430" s="25"/>
      <c r="P430" s="24"/>
      <c r="Q430" s="25"/>
      <c r="R430" s="24"/>
      <c r="S430" s="26"/>
      <c r="T430" s="25"/>
      <c r="U430" s="25"/>
    </row>
    <row r="431" spans="2:21">
      <c r="B431" s="9"/>
      <c r="C431" s="24"/>
      <c r="D431" s="25"/>
      <c r="E431" s="24"/>
      <c r="F431" s="26"/>
      <c r="G431" s="24"/>
      <c r="H431" s="25"/>
      <c r="I431" s="24"/>
      <c r="J431" s="25"/>
      <c r="K431" s="24"/>
      <c r="L431" s="25"/>
      <c r="M431" s="25"/>
      <c r="N431" s="25"/>
      <c r="O431" s="25"/>
      <c r="P431" s="24"/>
      <c r="Q431" s="25"/>
      <c r="R431" s="24"/>
      <c r="S431" s="26"/>
      <c r="T431" s="25"/>
      <c r="U431" s="25"/>
    </row>
    <row r="432" spans="2:21">
      <c r="B432" s="9"/>
      <c r="C432" s="24"/>
      <c r="D432" s="25"/>
      <c r="E432" s="24"/>
      <c r="F432" s="26"/>
      <c r="G432" s="24"/>
      <c r="H432" s="25"/>
      <c r="I432" s="24"/>
      <c r="J432" s="25"/>
      <c r="K432" s="24"/>
      <c r="L432" s="25"/>
      <c r="M432" s="25"/>
      <c r="N432" s="25"/>
      <c r="O432" s="25"/>
      <c r="P432" s="24"/>
      <c r="Q432" s="25"/>
      <c r="R432" s="24"/>
      <c r="S432" s="26"/>
      <c r="T432" s="25"/>
      <c r="U432" s="25"/>
    </row>
    <row r="433" spans="2:21">
      <c r="B433" s="9"/>
      <c r="C433" s="24"/>
      <c r="D433" s="25"/>
      <c r="E433" s="24"/>
      <c r="F433" s="26"/>
      <c r="G433" s="24"/>
      <c r="H433" s="25"/>
      <c r="I433" s="24"/>
      <c r="J433" s="25"/>
      <c r="K433" s="24"/>
      <c r="L433" s="25"/>
      <c r="M433" s="25"/>
      <c r="N433" s="25"/>
      <c r="O433" s="25"/>
      <c r="P433" s="24"/>
      <c r="Q433" s="25"/>
      <c r="R433" s="24"/>
      <c r="S433" s="26"/>
      <c r="T433" s="25"/>
      <c r="U433" s="25"/>
    </row>
    <row r="434" spans="2:21">
      <c r="B434" s="9"/>
      <c r="C434" s="24"/>
      <c r="D434" s="25"/>
      <c r="E434" s="24"/>
      <c r="F434" s="26"/>
      <c r="G434" s="24"/>
      <c r="H434" s="25"/>
      <c r="I434" s="24"/>
      <c r="J434" s="25"/>
      <c r="K434" s="24"/>
      <c r="L434" s="25"/>
      <c r="M434" s="25"/>
      <c r="N434" s="25"/>
      <c r="O434" s="25"/>
      <c r="P434" s="24"/>
      <c r="Q434" s="25"/>
      <c r="R434" s="24"/>
      <c r="S434" s="26"/>
      <c r="T434" s="25"/>
      <c r="U434" s="25"/>
    </row>
    <row r="435" spans="2:21">
      <c r="B435" s="9"/>
      <c r="C435" s="24"/>
      <c r="D435" s="25"/>
      <c r="E435" s="24"/>
      <c r="F435" s="26"/>
      <c r="G435" s="24"/>
      <c r="H435" s="25"/>
      <c r="I435" s="24"/>
      <c r="J435" s="25"/>
      <c r="K435" s="24"/>
      <c r="L435" s="25"/>
      <c r="M435" s="25"/>
      <c r="N435" s="25"/>
      <c r="O435" s="25"/>
      <c r="P435" s="24"/>
      <c r="Q435" s="25"/>
      <c r="R435" s="24"/>
      <c r="S435" s="26"/>
      <c r="T435" s="25"/>
      <c r="U435" s="25"/>
    </row>
    <row r="436" spans="2:21">
      <c r="B436" s="9"/>
      <c r="C436" s="24"/>
      <c r="D436" s="25"/>
      <c r="E436" s="24"/>
      <c r="F436" s="26"/>
      <c r="G436" s="24"/>
      <c r="H436" s="25"/>
      <c r="I436" s="24"/>
      <c r="J436" s="25"/>
      <c r="K436" s="24"/>
      <c r="L436" s="25"/>
      <c r="M436" s="25"/>
      <c r="N436" s="25"/>
      <c r="O436" s="25"/>
      <c r="P436" s="24"/>
      <c r="Q436" s="25"/>
      <c r="R436" s="24"/>
      <c r="S436" s="26"/>
      <c r="T436" s="25"/>
      <c r="U436" s="25"/>
    </row>
    <row r="437" spans="2:21">
      <c r="B437" s="9"/>
      <c r="C437" s="24"/>
      <c r="D437" s="25"/>
      <c r="E437" s="24"/>
      <c r="F437" s="26"/>
      <c r="G437" s="24"/>
      <c r="H437" s="25"/>
      <c r="I437" s="24"/>
      <c r="J437" s="25"/>
      <c r="K437" s="24"/>
      <c r="L437" s="25"/>
      <c r="M437" s="25"/>
      <c r="N437" s="25"/>
      <c r="O437" s="25"/>
      <c r="P437" s="24"/>
      <c r="Q437" s="25"/>
      <c r="R437" s="24"/>
      <c r="S437" s="26"/>
      <c r="T437" s="25"/>
      <c r="U437" s="25"/>
    </row>
    <row r="438" spans="2:21">
      <c r="B438" s="9"/>
      <c r="C438" s="24"/>
      <c r="D438" s="25"/>
      <c r="E438" s="24"/>
      <c r="F438" s="26"/>
      <c r="G438" s="24"/>
      <c r="H438" s="25"/>
      <c r="I438" s="24"/>
      <c r="J438" s="25"/>
      <c r="K438" s="24"/>
      <c r="L438" s="25"/>
      <c r="M438" s="25"/>
      <c r="N438" s="25"/>
      <c r="O438" s="25"/>
      <c r="P438" s="24"/>
      <c r="Q438" s="25"/>
      <c r="R438" s="24"/>
      <c r="S438" s="26"/>
      <c r="T438" s="25"/>
      <c r="U438" s="25"/>
    </row>
    <row r="439" spans="2:21">
      <c r="B439" s="9"/>
      <c r="C439" s="24"/>
      <c r="D439" s="25"/>
      <c r="E439" s="24"/>
      <c r="F439" s="26"/>
      <c r="G439" s="24"/>
      <c r="H439" s="25"/>
      <c r="I439" s="24"/>
      <c r="J439" s="25"/>
      <c r="K439" s="24"/>
      <c r="L439" s="25"/>
      <c r="M439" s="25"/>
      <c r="N439" s="25"/>
      <c r="O439" s="25"/>
      <c r="P439" s="24"/>
      <c r="Q439" s="25"/>
      <c r="R439" s="24"/>
      <c r="S439" s="26"/>
      <c r="T439" s="25"/>
      <c r="U439" s="25"/>
    </row>
    <row r="440" spans="2:21">
      <c r="B440" s="9"/>
      <c r="C440" s="24"/>
      <c r="D440" s="25"/>
      <c r="E440" s="24"/>
      <c r="F440" s="26"/>
      <c r="G440" s="24"/>
      <c r="H440" s="25"/>
      <c r="I440" s="24"/>
      <c r="J440" s="25"/>
      <c r="K440" s="24"/>
      <c r="L440" s="25"/>
      <c r="M440" s="25"/>
      <c r="N440" s="25"/>
      <c r="O440" s="25"/>
      <c r="P440" s="24"/>
      <c r="Q440" s="25"/>
      <c r="R440" s="24"/>
      <c r="S440" s="26"/>
      <c r="T440" s="25"/>
      <c r="U440" s="25"/>
    </row>
    <row r="441" spans="2:21">
      <c r="B441" s="9"/>
      <c r="C441" s="24"/>
      <c r="D441" s="25"/>
      <c r="E441" s="24"/>
      <c r="F441" s="26"/>
      <c r="G441" s="24"/>
      <c r="H441" s="25"/>
      <c r="I441" s="24"/>
      <c r="J441" s="25"/>
      <c r="K441" s="24"/>
      <c r="L441" s="25"/>
      <c r="M441" s="25"/>
      <c r="N441" s="25"/>
      <c r="O441" s="25"/>
      <c r="P441" s="24"/>
      <c r="Q441" s="25"/>
      <c r="R441" s="24"/>
      <c r="S441" s="26"/>
      <c r="T441" s="25"/>
      <c r="U441" s="25"/>
    </row>
    <row r="442" spans="2:21">
      <c r="B442" s="9"/>
      <c r="C442" s="24"/>
      <c r="D442" s="25"/>
      <c r="E442" s="24"/>
      <c r="F442" s="26"/>
      <c r="G442" s="24"/>
      <c r="H442" s="25"/>
      <c r="I442" s="24"/>
      <c r="J442" s="25"/>
      <c r="K442" s="24"/>
      <c r="L442" s="25"/>
      <c r="M442" s="25"/>
      <c r="N442" s="25"/>
      <c r="O442" s="25"/>
      <c r="P442" s="24"/>
      <c r="Q442" s="25"/>
      <c r="R442" s="24"/>
      <c r="S442" s="26"/>
      <c r="T442" s="25"/>
      <c r="U442" s="25"/>
    </row>
    <row r="443" spans="2:21">
      <c r="B443" s="9"/>
      <c r="C443" s="24"/>
      <c r="D443" s="25"/>
      <c r="E443" s="24"/>
      <c r="F443" s="26"/>
      <c r="G443" s="24"/>
      <c r="H443" s="25"/>
      <c r="I443" s="24"/>
      <c r="J443" s="25"/>
      <c r="K443" s="24"/>
      <c r="L443" s="25"/>
      <c r="M443" s="25"/>
      <c r="N443" s="25"/>
      <c r="O443" s="25"/>
      <c r="P443" s="24"/>
      <c r="Q443" s="25"/>
      <c r="R443" s="24"/>
      <c r="S443" s="26"/>
      <c r="T443" s="25"/>
      <c r="U443" s="25"/>
    </row>
    <row r="444" spans="2:21">
      <c r="B444" s="9"/>
      <c r="C444" s="24"/>
      <c r="D444" s="25"/>
      <c r="E444" s="24"/>
      <c r="F444" s="26"/>
      <c r="G444" s="24"/>
      <c r="H444" s="25"/>
      <c r="I444" s="24"/>
      <c r="J444" s="25"/>
      <c r="K444" s="24"/>
      <c r="L444" s="25"/>
      <c r="M444" s="25"/>
      <c r="N444" s="25"/>
      <c r="O444" s="25"/>
      <c r="P444" s="24"/>
      <c r="Q444" s="25"/>
      <c r="R444" s="24"/>
      <c r="S444" s="26"/>
      <c r="T444" s="25"/>
      <c r="U444" s="25"/>
    </row>
    <row r="445" spans="2:21">
      <c r="B445" s="9"/>
      <c r="C445" s="24"/>
      <c r="D445" s="25"/>
      <c r="E445" s="24"/>
      <c r="F445" s="26"/>
      <c r="G445" s="24"/>
      <c r="H445" s="25"/>
      <c r="I445" s="24"/>
      <c r="J445" s="25"/>
      <c r="K445" s="24"/>
      <c r="L445" s="25"/>
      <c r="M445" s="25"/>
      <c r="N445" s="25"/>
      <c r="O445" s="25"/>
      <c r="P445" s="24"/>
      <c r="Q445" s="25"/>
      <c r="R445" s="24"/>
      <c r="S445" s="26"/>
      <c r="T445" s="25"/>
      <c r="U445" s="25"/>
    </row>
    <row r="446" spans="2:21">
      <c r="B446" s="9"/>
      <c r="C446" s="24"/>
      <c r="D446" s="25"/>
      <c r="E446" s="24"/>
      <c r="F446" s="26"/>
      <c r="G446" s="24"/>
      <c r="H446" s="25"/>
      <c r="I446" s="24"/>
      <c r="J446" s="25"/>
      <c r="K446" s="24"/>
      <c r="L446" s="25"/>
      <c r="M446" s="25"/>
      <c r="N446" s="25"/>
      <c r="O446" s="25"/>
      <c r="P446" s="24"/>
      <c r="Q446" s="25"/>
      <c r="R446" s="24"/>
      <c r="S446" s="26"/>
      <c r="T446" s="25"/>
      <c r="U446" s="25"/>
    </row>
    <row r="447" spans="2:21">
      <c r="B447" s="9"/>
      <c r="C447" s="24"/>
      <c r="D447" s="25"/>
      <c r="E447" s="24"/>
      <c r="F447" s="26"/>
      <c r="G447" s="24"/>
      <c r="H447" s="25"/>
      <c r="I447" s="24"/>
      <c r="J447" s="25"/>
      <c r="K447" s="24"/>
      <c r="L447" s="25"/>
      <c r="M447" s="25"/>
      <c r="N447" s="25"/>
      <c r="O447" s="25"/>
      <c r="P447" s="24"/>
      <c r="Q447" s="25"/>
      <c r="R447" s="24"/>
      <c r="S447" s="26"/>
      <c r="T447" s="25"/>
      <c r="U447" s="25"/>
    </row>
    <row r="448" spans="2:21">
      <c r="B448" s="9"/>
      <c r="C448" s="24"/>
      <c r="D448" s="25"/>
      <c r="E448" s="24"/>
      <c r="F448" s="26"/>
      <c r="G448" s="24"/>
      <c r="H448" s="25"/>
      <c r="I448" s="24"/>
      <c r="J448" s="25"/>
      <c r="K448" s="24"/>
      <c r="L448" s="25"/>
      <c r="M448" s="25"/>
      <c r="N448" s="25"/>
      <c r="O448" s="25"/>
      <c r="P448" s="24"/>
      <c r="Q448" s="25"/>
      <c r="R448" s="24"/>
      <c r="S448" s="26"/>
      <c r="T448" s="25"/>
      <c r="U448" s="25"/>
    </row>
    <row r="449" spans="2:21">
      <c r="B449" s="9"/>
      <c r="C449" s="24"/>
      <c r="D449" s="25"/>
      <c r="E449" s="24"/>
      <c r="F449" s="26"/>
      <c r="G449" s="24"/>
      <c r="H449" s="25"/>
      <c r="I449" s="24"/>
      <c r="J449" s="25"/>
      <c r="K449" s="24"/>
      <c r="L449" s="25"/>
      <c r="M449" s="25"/>
      <c r="N449" s="25"/>
      <c r="O449" s="25"/>
      <c r="P449" s="24"/>
      <c r="Q449" s="25"/>
      <c r="R449" s="24"/>
      <c r="S449" s="26"/>
      <c r="T449" s="25"/>
      <c r="U449" s="25"/>
    </row>
    <row r="450" spans="2:21">
      <c r="B450" s="9"/>
      <c r="C450" s="24"/>
      <c r="D450" s="25"/>
      <c r="E450" s="24"/>
      <c r="F450" s="26"/>
      <c r="G450" s="24"/>
      <c r="H450" s="25"/>
      <c r="I450" s="24"/>
      <c r="J450" s="25"/>
      <c r="K450" s="24"/>
      <c r="L450" s="25"/>
      <c r="M450" s="25"/>
      <c r="N450" s="25"/>
      <c r="O450" s="25"/>
      <c r="P450" s="24"/>
      <c r="Q450" s="25"/>
      <c r="R450" s="24"/>
      <c r="S450" s="26"/>
      <c r="T450" s="25"/>
      <c r="U450" s="25"/>
    </row>
    <row r="451" spans="2:21">
      <c r="B451" s="9"/>
      <c r="C451" s="24"/>
      <c r="D451" s="25"/>
      <c r="E451" s="24"/>
      <c r="F451" s="26"/>
      <c r="G451" s="24"/>
      <c r="H451" s="25"/>
      <c r="I451" s="24"/>
      <c r="J451" s="25"/>
      <c r="K451" s="24"/>
      <c r="L451" s="25"/>
      <c r="M451" s="25"/>
      <c r="N451" s="25"/>
      <c r="O451" s="25"/>
      <c r="P451" s="24"/>
      <c r="Q451" s="25"/>
      <c r="R451" s="24"/>
      <c r="S451" s="26"/>
      <c r="T451" s="25"/>
      <c r="U451" s="25"/>
    </row>
    <row r="452" spans="2:21">
      <c r="B452" s="9"/>
      <c r="C452" s="24"/>
      <c r="D452" s="25"/>
      <c r="E452" s="24"/>
      <c r="F452" s="26"/>
      <c r="G452" s="24"/>
      <c r="H452" s="25"/>
      <c r="I452" s="24"/>
      <c r="J452" s="25"/>
      <c r="K452" s="24"/>
      <c r="L452" s="25"/>
      <c r="M452" s="25"/>
      <c r="N452" s="25"/>
      <c r="O452" s="25"/>
      <c r="P452" s="24"/>
      <c r="Q452" s="25"/>
      <c r="R452" s="24"/>
      <c r="S452" s="26"/>
      <c r="T452" s="25"/>
      <c r="U452" s="25"/>
    </row>
    <row r="453" spans="2:21">
      <c r="B453" s="9"/>
      <c r="C453" s="24"/>
      <c r="D453" s="25"/>
      <c r="E453" s="24"/>
      <c r="F453" s="26"/>
      <c r="G453" s="24"/>
      <c r="H453" s="25"/>
      <c r="I453" s="24"/>
      <c r="J453" s="25"/>
      <c r="K453" s="24"/>
      <c r="L453" s="25"/>
      <c r="M453" s="25"/>
      <c r="N453" s="25"/>
      <c r="O453" s="25"/>
      <c r="P453" s="24"/>
      <c r="Q453" s="25"/>
      <c r="R453" s="24"/>
      <c r="S453" s="26"/>
      <c r="T453" s="25"/>
      <c r="U453" s="25"/>
    </row>
    <row r="454" spans="2:21">
      <c r="B454" s="9"/>
      <c r="C454" s="24"/>
      <c r="D454" s="25"/>
      <c r="E454" s="24"/>
      <c r="F454" s="26"/>
      <c r="G454" s="24"/>
      <c r="H454" s="25"/>
      <c r="I454" s="24"/>
      <c r="J454" s="25"/>
      <c r="K454" s="24"/>
      <c r="L454" s="25"/>
      <c r="M454" s="25"/>
      <c r="N454" s="25"/>
      <c r="O454" s="25"/>
      <c r="P454" s="24"/>
      <c r="Q454" s="25"/>
      <c r="R454" s="24"/>
      <c r="S454" s="26"/>
      <c r="T454" s="25"/>
      <c r="U454" s="25"/>
    </row>
    <row r="455" spans="2:21">
      <c r="B455" s="9"/>
      <c r="C455" s="24"/>
      <c r="D455" s="25"/>
      <c r="E455" s="24"/>
      <c r="F455" s="26"/>
      <c r="G455" s="24"/>
      <c r="H455" s="25"/>
      <c r="I455" s="24"/>
      <c r="J455" s="25"/>
      <c r="K455" s="24"/>
      <c r="L455" s="25"/>
      <c r="M455" s="25"/>
      <c r="N455" s="25"/>
      <c r="O455" s="25"/>
      <c r="P455" s="24"/>
      <c r="Q455" s="25"/>
      <c r="R455" s="24"/>
      <c r="S455" s="26"/>
      <c r="T455" s="25"/>
      <c r="U455" s="25"/>
    </row>
    <row r="456" spans="2:21">
      <c r="B456" s="9"/>
      <c r="C456" s="24"/>
      <c r="D456" s="25"/>
      <c r="E456" s="24"/>
      <c r="F456" s="26"/>
      <c r="G456" s="24"/>
      <c r="H456" s="25"/>
      <c r="I456" s="24"/>
      <c r="J456" s="25"/>
      <c r="K456" s="24"/>
      <c r="L456" s="25"/>
      <c r="M456" s="25"/>
      <c r="N456" s="25"/>
      <c r="O456" s="25"/>
      <c r="P456" s="24"/>
      <c r="Q456" s="25"/>
      <c r="R456" s="24"/>
      <c r="S456" s="26"/>
      <c r="T456" s="25"/>
      <c r="U456" s="25"/>
    </row>
    <row r="457" spans="2:21">
      <c r="B457" s="9"/>
      <c r="C457" s="24"/>
      <c r="D457" s="25"/>
      <c r="E457" s="24"/>
      <c r="F457" s="26"/>
      <c r="G457" s="24"/>
      <c r="H457" s="25"/>
      <c r="I457" s="24"/>
      <c r="J457" s="25"/>
      <c r="K457" s="24"/>
      <c r="L457" s="25"/>
      <c r="M457" s="25"/>
      <c r="N457" s="25"/>
      <c r="O457" s="25"/>
      <c r="P457" s="24"/>
      <c r="Q457" s="25"/>
      <c r="R457" s="24"/>
      <c r="S457" s="26"/>
      <c r="T457" s="25"/>
      <c r="U457" s="25"/>
    </row>
    <row r="458" spans="2:21">
      <c r="B458" s="9"/>
      <c r="C458" s="24"/>
      <c r="D458" s="25"/>
      <c r="E458" s="24"/>
      <c r="F458" s="26"/>
      <c r="G458" s="24"/>
      <c r="H458" s="25"/>
      <c r="I458" s="24"/>
      <c r="J458" s="25"/>
      <c r="K458" s="24"/>
      <c r="L458" s="25"/>
      <c r="M458" s="25"/>
      <c r="N458" s="25"/>
      <c r="O458" s="25"/>
      <c r="P458" s="24"/>
      <c r="Q458" s="25"/>
      <c r="R458" s="24"/>
      <c r="S458" s="26"/>
      <c r="T458" s="25"/>
      <c r="U458" s="25"/>
    </row>
    <row r="459" spans="2:21">
      <c r="B459" s="9"/>
      <c r="C459" s="24"/>
      <c r="D459" s="25"/>
      <c r="E459" s="24"/>
      <c r="F459" s="26"/>
      <c r="G459" s="24"/>
      <c r="H459" s="25"/>
      <c r="I459" s="24"/>
      <c r="J459" s="25"/>
      <c r="K459" s="24"/>
      <c r="L459" s="25"/>
      <c r="M459" s="25"/>
      <c r="N459" s="25"/>
      <c r="O459" s="25"/>
      <c r="P459" s="24"/>
      <c r="Q459" s="25"/>
      <c r="R459" s="24"/>
      <c r="S459" s="26"/>
      <c r="T459" s="25"/>
      <c r="U459" s="25"/>
    </row>
    <row r="460" spans="2:21">
      <c r="B460" s="9"/>
      <c r="C460" s="24"/>
      <c r="D460" s="25"/>
      <c r="E460" s="24"/>
      <c r="F460" s="26"/>
      <c r="G460" s="24"/>
      <c r="H460" s="25"/>
      <c r="I460" s="24"/>
      <c r="J460" s="25"/>
      <c r="K460" s="24"/>
      <c r="L460" s="25"/>
      <c r="M460" s="25"/>
      <c r="N460" s="25"/>
      <c r="O460" s="25"/>
      <c r="P460" s="24"/>
      <c r="Q460" s="25"/>
      <c r="R460" s="24"/>
      <c r="S460" s="26"/>
      <c r="T460" s="25"/>
      <c r="U460" s="25"/>
    </row>
    <row r="461" spans="2:21">
      <c r="B461" s="9"/>
      <c r="C461" s="24"/>
      <c r="D461" s="25"/>
      <c r="E461" s="24"/>
      <c r="F461" s="26"/>
      <c r="G461" s="24"/>
      <c r="H461" s="25"/>
      <c r="I461" s="24"/>
      <c r="J461" s="25"/>
      <c r="K461" s="24"/>
      <c r="L461" s="25"/>
      <c r="M461" s="25"/>
      <c r="N461" s="25"/>
      <c r="O461" s="25"/>
      <c r="P461" s="24"/>
      <c r="Q461" s="25"/>
      <c r="R461" s="24"/>
      <c r="S461" s="26"/>
      <c r="T461" s="25"/>
      <c r="U461" s="25"/>
    </row>
    <row r="462" spans="2:21">
      <c r="B462" s="9"/>
      <c r="C462" s="24"/>
      <c r="D462" s="25"/>
      <c r="E462" s="24"/>
      <c r="F462" s="26"/>
      <c r="G462" s="24"/>
      <c r="H462" s="25"/>
      <c r="I462" s="24"/>
      <c r="J462" s="25"/>
      <c r="K462" s="24"/>
      <c r="L462" s="25"/>
      <c r="M462" s="25"/>
      <c r="N462" s="25"/>
      <c r="O462" s="25"/>
      <c r="P462" s="24"/>
      <c r="Q462" s="25"/>
      <c r="R462" s="24"/>
      <c r="S462" s="26"/>
      <c r="T462" s="25"/>
      <c r="U462" s="25"/>
    </row>
    <row r="463" spans="2:21">
      <c r="B463" s="9"/>
      <c r="C463" s="24"/>
      <c r="D463" s="25"/>
      <c r="E463" s="24"/>
      <c r="F463" s="26"/>
      <c r="G463" s="24"/>
      <c r="H463" s="25"/>
      <c r="I463" s="24"/>
      <c r="J463" s="25"/>
      <c r="K463" s="24"/>
      <c r="L463" s="25"/>
      <c r="M463" s="25"/>
      <c r="N463" s="25"/>
      <c r="O463" s="25"/>
      <c r="P463" s="24"/>
      <c r="Q463" s="25"/>
      <c r="R463" s="24"/>
      <c r="S463" s="26"/>
      <c r="T463" s="25"/>
      <c r="U463" s="25"/>
    </row>
    <row r="464" spans="2:21">
      <c r="B464" s="9"/>
      <c r="C464" s="24"/>
      <c r="D464" s="25"/>
      <c r="E464" s="24"/>
      <c r="F464" s="26"/>
      <c r="G464" s="24"/>
      <c r="H464" s="25"/>
      <c r="I464" s="24"/>
      <c r="J464" s="25"/>
      <c r="K464" s="24"/>
      <c r="L464" s="25"/>
      <c r="M464" s="25"/>
      <c r="N464" s="25"/>
      <c r="O464" s="25"/>
      <c r="P464" s="24"/>
      <c r="Q464" s="25"/>
      <c r="R464" s="24"/>
      <c r="S464" s="26"/>
      <c r="T464" s="25"/>
      <c r="U464" s="25"/>
    </row>
    <row r="465" spans="2:21">
      <c r="B465" s="9"/>
      <c r="C465" s="24"/>
      <c r="D465" s="25"/>
      <c r="E465" s="24"/>
      <c r="F465" s="26"/>
      <c r="G465" s="24"/>
      <c r="H465" s="25"/>
      <c r="I465" s="24"/>
      <c r="J465" s="25"/>
      <c r="K465" s="24"/>
      <c r="L465" s="25"/>
      <c r="M465" s="25"/>
      <c r="N465" s="25"/>
      <c r="O465" s="25"/>
      <c r="P465" s="24"/>
      <c r="Q465" s="25"/>
      <c r="R465" s="24"/>
      <c r="S465" s="26"/>
      <c r="T465" s="25"/>
      <c r="U465" s="25"/>
    </row>
    <row r="466" spans="2:21">
      <c r="B466" s="9"/>
      <c r="C466" s="24"/>
      <c r="D466" s="25"/>
      <c r="E466" s="24"/>
      <c r="F466" s="26"/>
      <c r="G466" s="24"/>
      <c r="H466" s="25"/>
      <c r="I466" s="24"/>
      <c r="J466" s="25"/>
      <c r="K466" s="24"/>
      <c r="L466" s="25"/>
      <c r="M466" s="25"/>
      <c r="N466" s="25"/>
      <c r="O466" s="25"/>
      <c r="P466" s="24"/>
      <c r="Q466" s="25"/>
      <c r="R466" s="24"/>
      <c r="S466" s="26"/>
      <c r="T466" s="25"/>
      <c r="U466" s="25"/>
    </row>
    <row r="467" spans="2:21">
      <c r="B467" s="9"/>
      <c r="C467" s="24"/>
      <c r="D467" s="25"/>
      <c r="E467" s="24"/>
      <c r="F467" s="26"/>
      <c r="G467" s="24"/>
      <c r="H467" s="25"/>
      <c r="I467" s="24"/>
      <c r="J467" s="25"/>
      <c r="K467" s="24"/>
      <c r="L467" s="25"/>
      <c r="M467" s="25"/>
      <c r="N467" s="25"/>
      <c r="O467" s="25"/>
      <c r="P467" s="24"/>
      <c r="Q467" s="25"/>
      <c r="R467" s="24"/>
      <c r="S467" s="26"/>
      <c r="T467" s="25"/>
      <c r="U467" s="25"/>
    </row>
    <row r="468" spans="2:21">
      <c r="B468" s="9"/>
      <c r="C468" s="24"/>
      <c r="D468" s="25"/>
      <c r="E468" s="24"/>
      <c r="F468" s="26"/>
      <c r="G468" s="24"/>
      <c r="H468" s="25"/>
      <c r="I468" s="24"/>
      <c r="J468" s="25"/>
      <c r="K468" s="24"/>
      <c r="L468" s="25"/>
      <c r="M468" s="25"/>
      <c r="N468" s="25"/>
      <c r="O468" s="25"/>
      <c r="P468" s="24"/>
      <c r="Q468" s="25"/>
      <c r="R468" s="24"/>
      <c r="S468" s="26"/>
      <c r="T468" s="25"/>
      <c r="U468" s="25"/>
    </row>
    <row r="469" spans="2:21">
      <c r="B469" s="9"/>
      <c r="C469" s="24"/>
      <c r="D469" s="25"/>
      <c r="E469" s="24"/>
      <c r="F469" s="26"/>
      <c r="G469" s="24"/>
      <c r="H469" s="25"/>
      <c r="I469" s="24"/>
      <c r="J469" s="25"/>
      <c r="K469" s="24"/>
      <c r="L469" s="25"/>
      <c r="M469" s="25"/>
      <c r="N469" s="25"/>
      <c r="O469" s="25"/>
      <c r="P469" s="24"/>
      <c r="Q469" s="25"/>
      <c r="R469" s="24"/>
      <c r="S469" s="26"/>
      <c r="T469" s="25"/>
      <c r="U469" s="25"/>
    </row>
    <row r="470" spans="2:21">
      <c r="B470" s="9"/>
      <c r="C470" s="24"/>
      <c r="D470" s="25"/>
      <c r="E470" s="24"/>
      <c r="F470" s="26"/>
      <c r="G470" s="24"/>
      <c r="H470" s="25"/>
      <c r="I470" s="24"/>
      <c r="J470" s="25"/>
      <c r="K470" s="24"/>
      <c r="L470" s="25"/>
      <c r="M470" s="25"/>
      <c r="N470" s="25"/>
      <c r="O470" s="25"/>
      <c r="P470" s="24"/>
      <c r="Q470" s="25"/>
      <c r="R470" s="24"/>
      <c r="S470" s="26"/>
      <c r="T470" s="25"/>
      <c r="U470" s="25"/>
    </row>
    <row r="471" spans="2:21">
      <c r="B471" s="9"/>
      <c r="C471" s="24"/>
      <c r="D471" s="25"/>
      <c r="E471" s="24"/>
      <c r="F471" s="26"/>
      <c r="G471" s="24"/>
      <c r="H471" s="25"/>
      <c r="I471" s="24"/>
      <c r="J471" s="25"/>
      <c r="K471" s="24"/>
      <c r="L471" s="25"/>
      <c r="M471" s="25"/>
      <c r="N471" s="25"/>
      <c r="O471" s="25"/>
      <c r="P471" s="24"/>
      <c r="Q471" s="25"/>
      <c r="R471" s="24"/>
      <c r="S471" s="26"/>
      <c r="T471" s="25"/>
      <c r="U471" s="25"/>
    </row>
    <row r="472" spans="2:21">
      <c r="B472" s="9"/>
      <c r="C472" s="24"/>
      <c r="D472" s="25"/>
      <c r="E472" s="24"/>
      <c r="F472" s="26"/>
      <c r="G472" s="24"/>
      <c r="H472" s="25"/>
      <c r="I472" s="24"/>
      <c r="J472" s="25"/>
      <c r="K472" s="24"/>
      <c r="L472" s="25"/>
      <c r="M472" s="25"/>
      <c r="N472" s="25"/>
      <c r="O472" s="25"/>
      <c r="P472" s="24"/>
      <c r="Q472" s="25"/>
      <c r="R472" s="24"/>
      <c r="S472" s="26"/>
      <c r="T472" s="25"/>
      <c r="U472" s="25"/>
    </row>
    <row r="473" spans="2:21">
      <c r="B473" s="9"/>
      <c r="C473" s="24"/>
      <c r="D473" s="25"/>
      <c r="E473" s="24"/>
      <c r="F473" s="26"/>
      <c r="G473" s="24"/>
      <c r="H473" s="25"/>
      <c r="I473" s="24"/>
      <c r="J473" s="25"/>
      <c r="K473" s="24"/>
      <c r="L473" s="25"/>
      <c r="M473" s="25"/>
      <c r="N473" s="25"/>
      <c r="O473" s="25"/>
      <c r="P473" s="24"/>
      <c r="Q473" s="25"/>
      <c r="R473" s="24"/>
      <c r="S473" s="26"/>
      <c r="T473" s="25"/>
      <c r="U473" s="25"/>
    </row>
    <row r="474" spans="2:21">
      <c r="B474" s="9"/>
      <c r="C474" s="24"/>
      <c r="D474" s="25"/>
      <c r="E474" s="24"/>
      <c r="F474" s="26"/>
      <c r="G474" s="24"/>
      <c r="H474" s="25"/>
      <c r="I474" s="24"/>
      <c r="J474" s="25"/>
      <c r="K474" s="24"/>
      <c r="L474" s="25"/>
      <c r="M474" s="25"/>
      <c r="N474" s="25"/>
      <c r="O474" s="25"/>
      <c r="P474" s="24"/>
      <c r="Q474" s="25"/>
      <c r="R474" s="24"/>
      <c r="S474" s="26"/>
      <c r="T474" s="25"/>
      <c r="U474" s="25"/>
    </row>
    <row r="475" spans="2:21">
      <c r="B475" s="9"/>
      <c r="C475" s="24"/>
      <c r="D475" s="25"/>
      <c r="E475" s="24"/>
      <c r="F475" s="26"/>
      <c r="G475" s="24"/>
      <c r="H475" s="25"/>
      <c r="I475" s="24"/>
      <c r="J475" s="25"/>
      <c r="K475" s="24"/>
      <c r="L475" s="25"/>
      <c r="M475" s="25"/>
      <c r="N475" s="25"/>
      <c r="O475" s="25"/>
      <c r="P475" s="24"/>
      <c r="Q475" s="25"/>
      <c r="R475" s="24"/>
      <c r="S475" s="26"/>
      <c r="T475" s="25"/>
      <c r="U475" s="25"/>
    </row>
    <row r="476" spans="2:21">
      <c r="B476" s="9"/>
      <c r="C476" s="24"/>
      <c r="D476" s="25"/>
      <c r="E476" s="24"/>
      <c r="F476" s="26"/>
      <c r="G476" s="24"/>
      <c r="H476" s="25"/>
      <c r="I476" s="24"/>
      <c r="J476" s="25"/>
      <c r="K476" s="24"/>
      <c r="L476" s="25"/>
      <c r="M476" s="25"/>
      <c r="N476" s="25"/>
      <c r="O476" s="25"/>
      <c r="P476" s="24"/>
      <c r="Q476" s="25"/>
      <c r="R476" s="24"/>
      <c r="S476" s="26"/>
      <c r="T476" s="25"/>
      <c r="U476" s="25"/>
    </row>
    <row r="477" spans="2:21">
      <c r="B477" s="9"/>
      <c r="C477" s="24"/>
      <c r="D477" s="25"/>
      <c r="E477" s="24"/>
      <c r="F477" s="26"/>
      <c r="G477" s="24"/>
      <c r="H477" s="25"/>
      <c r="I477" s="24"/>
      <c r="J477" s="25"/>
      <c r="K477" s="24"/>
      <c r="L477" s="25"/>
      <c r="M477" s="25"/>
      <c r="N477" s="25"/>
      <c r="O477" s="25"/>
      <c r="P477" s="24"/>
      <c r="Q477" s="25"/>
      <c r="R477" s="24"/>
      <c r="S477" s="26"/>
      <c r="T477" s="25"/>
      <c r="U477" s="25"/>
    </row>
    <row r="478" spans="2:21">
      <c r="B478" s="9"/>
      <c r="C478" s="24"/>
      <c r="D478" s="25"/>
      <c r="E478" s="24"/>
      <c r="F478" s="26"/>
      <c r="G478" s="24"/>
      <c r="H478" s="25"/>
      <c r="I478" s="24"/>
      <c r="J478" s="25"/>
      <c r="K478" s="24"/>
      <c r="L478" s="25"/>
      <c r="M478" s="25"/>
      <c r="N478" s="25"/>
      <c r="O478" s="25"/>
      <c r="P478" s="24"/>
      <c r="Q478" s="25"/>
      <c r="R478" s="24"/>
      <c r="S478" s="26"/>
      <c r="T478" s="25"/>
      <c r="U478" s="25"/>
    </row>
    <row r="479" spans="2:21">
      <c r="B479" s="9"/>
      <c r="C479" s="24"/>
      <c r="D479" s="25"/>
      <c r="E479" s="24"/>
      <c r="F479" s="26"/>
      <c r="G479" s="24"/>
      <c r="H479" s="25"/>
      <c r="I479" s="24"/>
      <c r="J479" s="25"/>
      <c r="K479" s="24"/>
      <c r="L479" s="25"/>
      <c r="M479" s="25"/>
      <c r="N479" s="25"/>
      <c r="O479" s="25"/>
      <c r="P479" s="24"/>
      <c r="Q479" s="25"/>
      <c r="R479" s="24"/>
      <c r="S479" s="26"/>
      <c r="T479" s="25"/>
      <c r="U479" s="25"/>
    </row>
    <row r="480" spans="2:21">
      <c r="B480" s="9"/>
      <c r="C480" s="24"/>
      <c r="D480" s="25"/>
      <c r="E480" s="24"/>
      <c r="F480" s="26"/>
      <c r="G480" s="24"/>
      <c r="H480" s="25"/>
      <c r="I480" s="24"/>
      <c r="J480" s="25"/>
      <c r="K480" s="24"/>
      <c r="L480" s="25"/>
      <c r="M480" s="25"/>
      <c r="N480" s="25"/>
      <c r="O480" s="25"/>
      <c r="P480" s="24"/>
      <c r="Q480" s="25"/>
      <c r="R480" s="24"/>
      <c r="S480" s="26"/>
      <c r="T480" s="25"/>
      <c r="U480" s="25"/>
    </row>
    <row r="481" spans="2:21">
      <c r="B481" s="9"/>
      <c r="C481" s="24"/>
      <c r="D481" s="25"/>
      <c r="E481" s="24"/>
      <c r="F481" s="26"/>
      <c r="G481" s="24"/>
      <c r="H481" s="25"/>
      <c r="I481" s="24"/>
      <c r="J481" s="25"/>
      <c r="K481" s="24"/>
      <c r="L481" s="25"/>
      <c r="M481" s="25"/>
      <c r="N481" s="25"/>
      <c r="O481" s="25"/>
      <c r="P481" s="24"/>
      <c r="Q481" s="25"/>
      <c r="R481" s="24"/>
      <c r="S481" s="26"/>
      <c r="T481" s="25"/>
      <c r="U481" s="25"/>
    </row>
    <row r="482" spans="2:21">
      <c r="B482" s="9"/>
      <c r="C482" s="24"/>
      <c r="D482" s="25"/>
      <c r="E482" s="24"/>
      <c r="F482" s="26"/>
      <c r="G482" s="24"/>
      <c r="H482" s="25"/>
      <c r="I482" s="24"/>
      <c r="J482" s="25"/>
      <c r="K482" s="24"/>
      <c r="L482" s="25"/>
      <c r="M482" s="25"/>
      <c r="N482" s="25"/>
      <c r="O482" s="25"/>
      <c r="P482" s="24"/>
      <c r="Q482" s="25"/>
      <c r="R482" s="24"/>
      <c r="S482" s="26"/>
      <c r="T482" s="25"/>
      <c r="U482" s="25"/>
    </row>
    <row r="483" spans="2:21">
      <c r="B483" s="9"/>
      <c r="C483" s="24"/>
      <c r="D483" s="25"/>
      <c r="E483" s="24"/>
      <c r="F483" s="26"/>
      <c r="G483" s="24"/>
      <c r="H483" s="25"/>
      <c r="I483" s="24"/>
      <c r="J483" s="25"/>
      <c r="K483" s="24"/>
      <c r="L483" s="25"/>
      <c r="M483" s="25"/>
      <c r="N483" s="25"/>
      <c r="O483" s="25"/>
      <c r="P483" s="24"/>
      <c r="Q483" s="25"/>
      <c r="R483" s="24"/>
      <c r="S483" s="26"/>
      <c r="T483" s="25"/>
      <c r="U483" s="25"/>
    </row>
    <row r="484" spans="2:21">
      <c r="B484" s="9"/>
      <c r="C484" s="24"/>
      <c r="D484" s="25"/>
      <c r="E484" s="24"/>
      <c r="F484" s="26"/>
      <c r="G484" s="24"/>
      <c r="H484" s="25"/>
      <c r="I484" s="24"/>
      <c r="J484" s="25"/>
      <c r="K484" s="24"/>
      <c r="L484" s="25"/>
      <c r="M484" s="25"/>
      <c r="N484" s="25"/>
      <c r="O484" s="25"/>
      <c r="P484" s="24"/>
      <c r="Q484" s="25"/>
      <c r="R484" s="24"/>
      <c r="S484" s="26"/>
      <c r="T484" s="25"/>
      <c r="U484" s="25"/>
    </row>
    <row r="485" spans="2:21">
      <c r="B485" s="9"/>
      <c r="C485" s="24"/>
      <c r="D485" s="25"/>
      <c r="E485" s="24"/>
      <c r="F485" s="26"/>
      <c r="G485" s="24"/>
      <c r="H485" s="25"/>
      <c r="I485" s="24"/>
      <c r="J485" s="25"/>
      <c r="K485" s="24"/>
      <c r="L485" s="25"/>
      <c r="M485" s="25"/>
      <c r="N485" s="25"/>
      <c r="O485" s="25"/>
      <c r="P485" s="24"/>
      <c r="Q485" s="25"/>
      <c r="R485" s="24"/>
      <c r="S485" s="26"/>
      <c r="T485" s="25"/>
      <c r="U485" s="25"/>
    </row>
    <row r="486" spans="2:21">
      <c r="B486" s="9"/>
      <c r="C486" s="24"/>
      <c r="D486" s="25"/>
      <c r="E486" s="24"/>
      <c r="F486" s="26"/>
      <c r="G486" s="24"/>
      <c r="H486" s="25"/>
      <c r="I486" s="24"/>
      <c r="J486" s="25"/>
      <c r="K486" s="24"/>
      <c r="L486" s="25"/>
      <c r="M486" s="25"/>
      <c r="N486" s="25"/>
      <c r="O486" s="25"/>
      <c r="P486" s="24"/>
      <c r="Q486" s="25"/>
      <c r="R486" s="24"/>
      <c r="S486" s="26"/>
      <c r="T486" s="25"/>
      <c r="U486" s="25"/>
    </row>
    <row r="487" spans="2:21">
      <c r="B487" s="9"/>
      <c r="C487" s="24"/>
      <c r="D487" s="25"/>
      <c r="E487" s="24"/>
      <c r="F487" s="26"/>
      <c r="G487" s="24"/>
      <c r="H487" s="25"/>
      <c r="I487" s="24"/>
      <c r="J487" s="25"/>
      <c r="K487" s="24"/>
      <c r="L487" s="25"/>
      <c r="M487" s="25"/>
      <c r="N487" s="25"/>
      <c r="O487" s="25"/>
      <c r="P487" s="24"/>
      <c r="Q487" s="25"/>
      <c r="R487" s="24"/>
      <c r="S487" s="26"/>
      <c r="T487" s="25"/>
      <c r="U487" s="25"/>
    </row>
    <row r="488" spans="2:21">
      <c r="B488" s="9"/>
      <c r="C488" s="24"/>
      <c r="D488" s="25"/>
      <c r="E488" s="24"/>
      <c r="F488" s="26"/>
      <c r="G488" s="24"/>
      <c r="H488" s="25"/>
      <c r="I488" s="24"/>
      <c r="J488" s="25"/>
      <c r="K488" s="24"/>
      <c r="L488" s="25"/>
      <c r="M488" s="25"/>
      <c r="N488" s="25"/>
      <c r="O488" s="25"/>
      <c r="P488" s="24"/>
      <c r="Q488" s="25"/>
      <c r="R488" s="24"/>
      <c r="S488" s="26"/>
      <c r="T488" s="25"/>
      <c r="U488" s="25"/>
    </row>
    <row r="489" spans="2:21">
      <c r="B489" s="9"/>
      <c r="C489" s="24"/>
      <c r="D489" s="25"/>
      <c r="E489" s="24"/>
      <c r="F489" s="26"/>
      <c r="G489" s="24"/>
      <c r="H489" s="25"/>
      <c r="I489" s="24"/>
      <c r="J489" s="25"/>
      <c r="K489" s="24"/>
      <c r="L489" s="25"/>
      <c r="M489" s="25"/>
      <c r="N489" s="25"/>
      <c r="O489" s="25"/>
      <c r="P489" s="24"/>
      <c r="Q489" s="25"/>
      <c r="R489" s="24"/>
      <c r="S489" s="26"/>
      <c r="T489" s="25"/>
      <c r="U489" s="25"/>
    </row>
    <row r="490" spans="2:21">
      <c r="B490" s="9"/>
      <c r="C490" s="24"/>
      <c r="D490" s="25"/>
      <c r="E490" s="24"/>
      <c r="F490" s="26"/>
      <c r="G490" s="24"/>
      <c r="H490" s="25"/>
      <c r="I490" s="24"/>
      <c r="J490" s="25"/>
      <c r="K490" s="24"/>
      <c r="L490" s="25"/>
      <c r="M490" s="25"/>
      <c r="N490" s="25"/>
      <c r="O490" s="25"/>
      <c r="P490" s="24"/>
      <c r="Q490" s="25"/>
      <c r="R490" s="24"/>
      <c r="S490" s="26"/>
      <c r="T490" s="25"/>
      <c r="U490" s="25"/>
    </row>
    <row r="491" spans="2:21">
      <c r="B491" s="9"/>
      <c r="C491" s="24"/>
      <c r="D491" s="25"/>
      <c r="E491" s="24"/>
      <c r="F491" s="26"/>
      <c r="G491" s="24"/>
      <c r="H491" s="25"/>
      <c r="I491" s="24"/>
      <c r="J491" s="25"/>
      <c r="K491" s="24"/>
      <c r="L491" s="25"/>
      <c r="M491" s="25"/>
      <c r="N491" s="25"/>
      <c r="O491" s="25"/>
      <c r="P491" s="24"/>
      <c r="Q491" s="25"/>
      <c r="R491" s="24"/>
      <c r="S491" s="26"/>
      <c r="T491" s="25"/>
      <c r="U491" s="25"/>
    </row>
    <row r="492" spans="2:21">
      <c r="B492" s="9"/>
      <c r="C492" s="24"/>
      <c r="D492" s="25"/>
      <c r="E492" s="24"/>
      <c r="F492" s="26"/>
      <c r="G492" s="24"/>
      <c r="H492" s="25"/>
      <c r="I492" s="24"/>
      <c r="J492" s="25"/>
      <c r="K492" s="24"/>
      <c r="L492" s="25"/>
      <c r="M492" s="25"/>
      <c r="N492" s="25"/>
      <c r="O492" s="25"/>
      <c r="P492" s="24"/>
      <c r="Q492" s="25"/>
      <c r="R492" s="24"/>
      <c r="S492" s="26"/>
      <c r="T492" s="25"/>
      <c r="U492" s="25"/>
    </row>
    <row r="493" spans="2:21">
      <c r="B493" s="9"/>
      <c r="C493" s="24"/>
      <c r="D493" s="25"/>
      <c r="E493" s="24"/>
      <c r="F493" s="26"/>
      <c r="G493" s="24"/>
      <c r="H493" s="25"/>
      <c r="I493" s="24"/>
      <c r="J493" s="25"/>
      <c r="K493" s="24"/>
      <c r="L493" s="25"/>
      <c r="M493" s="25"/>
      <c r="N493" s="25"/>
      <c r="O493" s="25"/>
      <c r="P493" s="24"/>
      <c r="Q493" s="25"/>
      <c r="R493" s="24"/>
      <c r="S493" s="26"/>
      <c r="T493" s="25"/>
      <c r="U493" s="25"/>
    </row>
    <row r="494" spans="2:21">
      <c r="B494" s="9"/>
      <c r="C494" s="24"/>
      <c r="D494" s="25"/>
      <c r="E494" s="24"/>
      <c r="F494" s="26"/>
      <c r="G494" s="24"/>
      <c r="H494" s="25"/>
      <c r="I494" s="24"/>
      <c r="J494" s="25"/>
      <c r="K494" s="24"/>
      <c r="L494" s="25"/>
      <c r="M494" s="25"/>
      <c r="N494" s="25"/>
      <c r="O494" s="25"/>
      <c r="P494" s="24"/>
      <c r="Q494" s="25"/>
      <c r="R494" s="24"/>
      <c r="S494" s="26"/>
      <c r="T494" s="25"/>
      <c r="U494" s="25"/>
    </row>
    <row r="495" spans="2:21">
      <c r="B495" s="9"/>
      <c r="C495" s="24"/>
      <c r="D495" s="25"/>
      <c r="E495" s="24"/>
      <c r="F495" s="26"/>
      <c r="G495" s="24"/>
      <c r="H495" s="25"/>
      <c r="I495" s="24"/>
      <c r="J495" s="25"/>
      <c r="K495" s="24"/>
      <c r="L495" s="25"/>
      <c r="M495" s="25"/>
      <c r="N495" s="25"/>
      <c r="O495" s="25"/>
      <c r="P495" s="24"/>
      <c r="Q495" s="25"/>
      <c r="R495" s="24"/>
      <c r="S495" s="26"/>
      <c r="T495" s="25"/>
      <c r="U495" s="25"/>
    </row>
    <row r="496" spans="2:21">
      <c r="B496" s="9"/>
      <c r="C496" s="24"/>
      <c r="D496" s="25"/>
      <c r="E496" s="24"/>
      <c r="F496" s="26"/>
      <c r="G496" s="24"/>
      <c r="H496" s="25"/>
      <c r="I496" s="24"/>
      <c r="J496" s="25"/>
      <c r="K496" s="24"/>
      <c r="L496" s="25"/>
      <c r="M496" s="25"/>
      <c r="N496" s="25"/>
      <c r="O496" s="25"/>
      <c r="P496" s="24"/>
      <c r="Q496" s="25"/>
      <c r="R496" s="24"/>
      <c r="S496" s="26"/>
      <c r="T496" s="25"/>
      <c r="U496" s="25"/>
    </row>
    <row r="497" spans="2:21">
      <c r="B497" s="9"/>
      <c r="C497" s="24"/>
      <c r="D497" s="25"/>
      <c r="E497" s="24"/>
      <c r="F497" s="26"/>
      <c r="G497" s="24"/>
      <c r="H497" s="25"/>
      <c r="I497" s="24"/>
      <c r="J497" s="25"/>
      <c r="K497" s="24"/>
      <c r="L497" s="25"/>
      <c r="M497" s="25"/>
      <c r="N497" s="25"/>
      <c r="O497" s="25"/>
      <c r="P497" s="24"/>
      <c r="Q497" s="25"/>
      <c r="R497" s="24"/>
      <c r="S497" s="26"/>
      <c r="T497" s="25"/>
      <c r="U497" s="25"/>
    </row>
    <row r="498" spans="2:21">
      <c r="B498" s="9"/>
      <c r="C498" s="24"/>
      <c r="D498" s="25"/>
      <c r="E498" s="24"/>
      <c r="F498" s="26"/>
      <c r="G498" s="24"/>
      <c r="H498" s="25"/>
      <c r="I498" s="24"/>
      <c r="J498" s="25"/>
      <c r="K498" s="24"/>
      <c r="L498" s="25"/>
      <c r="M498" s="25"/>
      <c r="N498" s="25"/>
      <c r="O498" s="25"/>
      <c r="P498" s="24"/>
      <c r="Q498" s="25"/>
      <c r="R498" s="24"/>
      <c r="S498" s="26"/>
      <c r="T498" s="25"/>
      <c r="U498" s="25"/>
    </row>
    <row r="499" spans="2:21">
      <c r="B499" s="9"/>
      <c r="C499" s="24"/>
      <c r="D499" s="25"/>
      <c r="E499" s="24"/>
      <c r="F499" s="26"/>
      <c r="G499" s="24"/>
      <c r="H499" s="25"/>
      <c r="I499" s="24"/>
      <c r="J499" s="25"/>
      <c r="K499" s="24"/>
      <c r="L499" s="25"/>
      <c r="M499" s="25"/>
      <c r="N499" s="25"/>
      <c r="O499" s="25"/>
      <c r="P499" s="24"/>
      <c r="Q499" s="25"/>
      <c r="R499" s="24"/>
      <c r="S499" s="26"/>
      <c r="T499" s="25"/>
      <c r="U499" s="25"/>
    </row>
    <row r="500" spans="2:21">
      <c r="B500" s="9"/>
      <c r="C500" s="24"/>
      <c r="D500" s="25"/>
      <c r="E500" s="24"/>
      <c r="F500" s="26"/>
      <c r="G500" s="24"/>
      <c r="H500" s="25"/>
      <c r="I500" s="24"/>
      <c r="J500" s="25"/>
      <c r="K500" s="24"/>
      <c r="L500" s="25"/>
      <c r="M500" s="25"/>
      <c r="N500" s="25"/>
      <c r="O500" s="25"/>
      <c r="P500" s="24"/>
      <c r="Q500" s="25"/>
      <c r="R500" s="24"/>
      <c r="S500" s="26"/>
      <c r="T500" s="25"/>
      <c r="U500" s="25"/>
    </row>
    <row r="501" spans="2:21">
      <c r="B501" s="9"/>
      <c r="C501" s="24"/>
      <c r="D501" s="25"/>
      <c r="E501" s="24"/>
      <c r="F501" s="26"/>
      <c r="G501" s="24"/>
      <c r="H501" s="25"/>
      <c r="I501" s="24"/>
      <c r="J501" s="25"/>
      <c r="K501" s="24"/>
      <c r="L501" s="25"/>
      <c r="M501" s="25"/>
      <c r="N501" s="25"/>
      <c r="O501" s="25"/>
      <c r="P501" s="24"/>
      <c r="Q501" s="25"/>
      <c r="R501" s="24"/>
      <c r="S501" s="26"/>
      <c r="T501" s="25"/>
      <c r="U501" s="25"/>
    </row>
    <row r="502" spans="2:21">
      <c r="B502" s="9"/>
      <c r="C502" s="24"/>
      <c r="D502" s="25"/>
      <c r="E502" s="24"/>
      <c r="F502" s="26"/>
      <c r="G502" s="24"/>
      <c r="H502" s="25"/>
      <c r="I502" s="24"/>
      <c r="J502" s="25"/>
      <c r="K502" s="24"/>
      <c r="L502" s="25"/>
      <c r="M502" s="25"/>
      <c r="N502" s="25"/>
      <c r="O502" s="25"/>
      <c r="P502" s="24"/>
      <c r="Q502" s="25"/>
      <c r="R502" s="24"/>
      <c r="S502" s="26"/>
      <c r="T502" s="25"/>
      <c r="U502" s="25"/>
    </row>
    <row r="503" spans="2:21">
      <c r="B503" s="9"/>
      <c r="C503" s="24"/>
      <c r="D503" s="25"/>
      <c r="E503" s="24"/>
      <c r="F503" s="26"/>
      <c r="G503" s="24"/>
      <c r="H503" s="25"/>
      <c r="I503" s="24"/>
      <c r="J503" s="25"/>
      <c r="K503" s="24"/>
      <c r="L503" s="25"/>
      <c r="M503" s="25"/>
      <c r="N503" s="25"/>
      <c r="O503" s="25"/>
      <c r="P503" s="24"/>
      <c r="Q503" s="25"/>
      <c r="R503" s="24"/>
      <c r="S503" s="26"/>
      <c r="T503" s="25"/>
      <c r="U503" s="25"/>
    </row>
    <row r="504" spans="2:21">
      <c r="B504" s="9"/>
      <c r="C504" s="24"/>
      <c r="D504" s="25"/>
      <c r="E504" s="24"/>
      <c r="F504" s="26"/>
      <c r="G504" s="24"/>
      <c r="H504" s="25"/>
      <c r="I504" s="24"/>
      <c r="J504" s="25"/>
      <c r="K504" s="24"/>
      <c r="L504" s="25"/>
      <c r="M504" s="25"/>
      <c r="N504" s="25"/>
      <c r="O504" s="25"/>
      <c r="P504" s="24"/>
      <c r="Q504" s="25"/>
      <c r="R504" s="24"/>
      <c r="S504" s="26"/>
      <c r="T504" s="25"/>
      <c r="U504" s="25"/>
    </row>
    <row r="505" spans="2:21">
      <c r="B505" s="9"/>
      <c r="C505" s="24"/>
      <c r="D505" s="25"/>
      <c r="E505" s="24"/>
      <c r="F505" s="26"/>
      <c r="G505" s="24"/>
      <c r="H505" s="25"/>
      <c r="I505" s="24"/>
      <c r="J505" s="25"/>
      <c r="K505" s="24"/>
      <c r="L505" s="25"/>
      <c r="M505" s="25"/>
      <c r="N505" s="25"/>
      <c r="O505" s="25"/>
      <c r="P505" s="24"/>
      <c r="Q505" s="25"/>
      <c r="R505" s="24"/>
      <c r="S505" s="26"/>
      <c r="T505" s="25"/>
      <c r="U505" s="25"/>
    </row>
    <row r="506" spans="2:21">
      <c r="B506" s="9"/>
      <c r="C506" s="24"/>
      <c r="D506" s="25"/>
      <c r="E506" s="24"/>
      <c r="F506" s="26"/>
      <c r="G506" s="24"/>
      <c r="H506" s="25"/>
      <c r="I506" s="24"/>
      <c r="J506" s="25"/>
      <c r="K506" s="24"/>
      <c r="L506" s="25"/>
      <c r="M506" s="25"/>
      <c r="N506" s="25"/>
      <c r="O506" s="25"/>
      <c r="P506" s="24"/>
      <c r="Q506" s="25"/>
      <c r="R506" s="24"/>
      <c r="S506" s="26"/>
      <c r="T506" s="25"/>
      <c r="U506" s="25"/>
    </row>
    <row r="507" spans="2:21">
      <c r="B507" s="9"/>
      <c r="C507" s="24"/>
      <c r="D507" s="25"/>
      <c r="E507" s="24"/>
      <c r="F507" s="26"/>
      <c r="G507" s="24"/>
      <c r="H507" s="25"/>
      <c r="I507" s="24"/>
      <c r="J507" s="25"/>
      <c r="K507" s="24"/>
      <c r="L507" s="25"/>
      <c r="M507" s="25"/>
      <c r="N507" s="25"/>
      <c r="O507" s="25"/>
      <c r="P507" s="24"/>
      <c r="Q507" s="25"/>
      <c r="R507" s="24"/>
      <c r="S507" s="26"/>
      <c r="T507" s="25"/>
      <c r="U507" s="25"/>
    </row>
    <row r="508" spans="2:21">
      <c r="B508" s="9"/>
      <c r="C508" s="24"/>
      <c r="D508" s="25"/>
      <c r="E508" s="24"/>
      <c r="F508" s="26"/>
      <c r="G508" s="24"/>
      <c r="H508" s="25"/>
      <c r="I508" s="24"/>
      <c r="J508" s="25"/>
      <c r="K508" s="24"/>
      <c r="L508" s="25"/>
      <c r="M508" s="25"/>
      <c r="N508" s="25"/>
      <c r="O508" s="25"/>
      <c r="P508" s="24"/>
      <c r="Q508" s="25"/>
      <c r="R508" s="24"/>
      <c r="S508" s="26"/>
      <c r="T508" s="25"/>
      <c r="U508" s="25"/>
    </row>
    <row r="509" spans="2:21">
      <c r="B509" s="9"/>
      <c r="C509" s="24"/>
      <c r="D509" s="25"/>
      <c r="E509" s="24"/>
      <c r="F509" s="26"/>
      <c r="G509" s="24"/>
      <c r="H509" s="25"/>
      <c r="I509" s="24"/>
      <c r="J509" s="25"/>
      <c r="K509" s="24"/>
      <c r="L509" s="25"/>
      <c r="M509" s="25"/>
      <c r="N509" s="25"/>
      <c r="O509" s="25"/>
      <c r="P509" s="24"/>
      <c r="Q509" s="25"/>
      <c r="R509" s="24"/>
      <c r="S509" s="26"/>
      <c r="T509" s="25"/>
      <c r="U509" s="25"/>
    </row>
    <row r="510" spans="2:21">
      <c r="B510" s="9"/>
      <c r="C510" s="24"/>
      <c r="D510" s="25"/>
      <c r="E510" s="24"/>
      <c r="F510" s="26"/>
      <c r="G510" s="24"/>
      <c r="H510" s="25"/>
      <c r="I510" s="24"/>
      <c r="J510" s="25"/>
      <c r="K510" s="24"/>
      <c r="L510" s="25"/>
      <c r="M510" s="25"/>
      <c r="N510" s="25"/>
      <c r="O510" s="25"/>
      <c r="P510" s="24"/>
      <c r="Q510" s="25"/>
      <c r="R510" s="24"/>
      <c r="S510" s="26"/>
      <c r="T510" s="25"/>
      <c r="U510" s="25"/>
    </row>
    <row r="511" spans="2:21">
      <c r="B511" s="9"/>
      <c r="C511" s="24"/>
      <c r="D511" s="25"/>
      <c r="E511" s="24"/>
      <c r="F511" s="26"/>
      <c r="G511" s="24"/>
      <c r="H511" s="25"/>
      <c r="I511" s="24"/>
      <c r="J511" s="25"/>
      <c r="K511" s="24"/>
      <c r="L511" s="25"/>
      <c r="M511" s="25"/>
      <c r="N511" s="25"/>
      <c r="O511" s="25"/>
      <c r="P511" s="24"/>
      <c r="Q511" s="25"/>
      <c r="R511" s="24"/>
      <c r="S511" s="26"/>
      <c r="T511" s="25"/>
      <c r="U511" s="25"/>
    </row>
    <row r="512" spans="2:21">
      <c r="B512" s="9"/>
      <c r="C512" s="24"/>
      <c r="D512" s="25"/>
      <c r="E512" s="24"/>
      <c r="F512" s="26"/>
      <c r="G512" s="24"/>
      <c r="H512" s="25"/>
      <c r="I512" s="24"/>
      <c r="J512" s="25"/>
      <c r="K512" s="24"/>
      <c r="L512" s="25"/>
      <c r="M512" s="25"/>
      <c r="N512" s="25"/>
      <c r="O512" s="25"/>
      <c r="P512" s="24"/>
      <c r="Q512" s="25"/>
      <c r="R512" s="24"/>
      <c r="S512" s="26"/>
      <c r="T512" s="25"/>
      <c r="U512" s="25"/>
    </row>
    <row r="513" spans="2:21">
      <c r="B513" s="9"/>
      <c r="C513" s="24"/>
      <c r="D513" s="25"/>
      <c r="E513" s="24"/>
      <c r="F513" s="26"/>
      <c r="G513" s="24"/>
      <c r="H513" s="25"/>
      <c r="I513" s="24"/>
      <c r="J513" s="25"/>
      <c r="K513" s="24"/>
      <c r="L513" s="25"/>
      <c r="M513" s="25"/>
      <c r="N513" s="25"/>
      <c r="O513" s="25"/>
      <c r="P513" s="24"/>
      <c r="Q513" s="25"/>
      <c r="R513" s="24"/>
      <c r="S513" s="26"/>
      <c r="T513" s="25"/>
      <c r="U513" s="25"/>
    </row>
    <row r="514" spans="2:21">
      <c r="B514" s="9"/>
      <c r="C514" s="24"/>
      <c r="D514" s="25"/>
      <c r="E514" s="24"/>
      <c r="F514" s="26"/>
      <c r="G514" s="24"/>
      <c r="H514" s="25"/>
      <c r="I514" s="24"/>
      <c r="J514" s="25"/>
      <c r="K514" s="24"/>
      <c r="L514" s="25"/>
      <c r="M514" s="25"/>
      <c r="N514" s="25"/>
      <c r="O514" s="25"/>
      <c r="P514" s="24"/>
      <c r="Q514" s="25"/>
      <c r="R514" s="24"/>
      <c r="S514" s="26"/>
      <c r="T514" s="25"/>
      <c r="U514" s="25"/>
    </row>
    <row r="515" spans="2:21">
      <c r="B515" s="9"/>
      <c r="C515" s="24"/>
      <c r="D515" s="25"/>
      <c r="E515" s="24"/>
      <c r="F515" s="26"/>
      <c r="G515" s="24"/>
      <c r="H515" s="25"/>
      <c r="I515" s="24"/>
      <c r="J515" s="25"/>
      <c r="K515" s="24"/>
      <c r="L515" s="25"/>
      <c r="M515" s="25"/>
      <c r="N515" s="25"/>
      <c r="O515" s="25"/>
      <c r="P515" s="24"/>
      <c r="Q515" s="25"/>
      <c r="R515" s="24"/>
      <c r="S515" s="26"/>
      <c r="T515" s="25"/>
      <c r="U515" s="25"/>
    </row>
    <row r="516" spans="2:21">
      <c r="B516" s="9"/>
      <c r="C516" s="24"/>
      <c r="D516" s="25"/>
      <c r="E516" s="24"/>
      <c r="F516" s="26"/>
      <c r="G516" s="24"/>
      <c r="H516" s="25"/>
      <c r="I516" s="24"/>
      <c r="J516" s="25"/>
      <c r="K516" s="24"/>
      <c r="L516" s="25"/>
      <c r="M516" s="25"/>
      <c r="N516" s="25"/>
      <c r="O516" s="25"/>
      <c r="P516" s="24"/>
      <c r="Q516" s="25"/>
      <c r="R516" s="24"/>
      <c r="S516" s="26"/>
      <c r="T516" s="25"/>
      <c r="U516" s="25"/>
    </row>
    <row r="517" spans="2:21">
      <c r="B517" s="9"/>
      <c r="C517" s="24"/>
      <c r="D517" s="25"/>
      <c r="E517" s="24"/>
      <c r="F517" s="26"/>
      <c r="G517" s="24"/>
      <c r="H517" s="25"/>
      <c r="I517" s="24"/>
      <c r="J517" s="25"/>
      <c r="K517" s="24"/>
      <c r="L517" s="25"/>
      <c r="M517" s="25"/>
      <c r="N517" s="25"/>
      <c r="O517" s="25"/>
      <c r="P517" s="24"/>
      <c r="Q517" s="25"/>
      <c r="R517" s="24"/>
      <c r="S517" s="26"/>
      <c r="T517" s="25"/>
      <c r="U517" s="25"/>
    </row>
    <row r="518" spans="2:21">
      <c r="B518" s="9"/>
      <c r="C518" s="24"/>
      <c r="D518" s="25"/>
      <c r="E518" s="24"/>
      <c r="F518" s="26"/>
      <c r="G518" s="24"/>
      <c r="H518" s="25"/>
      <c r="I518" s="24"/>
      <c r="J518" s="25"/>
      <c r="K518" s="24"/>
      <c r="L518" s="25"/>
      <c r="M518" s="25"/>
      <c r="N518" s="25"/>
      <c r="O518" s="25"/>
      <c r="P518" s="24"/>
      <c r="Q518" s="25"/>
      <c r="R518" s="24"/>
      <c r="S518" s="26"/>
      <c r="T518" s="25"/>
      <c r="U518" s="25"/>
    </row>
    <row r="519" spans="2:21">
      <c r="B519" s="9"/>
      <c r="C519" s="24"/>
      <c r="D519" s="25"/>
      <c r="E519" s="24"/>
      <c r="F519" s="26"/>
      <c r="G519" s="24"/>
      <c r="H519" s="25"/>
      <c r="I519" s="24"/>
      <c r="J519" s="25"/>
      <c r="K519" s="24"/>
      <c r="L519" s="25"/>
      <c r="M519" s="25"/>
      <c r="N519" s="25"/>
      <c r="O519" s="25"/>
      <c r="P519" s="24"/>
      <c r="Q519" s="25"/>
      <c r="R519" s="24"/>
      <c r="S519" s="26"/>
      <c r="T519" s="25"/>
      <c r="U519" s="25"/>
    </row>
    <row r="520" spans="2:21">
      <c r="B520" s="9"/>
      <c r="C520" s="24"/>
      <c r="D520" s="25"/>
      <c r="E520" s="24"/>
      <c r="F520" s="26"/>
      <c r="G520" s="24"/>
      <c r="H520" s="25"/>
      <c r="I520" s="24"/>
      <c r="J520" s="25"/>
      <c r="K520" s="24"/>
      <c r="L520" s="25"/>
      <c r="M520" s="25"/>
      <c r="N520" s="25"/>
      <c r="O520" s="25"/>
      <c r="P520" s="24"/>
      <c r="Q520" s="25"/>
      <c r="R520" s="24"/>
      <c r="S520" s="26"/>
      <c r="T520" s="25"/>
      <c r="U520" s="25"/>
    </row>
    <row r="521" spans="2:21">
      <c r="B521" s="9"/>
      <c r="C521" s="24"/>
      <c r="D521" s="25"/>
      <c r="E521" s="24"/>
      <c r="F521" s="26"/>
      <c r="G521" s="24"/>
      <c r="H521" s="25"/>
      <c r="I521" s="24"/>
      <c r="J521" s="25"/>
      <c r="K521" s="24"/>
      <c r="L521" s="25"/>
      <c r="M521" s="25"/>
      <c r="N521" s="25"/>
      <c r="O521" s="25"/>
      <c r="P521" s="24"/>
      <c r="Q521" s="25"/>
      <c r="R521" s="24"/>
      <c r="S521" s="26"/>
      <c r="T521" s="25"/>
      <c r="U521" s="25"/>
    </row>
    <row r="522" spans="2:21">
      <c r="B522" s="9"/>
      <c r="C522" s="24"/>
      <c r="D522" s="25"/>
      <c r="E522" s="24"/>
      <c r="F522" s="26"/>
      <c r="G522" s="24"/>
      <c r="H522" s="25"/>
      <c r="I522" s="24"/>
      <c r="J522" s="25"/>
      <c r="K522" s="24"/>
      <c r="L522" s="25"/>
      <c r="M522" s="25"/>
      <c r="N522" s="25"/>
      <c r="O522" s="25"/>
      <c r="P522" s="24"/>
      <c r="Q522" s="25"/>
      <c r="R522" s="24"/>
      <c r="S522" s="26"/>
      <c r="T522" s="25"/>
      <c r="U522" s="25"/>
    </row>
    <row r="523" spans="2:21">
      <c r="B523" s="9"/>
      <c r="C523" s="24"/>
      <c r="D523" s="25"/>
      <c r="E523" s="24"/>
      <c r="F523" s="26"/>
      <c r="G523" s="24"/>
      <c r="H523" s="25"/>
      <c r="I523" s="24"/>
      <c r="J523" s="25"/>
      <c r="K523" s="24"/>
      <c r="L523" s="25"/>
      <c r="M523" s="25"/>
      <c r="N523" s="25"/>
      <c r="O523" s="25"/>
      <c r="P523" s="24"/>
      <c r="Q523" s="25"/>
      <c r="R523" s="24"/>
      <c r="S523" s="26"/>
      <c r="T523" s="25"/>
      <c r="U523" s="25"/>
    </row>
    <row r="524" spans="2:21">
      <c r="B524" s="9"/>
      <c r="C524" s="24"/>
      <c r="D524" s="25"/>
      <c r="E524" s="24"/>
      <c r="F524" s="26"/>
      <c r="G524" s="24"/>
      <c r="H524" s="25"/>
      <c r="I524" s="24"/>
      <c r="J524" s="25"/>
      <c r="K524" s="24"/>
      <c r="L524" s="25"/>
      <c r="M524" s="25"/>
      <c r="N524" s="25"/>
      <c r="O524" s="25"/>
      <c r="P524" s="24"/>
      <c r="Q524" s="25"/>
      <c r="R524" s="24"/>
      <c r="S524" s="26"/>
      <c r="T524" s="25"/>
      <c r="U524" s="25"/>
    </row>
    <row r="525" spans="2:21">
      <c r="B525" s="9"/>
      <c r="C525" s="24"/>
      <c r="D525" s="25"/>
      <c r="E525" s="24"/>
      <c r="F525" s="26"/>
      <c r="G525" s="24"/>
      <c r="H525" s="25"/>
      <c r="I525" s="24"/>
      <c r="J525" s="25"/>
      <c r="K525" s="24"/>
      <c r="L525" s="25"/>
      <c r="M525" s="25"/>
      <c r="N525" s="25"/>
      <c r="O525" s="25"/>
      <c r="P525" s="24"/>
      <c r="Q525" s="25"/>
      <c r="R525" s="24"/>
      <c r="S525" s="26"/>
      <c r="T525" s="25"/>
      <c r="U525" s="25"/>
    </row>
    <row r="526" spans="2:21">
      <c r="B526" s="9"/>
      <c r="C526" s="24"/>
      <c r="D526" s="25"/>
      <c r="E526" s="24"/>
      <c r="F526" s="26"/>
      <c r="G526" s="24"/>
      <c r="H526" s="25"/>
      <c r="I526" s="24"/>
      <c r="J526" s="25"/>
      <c r="K526" s="24"/>
      <c r="L526" s="25"/>
      <c r="M526" s="25"/>
      <c r="N526" s="25"/>
      <c r="O526" s="25"/>
      <c r="P526" s="24"/>
      <c r="Q526" s="25"/>
      <c r="R526" s="24"/>
      <c r="S526" s="26"/>
      <c r="T526" s="25"/>
      <c r="U526" s="25"/>
    </row>
    <row r="527" spans="2:21">
      <c r="B527" s="9"/>
      <c r="C527" s="24"/>
      <c r="D527" s="25"/>
      <c r="E527" s="24"/>
      <c r="F527" s="26"/>
      <c r="G527" s="24"/>
      <c r="H527" s="25"/>
      <c r="I527" s="24"/>
      <c r="J527" s="25"/>
      <c r="K527" s="24"/>
      <c r="L527" s="25"/>
      <c r="M527" s="25"/>
      <c r="N527" s="25"/>
      <c r="O527" s="25"/>
      <c r="P527" s="24"/>
      <c r="Q527" s="25"/>
      <c r="R527" s="24"/>
      <c r="S527" s="26"/>
      <c r="T527" s="25"/>
      <c r="U527" s="25"/>
    </row>
    <row r="528" spans="2:21">
      <c r="B528" s="9"/>
      <c r="C528" s="24"/>
      <c r="D528" s="25"/>
      <c r="E528" s="24"/>
      <c r="F528" s="26"/>
      <c r="G528" s="24"/>
      <c r="H528" s="25"/>
      <c r="I528" s="24"/>
      <c r="J528" s="25"/>
      <c r="K528" s="24"/>
      <c r="L528" s="25"/>
      <c r="M528" s="25"/>
      <c r="N528" s="25"/>
      <c r="O528" s="25"/>
      <c r="P528" s="24"/>
      <c r="Q528" s="25"/>
      <c r="R528" s="24"/>
      <c r="S528" s="26"/>
      <c r="T528" s="25"/>
      <c r="U528" s="25"/>
    </row>
    <row r="529" spans="2:21">
      <c r="B529" s="9"/>
      <c r="C529" s="24"/>
      <c r="D529" s="25"/>
      <c r="E529" s="24"/>
      <c r="F529" s="26"/>
      <c r="G529" s="24"/>
      <c r="H529" s="25"/>
      <c r="I529" s="24"/>
      <c r="J529" s="25"/>
      <c r="K529" s="24"/>
      <c r="L529" s="25"/>
      <c r="M529" s="25"/>
      <c r="N529" s="25"/>
      <c r="O529" s="25"/>
      <c r="P529" s="24"/>
      <c r="Q529" s="25"/>
      <c r="R529" s="24"/>
      <c r="S529" s="26"/>
      <c r="T529" s="25"/>
      <c r="U529" s="25"/>
    </row>
    <row r="530" spans="2:21">
      <c r="B530" s="9"/>
      <c r="C530" s="24"/>
      <c r="D530" s="25"/>
      <c r="E530" s="24"/>
      <c r="F530" s="26"/>
      <c r="G530" s="24"/>
      <c r="H530" s="25"/>
      <c r="I530" s="24"/>
      <c r="J530" s="25"/>
      <c r="K530" s="24"/>
      <c r="L530" s="25"/>
      <c r="M530" s="25"/>
      <c r="N530" s="25"/>
      <c r="O530" s="25"/>
      <c r="P530" s="24"/>
      <c r="Q530" s="25"/>
      <c r="R530" s="24"/>
      <c r="S530" s="26"/>
      <c r="T530" s="25"/>
      <c r="U530" s="25"/>
    </row>
    <row r="531" spans="2:21">
      <c r="B531" s="9"/>
      <c r="C531" s="24"/>
      <c r="D531" s="25"/>
      <c r="E531" s="24"/>
      <c r="F531" s="26"/>
      <c r="G531" s="24"/>
      <c r="H531" s="25"/>
      <c r="I531" s="24"/>
      <c r="J531" s="25"/>
      <c r="K531" s="24"/>
      <c r="L531" s="25"/>
      <c r="M531" s="25"/>
      <c r="N531" s="25"/>
      <c r="O531" s="25"/>
      <c r="P531" s="24"/>
      <c r="Q531" s="25"/>
      <c r="R531" s="24"/>
      <c r="S531" s="26"/>
      <c r="T531" s="25"/>
      <c r="U531" s="25"/>
    </row>
    <row r="532" spans="2:21">
      <c r="B532" s="9"/>
      <c r="C532" s="24"/>
      <c r="D532" s="25"/>
      <c r="E532" s="24"/>
      <c r="F532" s="26"/>
      <c r="G532" s="24"/>
      <c r="H532" s="25"/>
      <c r="I532" s="24"/>
      <c r="J532" s="25"/>
      <c r="K532" s="24"/>
      <c r="L532" s="25"/>
      <c r="M532" s="25"/>
      <c r="N532" s="25"/>
      <c r="O532" s="25"/>
      <c r="P532" s="24"/>
      <c r="Q532" s="25"/>
      <c r="R532" s="24"/>
      <c r="S532" s="26"/>
      <c r="T532" s="25"/>
      <c r="U532" s="25"/>
    </row>
    <row r="533" spans="2:21">
      <c r="B533" s="9"/>
      <c r="C533" s="24"/>
      <c r="D533" s="25"/>
      <c r="E533" s="24"/>
      <c r="F533" s="26"/>
      <c r="G533" s="24"/>
      <c r="H533" s="25"/>
      <c r="I533" s="24"/>
      <c r="J533" s="25"/>
      <c r="K533" s="24"/>
      <c r="L533" s="25"/>
      <c r="M533" s="25"/>
      <c r="N533" s="25"/>
      <c r="O533" s="25"/>
      <c r="P533" s="24"/>
      <c r="Q533" s="25"/>
      <c r="R533" s="24"/>
      <c r="S533" s="26"/>
      <c r="T533" s="25"/>
      <c r="U533" s="25"/>
    </row>
    <row r="534" spans="2:21">
      <c r="B534" s="9"/>
      <c r="C534" s="24"/>
      <c r="D534" s="25"/>
      <c r="E534" s="24"/>
      <c r="F534" s="26"/>
      <c r="G534" s="24"/>
      <c r="H534" s="25"/>
      <c r="I534" s="24"/>
      <c r="J534" s="25"/>
      <c r="K534" s="24"/>
      <c r="L534" s="25"/>
      <c r="M534" s="25"/>
      <c r="N534" s="25"/>
      <c r="O534" s="25"/>
      <c r="P534" s="24"/>
      <c r="Q534" s="25"/>
      <c r="R534" s="24"/>
      <c r="S534" s="26"/>
      <c r="T534" s="25"/>
      <c r="U534" s="25"/>
    </row>
    <row r="535" spans="2:21">
      <c r="B535" s="9"/>
      <c r="C535" s="24"/>
      <c r="D535" s="25"/>
      <c r="E535" s="24"/>
      <c r="F535" s="26"/>
      <c r="G535" s="24"/>
      <c r="H535" s="25"/>
      <c r="I535" s="24"/>
      <c r="J535" s="25"/>
      <c r="K535" s="24"/>
      <c r="L535" s="25"/>
      <c r="M535" s="25"/>
      <c r="N535" s="25"/>
      <c r="O535" s="25"/>
      <c r="P535" s="24"/>
      <c r="Q535" s="25"/>
      <c r="R535" s="24"/>
      <c r="S535" s="26"/>
      <c r="T535" s="25"/>
      <c r="U535" s="25"/>
    </row>
    <row r="536" spans="2:21">
      <c r="B536" s="9"/>
      <c r="C536" s="24"/>
      <c r="D536" s="25"/>
      <c r="E536" s="24"/>
      <c r="F536" s="26"/>
      <c r="G536" s="24"/>
      <c r="H536" s="25"/>
      <c r="I536" s="24"/>
      <c r="J536" s="25"/>
      <c r="K536" s="24"/>
      <c r="L536" s="25"/>
      <c r="M536" s="25"/>
      <c r="N536" s="25"/>
      <c r="O536" s="25"/>
      <c r="P536" s="24"/>
      <c r="Q536" s="25"/>
      <c r="R536" s="24"/>
      <c r="S536" s="26"/>
      <c r="T536" s="25"/>
      <c r="U536" s="25"/>
    </row>
    <row r="537" spans="2:21">
      <c r="B537" s="9"/>
      <c r="C537" s="24"/>
      <c r="D537" s="25"/>
      <c r="E537" s="24"/>
      <c r="F537" s="26"/>
      <c r="G537" s="24"/>
      <c r="H537" s="25"/>
      <c r="I537" s="24"/>
      <c r="J537" s="25"/>
      <c r="K537" s="24"/>
      <c r="L537" s="25"/>
      <c r="M537" s="25"/>
      <c r="N537" s="25"/>
      <c r="O537" s="25"/>
      <c r="P537" s="24"/>
      <c r="Q537" s="25"/>
      <c r="R537" s="24"/>
      <c r="S537" s="26"/>
      <c r="T537" s="25"/>
      <c r="U537" s="25"/>
    </row>
    <row r="538" spans="2:21">
      <c r="B538" s="9"/>
      <c r="C538" s="24"/>
      <c r="D538" s="25"/>
      <c r="E538" s="24"/>
      <c r="F538" s="26"/>
      <c r="G538" s="24"/>
      <c r="H538" s="25"/>
      <c r="I538" s="24"/>
      <c r="J538" s="25"/>
      <c r="K538" s="24"/>
      <c r="L538" s="25"/>
      <c r="M538" s="25"/>
      <c r="N538" s="25"/>
      <c r="O538" s="25"/>
      <c r="P538" s="24"/>
      <c r="Q538" s="25"/>
      <c r="R538" s="24"/>
      <c r="S538" s="26"/>
      <c r="T538" s="25"/>
      <c r="U538" s="25"/>
    </row>
    <row r="539" spans="2:21">
      <c r="B539" s="9"/>
      <c r="C539" s="24"/>
      <c r="D539" s="25"/>
      <c r="E539" s="24"/>
      <c r="F539" s="26"/>
      <c r="G539" s="24"/>
      <c r="H539" s="25"/>
      <c r="I539" s="24"/>
      <c r="J539" s="25"/>
      <c r="K539" s="24"/>
      <c r="L539" s="25"/>
      <c r="M539" s="25"/>
      <c r="N539" s="25"/>
      <c r="O539" s="25"/>
      <c r="P539" s="24"/>
      <c r="Q539" s="25"/>
      <c r="R539" s="24"/>
      <c r="S539" s="26"/>
      <c r="T539" s="25"/>
      <c r="U539" s="25"/>
    </row>
    <row r="540" spans="2:21">
      <c r="B540" s="9"/>
      <c r="C540" s="24"/>
      <c r="D540" s="25"/>
      <c r="E540" s="24"/>
      <c r="F540" s="26"/>
      <c r="G540" s="24"/>
      <c r="H540" s="25"/>
      <c r="I540" s="24"/>
      <c r="J540" s="25"/>
      <c r="K540" s="24"/>
      <c r="L540" s="25"/>
      <c r="M540" s="25"/>
      <c r="N540" s="25"/>
      <c r="O540" s="25"/>
      <c r="P540" s="24"/>
      <c r="Q540" s="25"/>
      <c r="R540" s="24"/>
      <c r="S540" s="26"/>
      <c r="T540" s="25"/>
      <c r="U540" s="25"/>
    </row>
    <row r="541" spans="2:21">
      <c r="B541" s="9"/>
      <c r="C541" s="24"/>
      <c r="D541" s="25"/>
      <c r="E541" s="24"/>
      <c r="F541" s="26"/>
      <c r="G541" s="24"/>
      <c r="H541" s="25"/>
      <c r="I541" s="24"/>
      <c r="J541" s="25"/>
      <c r="K541" s="24"/>
      <c r="L541" s="25"/>
      <c r="M541" s="25"/>
      <c r="N541" s="25"/>
      <c r="O541" s="25"/>
      <c r="P541" s="24"/>
      <c r="Q541" s="25"/>
      <c r="R541" s="24"/>
      <c r="S541" s="26"/>
      <c r="T541" s="25"/>
      <c r="U541" s="25"/>
    </row>
    <row r="542" spans="2:21">
      <c r="B542" s="9"/>
      <c r="C542" s="24"/>
      <c r="D542" s="25"/>
      <c r="E542" s="24"/>
      <c r="F542" s="26"/>
      <c r="G542" s="24"/>
      <c r="H542" s="25"/>
      <c r="I542" s="24"/>
      <c r="J542" s="25"/>
      <c r="K542" s="24"/>
      <c r="L542" s="25"/>
      <c r="M542" s="25"/>
      <c r="N542" s="25"/>
      <c r="O542" s="25"/>
      <c r="P542" s="24"/>
      <c r="Q542" s="25"/>
      <c r="R542" s="24"/>
      <c r="S542" s="26"/>
      <c r="T542" s="25"/>
      <c r="U542" s="25"/>
    </row>
    <row r="543" spans="2:21">
      <c r="B543" s="9"/>
      <c r="C543" s="24"/>
      <c r="D543" s="25"/>
      <c r="E543" s="24"/>
      <c r="F543" s="26"/>
      <c r="G543" s="24"/>
      <c r="H543" s="25"/>
      <c r="I543" s="24"/>
      <c r="J543" s="25"/>
      <c r="K543" s="24"/>
      <c r="L543" s="25"/>
      <c r="M543" s="25"/>
      <c r="N543" s="25"/>
      <c r="O543" s="25"/>
      <c r="P543" s="24"/>
      <c r="Q543" s="25"/>
      <c r="R543" s="24"/>
      <c r="S543" s="26"/>
      <c r="T543" s="25"/>
      <c r="U543" s="25"/>
    </row>
    <row r="544" spans="2:21">
      <c r="B544" s="9"/>
      <c r="C544" s="24"/>
      <c r="D544" s="25"/>
      <c r="E544" s="24"/>
      <c r="F544" s="26"/>
      <c r="G544" s="24"/>
      <c r="H544" s="25"/>
      <c r="I544" s="24"/>
      <c r="J544" s="25"/>
      <c r="K544" s="24"/>
      <c r="L544" s="25"/>
      <c r="M544" s="25"/>
      <c r="N544" s="25"/>
      <c r="O544" s="25"/>
      <c r="P544" s="24"/>
      <c r="Q544" s="25"/>
      <c r="R544" s="24"/>
      <c r="S544" s="26"/>
      <c r="T544" s="25"/>
      <c r="U544" s="25"/>
    </row>
    <row r="545" spans="2:21">
      <c r="B545" s="9"/>
      <c r="C545" s="24"/>
      <c r="D545" s="25"/>
      <c r="E545" s="24"/>
      <c r="F545" s="26"/>
      <c r="G545" s="24"/>
      <c r="H545" s="25"/>
      <c r="I545" s="24"/>
      <c r="J545" s="25"/>
      <c r="K545" s="24"/>
      <c r="L545" s="25"/>
      <c r="M545" s="25"/>
      <c r="N545" s="25"/>
      <c r="O545" s="25"/>
      <c r="P545" s="24"/>
      <c r="Q545" s="25"/>
      <c r="R545" s="24"/>
      <c r="S545" s="26"/>
      <c r="T545" s="25"/>
      <c r="U545" s="25"/>
    </row>
    <row r="546" spans="2:21">
      <c r="B546" s="9"/>
      <c r="C546" s="24"/>
      <c r="D546" s="25"/>
      <c r="E546" s="24"/>
      <c r="F546" s="26"/>
      <c r="G546" s="24"/>
      <c r="H546" s="25"/>
      <c r="I546" s="24"/>
      <c r="J546" s="25"/>
      <c r="K546" s="24"/>
      <c r="L546" s="25"/>
      <c r="M546" s="25"/>
      <c r="N546" s="25"/>
      <c r="O546" s="25"/>
      <c r="P546" s="24"/>
      <c r="Q546" s="25"/>
      <c r="R546" s="24"/>
      <c r="S546" s="26"/>
      <c r="T546" s="25"/>
      <c r="U546" s="25"/>
    </row>
    <row r="547" spans="2:21">
      <c r="B547" s="9"/>
      <c r="C547" s="24"/>
      <c r="D547" s="25"/>
      <c r="E547" s="24"/>
      <c r="F547" s="26"/>
      <c r="G547" s="24"/>
      <c r="H547" s="25"/>
      <c r="I547" s="24"/>
      <c r="J547" s="25"/>
      <c r="K547" s="24"/>
      <c r="L547" s="25"/>
      <c r="M547" s="25"/>
      <c r="N547" s="25"/>
      <c r="O547" s="25"/>
      <c r="P547" s="24"/>
      <c r="Q547" s="25"/>
      <c r="R547" s="24"/>
      <c r="S547" s="26"/>
      <c r="T547" s="25"/>
      <c r="U547" s="25"/>
    </row>
    <row r="548" spans="2:21">
      <c r="B548" s="9"/>
      <c r="C548" s="24"/>
      <c r="D548" s="25"/>
      <c r="E548" s="24"/>
      <c r="F548" s="26"/>
      <c r="G548" s="24"/>
      <c r="H548" s="25"/>
      <c r="I548" s="24"/>
      <c r="J548" s="25"/>
      <c r="K548" s="24"/>
      <c r="L548" s="25"/>
      <c r="M548" s="25"/>
      <c r="N548" s="25"/>
      <c r="O548" s="25"/>
      <c r="P548" s="24"/>
      <c r="Q548" s="25"/>
      <c r="R548" s="24"/>
      <c r="S548" s="26"/>
      <c r="T548" s="25"/>
      <c r="U548" s="25"/>
    </row>
    <row r="549" spans="2:21">
      <c r="B549" s="9"/>
      <c r="C549" s="24"/>
      <c r="D549" s="25"/>
      <c r="E549" s="24"/>
      <c r="F549" s="26"/>
      <c r="G549" s="24"/>
      <c r="H549" s="25"/>
      <c r="I549" s="24"/>
      <c r="J549" s="25"/>
      <c r="K549" s="24"/>
      <c r="L549" s="25"/>
      <c r="M549" s="25"/>
      <c r="N549" s="25"/>
      <c r="O549" s="25"/>
      <c r="P549" s="24"/>
      <c r="Q549" s="25"/>
      <c r="R549" s="24"/>
      <c r="S549" s="26"/>
      <c r="T549" s="25"/>
      <c r="U549" s="25"/>
    </row>
    <row r="550" spans="2:21">
      <c r="B550" s="9"/>
      <c r="C550" s="24"/>
      <c r="D550" s="25"/>
      <c r="E550" s="24"/>
      <c r="F550" s="26"/>
      <c r="G550" s="24"/>
      <c r="H550" s="25"/>
      <c r="I550" s="24"/>
      <c r="J550" s="25"/>
      <c r="K550" s="24"/>
      <c r="L550" s="25"/>
      <c r="M550" s="25"/>
      <c r="N550" s="25"/>
      <c r="O550" s="25"/>
      <c r="P550" s="24"/>
      <c r="Q550" s="25"/>
      <c r="R550" s="24"/>
      <c r="S550" s="26"/>
      <c r="T550" s="25"/>
      <c r="U550" s="25"/>
    </row>
    <row r="551" spans="2:21">
      <c r="B551" s="9"/>
      <c r="C551" s="24"/>
      <c r="D551" s="25"/>
      <c r="E551" s="24"/>
      <c r="F551" s="26"/>
      <c r="G551" s="24"/>
      <c r="H551" s="25"/>
      <c r="I551" s="24"/>
      <c r="J551" s="25"/>
      <c r="K551" s="24"/>
      <c r="L551" s="25"/>
      <c r="M551" s="25"/>
      <c r="N551" s="25"/>
      <c r="O551" s="25"/>
      <c r="P551" s="24"/>
      <c r="Q551" s="25"/>
      <c r="R551" s="24"/>
      <c r="S551" s="26"/>
      <c r="T551" s="25"/>
      <c r="U551" s="25"/>
    </row>
    <row r="552" spans="2:21">
      <c r="B552" s="9"/>
      <c r="C552" s="24"/>
      <c r="D552" s="25"/>
      <c r="E552" s="24"/>
      <c r="F552" s="26"/>
      <c r="G552" s="24"/>
      <c r="H552" s="25"/>
      <c r="I552" s="24"/>
      <c r="J552" s="25"/>
      <c r="K552" s="24"/>
      <c r="L552" s="25"/>
      <c r="M552" s="25"/>
      <c r="N552" s="25"/>
      <c r="O552" s="25"/>
      <c r="P552" s="24"/>
      <c r="Q552" s="25"/>
      <c r="R552" s="24"/>
      <c r="S552" s="26"/>
      <c r="T552" s="25"/>
      <c r="U552" s="25"/>
    </row>
    <row r="553" spans="2:21">
      <c r="B553" s="9"/>
      <c r="C553" s="24"/>
      <c r="D553" s="25"/>
      <c r="E553" s="24"/>
      <c r="F553" s="26"/>
      <c r="G553" s="24"/>
      <c r="H553" s="25"/>
      <c r="I553" s="24"/>
      <c r="J553" s="25"/>
      <c r="K553" s="24"/>
      <c r="L553" s="25"/>
      <c r="M553" s="25"/>
      <c r="N553" s="25"/>
      <c r="O553" s="25"/>
      <c r="P553" s="24"/>
      <c r="Q553" s="25"/>
      <c r="R553" s="24"/>
      <c r="S553" s="26"/>
      <c r="T553" s="25"/>
      <c r="U553" s="25"/>
    </row>
    <row r="554" spans="2:21">
      <c r="B554" s="9"/>
      <c r="C554" s="24"/>
      <c r="D554" s="25"/>
      <c r="E554" s="24"/>
      <c r="F554" s="26"/>
      <c r="G554" s="24"/>
      <c r="H554" s="25"/>
      <c r="I554" s="24"/>
      <c r="J554" s="25"/>
      <c r="K554" s="24"/>
      <c r="L554" s="25"/>
      <c r="M554" s="25"/>
      <c r="N554" s="25"/>
      <c r="O554" s="25"/>
      <c r="P554" s="24"/>
      <c r="Q554" s="25"/>
      <c r="R554" s="24"/>
      <c r="S554" s="26"/>
      <c r="T554" s="25"/>
      <c r="U554" s="25"/>
    </row>
    <row r="555" spans="2:21">
      <c r="B555" s="9"/>
      <c r="C555" s="24"/>
      <c r="D555" s="25"/>
      <c r="E555" s="24"/>
      <c r="F555" s="26"/>
      <c r="G555" s="24"/>
      <c r="H555" s="25"/>
      <c r="I555" s="24"/>
      <c r="J555" s="25"/>
      <c r="K555" s="24"/>
      <c r="L555" s="25"/>
      <c r="M555" s="25"/>
      <c r="N555" s="25"/>
      <c r="O555" s="25"/>
      <c r="P555" s="24"/>
      <c r="Q555" s="25"/>
      <c r="R555" s="24"/>
      <c r="S555" s="26"/>
      <c r="T555" s="25"/>
      <c r="U555" s="25"/>
    </row>
    <row r="556" spans="2:21">
      <c r="B556" s="9"/>
      <c r="C556" s="24"/>
      <c r="D556" s="25"/>
      <c r="E556" s="24"/>
      <c r="F556" s="26"/>
      <c r="G556" s="24"/>
      <c r="H556" s="25"/>
      <c r="I556" s="24"/>
      <c r="J556" s="25"/>
      <c r="K556" s="24"/>
      <c r="L556" s="25"/>
      <c r="M556" s="25"/>
      <c r="N556" s="25"/>
      <c r="O556" s="25"/>
      <c r="P556" s="24"/>
      <c r="Q556" s="25"/>
      <c r="R556" s="24"/>
      <c r="S556" s="26"/>
      <c r="T556" s="25"/>
      <c r="U556" s="25"/>
    </row>
    <row r="557" spans="2:21">
      <c r="B557" s="9"/>
      <c r="C557" s="24"/>
      <c r="D557" s="25"/>
      <c r="E557" s="24"/>
      <c r="F557" s="26"/>
      <c r="G557" s="24"/>
      <c r="H557" s="25"/>
      <c r="I557" s="24"/>
      <c r="J557" s="25"/>
      <c r="K557" s="24"/>
      <c r="L557" s="25"/>
      <c r="M557" s="25"/>
      <c r="N557" s="25"/>
      <c r="O557" s="25"/>
      <c r="P557" s="24"/>
      <c r="Q557" s="25"/>
      <c r="R557" s="24"/>
      <c r="S557" s="26"/>
      <c r="T557" s="25"/>
      <c r="U557" s="25"/>
    </row>
    <row r="558" spans="2:21">
      <c r="B558" s="9"/>
      <c r="C558" s="24"/>
      <c r="D558" s="25"/>
      <c r="E558" s="24"/>
      <c r="F558" s="26"/>
      <c r="G558" s="24"/>
      <c r="H558" s="25"/>
      <c r="I558" s="24"/>
      <c r="J558" s="25"/>
      <c r="K558" s="24"/>
      <c r="L558" s="25"/>
      <c r="M558" s="25"/>
      <c r="N558" s="25"/>
      <c r="O558" s="25"/>
      <c r="P558" s="24"/>
      <c r="Q558" s="25"/>
      <c r="R558" s="24"/>
      <c r="S558" s="26"/>
      <c r="T558" s="25"/>
      <c r="U558" s="25"/>
    </row>
    <row r="559" spans="2:21">
      <c r="B559" s="9"/>
      <c r="C559" s="24"/>
      <c r="D559" s="25"/>
      <c r="E559" s="24"/>
      <c r="F559" s="26"/>
      <c r="G559" s="24"/>
      <c r="H559" s="25"/>
      <c r="I559" s="24"/>
      <c r="J559" s="25"/>
      <c r="K559" s="24"/>
      <c r="L559" s="25"/>
      <c r="M559" s="25"/>
      <c r="N559" s="25"/>
      <c r="O559" s="25"/>
      <c r="P559" s="24"/>
      <c r="Q559" s="25"/>
      <c r="R559" s="24"/>
      <c r="S559" s="26"/>
      <c r="T559" s="25"/>
      <c r="U559" s="25"/>
    </row>
    <row r="560" spans="2:21">
      <c r="B560" s="9"/>
      <c r="C560" s="24"/>
      <c r="D560" s="25"/>
      <c r="E560" s="24"/>
      <c r="F560" s="26"/>
      <c r="G560" s="24"/>
      <c r="H560" s="25"/>
      <c r="I560" s="24"/>
      <c r="J560" s="25"/>
      <c r="K560" s="24"/>
      <c r="L560" s="25"/>
      <c r="M560" s="25"/>
      <c r="N560" s="25"/>
      <c r="O560" s="25"/>
      <c r="P560" s="24"/>
      <c r="Q560" s="25"/>
      <c r="R560" s="24"/>
      <c r="S560" s="26"/>
      <c r="T560" s="25"/>
      <c r="U560" s="25"/>
    </row>
    <row r="561" spans="2:21">
      <c r="B561" s="9"/>
      <c r="C561" s="24"/>
      <c r="D561" s="25"/>
      <c r="E561" s="24"/>
      <c r="F561" s="26"/>
      <c r="G561" s="24"/>
      <c r="H561" s="25"/>
      <c r="I561" s="24"/>
      <c r="J561" s="25"/>
      <c r="K561" s="24"/>
      <c r="L561" s="25"/>
      <c r="M561" s="25"/>
      <c r="N561" s="25"/>
      <c r="O561" s="25"/>
      <c r="P561" s="24"/>
      <c r="Q561" s="25"/>
      <c r="R561" s="24"/>
      <c r="S561" s="26"/>
      <c r="T561" s="25"/>
      <c r="U561" s="25"/>
    </row>
    <row r="562" spans="2:21">
      <c r="B562" s="9"/>
      <c r="C562" s="24"/>
      <c r="D562" s="25"/>
      <c r="E562" s="24"/>
      <c r="F562" s="26"/>
      <c r="G562" s="24"/>
      <c r="H562" s="25"/>
      <c r="I562" s="24"/>
      <c r="J562" s="25"/>
      <c r="K562" s="24"/>
      <c r="L562" s="25"/>
      <c r="M562" s="25"/>
      <c r="N562" s="25"/>
      <c r="O562" s="25"/>
      <c r="P562" s="24"/>
      <c r="Q562" s="25"/>
      <c r="R562" s="24"/>
      <c r="S562" s="26"/>
      <c r="T562" s="25"/>
      <c r="U562" s="25"/>
    </row>
    <row r="563" spans="2:21">
      <c r="B563" s="9"/>
      <c r="C563" s="24"/>
      <c r="D563" s="25"/>
      <c r="E563" s="24"/>
      <c r="F563" s="26"/>
      <c r="G563" s="24"/>
      <c r="H563" s="25"/>
      <c r="I563" s="24"/>
      <c r="J563" s="25"/>
      <c r="K563" s="24"/>
      <c r="L563" s="25"/>
      <c r="M563" s="25"/>
      <c r="N563" s="25"/>
      <c r="O563" s="25"/>
      <c r="P563" s="24"/>
      <c r="Q563" s="25"/>
      <c r="R563" s="24"/>
      <c r="S563" s="26"/>
      <c r="T563" s="25"/>
      <c r="U563" s="25"/>
    </row>
    <row r="564" spans="2:21">
      <c r="B564" s="9"/>
      <c r="C564" s="24"/>
      <c r="D564" s="25"/>
      <c r="E564" s="24"/>
      <c r="F564" s="26"/>
      <c r="G564" s="24"/>
      <c r="H564" s="25"/>
      <c r="I564" s="24"/>
      <c r="J564" s="25"/>
      <c r="K564" s="24"/>
      <c r="L564" s="25"/>
      <c r="M564" s="25"/>
      <c r="N564" s="25"/>
      <c r="O564" s="25"/>
      <c r="P564" s="24"/>
      <c r="Q564" s="25"/>
      <c r="R564" s="24"/>
      <c r="S564" s="26"/>
      <c r="T564" s="25"/>
      <c r="U564" s="25"/>
    </row>
    <row r="565" spans="2:21">
      <c r="B565" s="9"/>
      <c r="C565" s="24"/>
      <c r="D565" s="25"/>
      <c r="E565" s="24"/>
      <c r="F565" s="26"/>
      <c r="G565" s="24"/>
      <c r="H565" s="25"/>
      <c r="I565" s="24"/>
      <c r="J565" s="25"/>
      <c r="K565" s="24"/>
      <c r="L565" s="25"/>
      <c r="M565" s="25"/>
      <c r="N565" s="25"/>
      <c r="O565" s="25"/>
      <c r="P565" s="24"/>
      <c r="Q565" s="25"/>
      <c r="R565" s="24"/>
      <c r="S565" s="26"/>
      <c r="T565" s="25"/>
      <c r="U565" s="25"/>
    </row>
    <row r="566" spans="2:21">
      <c r="B566" s="9"/>
      <c r="C566" s="24"/>
      <c r="D566" s="25"/>
      <c r="E566" s="24"/>
      <c r="F566" s="26"/>
      <c r="G566" s="24"/>
      <c r="H566" s="25"/>
      <c r="I566" s="24"/>
      <c r="J566" s="25"/>
      <c r="K566" s="24"/>
      <c r="L566" s="25"/>
      <c r="M566" s="25"/>
      <c r="N566" s="25"/>
      <c r="O566" s="25"/>
      <c r="P566" s="24"/>
      <c r="Q566" s="25"/>
      <c r="R566" s="24"/>
      <c r="S566" s="26"/>
      <c r="T566" s="25"/>
      <c r="U566" s="25"/>
    </row>
    <row r="567" spans="2:21">
      <c r="B567" s="9"/>
      <c r="C567" s="24"/>
      <c r="D567" s="25"/>
      <c r="E567" s="24"/>
      <c r="F567" s="26"/>
      <c r="G567" s="24"/>
      <c r="H567" s="25"/>
      <c r="I567" s="24"/>
      <c r="J567" s="25"/>
      <c r="K567" s="24"/>
      <c r="L567" s="25"/>
      <c r="M567" s="25"/>
      <c r="N567" s="25"/>
      <c r="O567" s="25"/>
      <c r="P567" s="24"/>
      <c r="Q567" s="25"/>
      <c r="R567" s="24"/>
      <c r="S567" s="26"/>
      <c r="T567" s="25"/>
      <c r="U567" s="25"/>
    </row>
    <row r="568" spans="2:21">
      <c r="B568" s="9"/>
      <c r="C568" s="24"/>
      <c r="D568" s="25"/>
      <c r="E568" s="24"/>
      <c r="F568" s="26"/>
      <c r="G568" s="24"/>
      <c r="H568" s="25"/>
      <c r="I568" s="24"/>
      <c r="J568" s="25"/>
      <c r="K568" s="24"/>
      <c r="L568" s="25"/>
      <c r="M568" s="25"/>
      <c r="N568" s="25"/>
      <c r="O568" s="25"/>
      <c r="P568" s="24"/>
      <c r="Q568" s="25"/>
      <c r="R568" s="24"/>
      <c r="S568" s="26"/>
      <c r="T568" s="25"/>
      <c r="U568" s="25"/>
    </row>
    <row r="569" spans="2:21">
      <c r="B569" s="9"/>
      <c r="C569" s="24"/>
      <c r="D569" s="25"/>
      <c r="E569" s="24"/>
      <c r="F569" s="26"/>
      <c r="G569" s="24"/>
      <c r="H569" s="25"/>
      <c r="I569" s="24"/>
      <c r="J569" s="25"/>
      <c r="K569" s="24"/>
      <c r="L569" s="25"/>
      <c r="M569" s="25"/>
      <c r="N569" s="25"/>
      <c r="O569" s="25"/>
      <c r="P569" s="24"/>
      <c r="Q569" s="25"/>
      <c r="R569" s="24"/>
      <c r="S569" s="26"/>
      <c r="T569" s="25"/>
      <c r="U569" s="25"/>
    </row>
    <row r="570" spans="2:21">
      <c r="B570" s="9"/>
      <c r="C570" s="24"/>
      <c r="D570" s="25"/>
      <c r="E570" s="24"/>
      <c r="F570" s="26"/>
      <c r="G570" s="24"/>
      <c r="H570" s="25"/>
      <c r="I570" s="24"/>
      <c r="J570" s="25"/>
      <c r="K570" s="24"/>
      <c r="L570" s="25"/>
      <c r="M570" s="25"/>
      <c r="N570" s="25"/>
      <c r="O570" s="25"/>
      <c r="P570" s="24"/>
      <c r="Q570" s="25"/>
      <c r="R570" s="24"/>
      <c r="S570" s="26"/>
      <c r="T570" s="25"/>
      <c r="U570" s="25"/>
    </row>
    <row r="571" spans="2:21">
      <c r="B571" s="9"/>
      <c r="C571" s="24"/>
      <c r="D571" s="25"/>
      <c r="E571" s="24"/>
      <c r="F571" s="26"/>
      <c r="G571" s="24"/>
      <c r="H571" s="25"/>
      <c r="I571" s="24"/>
      <c r="J571" s="25"/>
      <c r="K571" s="24"/>
      <c r="L571" s="25"/>
      <c r="M571" s="25"/>
      <c r="N571" s="25"/>
      <c r="O571" s="25"/>
      <c r="P571" s="24"/>
      <c r="Q571" s="25"/>
      <c r="R571" s="24"/>
      <c r="S571" s="26"/>
      <c r="T571" s="25"/>
      <c r="U571" s="25"/>
    </row>
    <row r="572" spans="2:21">
      <c r="B572" s="9"/>
      <c r="C572" s="24"/>
      <c r="D572" s="25"/>
      <c r="E572" s="24"/>
      <c r="F572" s="26"/>
      <c r="G572" s="24"/>
      <c r="H572" s="25"/>
      <c r="I572" s="24"/>
      <c r="J572" s="25"/>
      <c r="K572" s="24"/>
      <c r="L572" s="25"/>
      <c r="M572" s="25"/>
      <c r="N572" s="25"/>
      <c r="O572" s="25"/>
      <c r="P572" s="24"/>
      <c r="Q572" s="25"/>
      <c r="R572" s="24"/>
      <c r="S572" s="26"/>
      <c r="T572" s="25"/>
      <c r="U572" s="25"/>
    </row>
    <row r="573" spans="2:21">
      <c r="B573" s="9"/>
      <c r="C573" s="24"/>
      <c r="D573" s="25"/>
      <c r="E573" s="24"/>
      <c r="F573" s="26"/>
      <c r="G573" s="24"/>
      <c r="H573" s="25"/>
      <c r="I573" s="24"/>
      <c r="J573" s="25"/>
      <c r="K573" s="24"/>
      <c r="L573" s="25"/>
      <c r="M573" s="25"/>
      <c r="N573" s="25"/>
      <c r="O573" s="25"/>
      <c r="P573" s="24"/>
      <c r="Q573" s="25"/>
      <c r="R573" s="24"/>
      <c r="S573" s="26"/>
      <c r="T573" s="25"/>
      <c r="U573" s="25"/>
    </row>
    <row r="574" spans="2:21">
      <c r="B574" s="9"/>
      <c r="C574" s="24"/>
      <c r="D574" s="25"/>
      <c r="E574" s="24"/>
      <c r="F574" s="26"/>
      <c r="G574" s="24"/>
      <c r="H574" s="25"/>
      <c r="I574" s="24"/>
      <c r="J574" s="25"/>
      <c r="K574" s="24"/>
      <c r="L574" s="25"/>
      <c r="M574" s="25"/>
      <c r="N574" s="25"/>
      <c r="O574" s="25"/>
      <c r="P574" s="24"/>
      <c r="Q574" s="25"/>
      <c r="R574" s="24"/>
      <c r="S574" s="26"/>
      <c r="T574" s="25"/>
      <c r="U574" s="25"/>
    </row>
    <row r="575" spans="2:21">
      <c r="B575" s="9"/>
      <c r="C575" s="24"/>
      <c r="D575" s="25"/>
      <c r="E575" s="24"/>
      <c r="F575" s="26"/>
      <c r="G575" s="24"/>
      <c r="H575" s="25"/>
      <c r="I575" s="24"/>
      <c r="J575" s="25"/>
      <c r="K575" s="24"/>
      <c r="L575" s="25"/>
      <c r="M575" s="25"/>
      <c r="N575" s="25"/>
      <c r="O575" s="25"/>
      <c r="P575" s="24"/>
      <c r="Q575" s="25"/>
      <c r="R575" s="24"/>
      <c r="S575" s="26"/>
      <c r="T575" s="25"/>
      <c r="U575" s="25"/>
    </row>
    <row r="576" spans="2:21">
      <c r="B576" s="9"/>
      <c r="C576" s="24"/>
      <c r="D576" s="25"/>
      <c r="E576" s="24"/>
      <c r="F576" s="26"/>
      <c r="G576" s="24"/>
      <c r="H576" s="25"/>
      <c r="I576" s="24"/>
      <c r="J576" s="25"/>
      <c r="K576" s="24"/>
      <c r="L576" s="25"/>
      <c r="M576" s="25"/>
      <c r="N576" s="25"/>
      <c r="O576" s="25"/>
      <c r="P576" s="24"/>
      <c r="Q576" s="25"/>
      <c r="R576" s="24"/>
      <c r="S576" s="26"/>
      <c r="T576" s="25"/>
      <c r="U576" s="25"/>
    </row>
    <row r="577" spans="2:21">
      <c r="B577" s="9"/>
      <c r="C577" s="24"/>
      <c r="D577" s="25"/>
      <c r="E577" s="24"/>
      <c r="F577" s="26"/>
      <c r="G577" s="24"/>
      <c r="H577" s="25"/>
      <c r="I577" s="24"/>
      <c r="J577" s="25"/>
      <c r="K577" s="24"/>
      <c r="L577" s="25"/>
      <c r="M577" s="25"/>
      <c r="N577" s="25"/>
      <c r="O577" s="25"/>
      <c r="P577" s="24"/>
      <c r="Q577" s="25"/>
      <c r="R577" s="24"/>
      <c r="S577" s="26"/>
      <c r="T577" s="25"/>
      <c r="U577" s="25"/>
    </row>
    <row r="578" spans="2:21">
      <c r="B578" s="9"/>
      <c r="C578" s="24"/>
      <c r="D578" s="25"/>
      <c r="E578" s="24"/>
      <c r="F578" s="26"/>
      <c r="G578" s="24"/>
      <c r="H578" s="25"/>
      <c r="I578" s="24"/>
      <c r="J578" s="25"/>
      <c r="K578" s="24"/>
      <c r="L578" s="25"/>
      <c r="M578" s="25"/>
      <c r="N578" s="25"/>
      <c r="O578" s="25"/>
      <c r="P578" s="24"/>
      <c r="Q578" s="25"/>
      <c r="R578" s="24"/>
      <c r="S578" s="26"/>
      <c r="T578" s="25"/>
      <c r="U578" s="25"/>
    </row>
    <row r="579" spans="2:21">
      <c r="B579" s="9"/>
      <c r="C579" s="24"/>
      <c r="D579" s="25"/>
      <c r="E579" s="24"/>
      <c r="F579" s="26"/>
      <c r="G579" s="24"/>
      <c r="H579" s="25"/>
      <c r="I579" s="24"/>
      <c r="J579" s="25"/>
      <c r="K579" s="24"/>
      <c r="L579" s="25"/>
      <c r="M579" s="25"/>
      <c r="N579" s="25"/>
      <c r="O579" s="25"/>
      <c r="P579" s="24"/>
      <c r="Q579" s="25"/>
      <c r="R579" s="24"/>
      <c r="S579" s="26"/>
      <c r="T579" s="25"/>
      <c r="U579" s="25"/>
    </row>
    <row r="580" spans="2:21">
      <c r="B580" s="9"/>
      <c r="C580" s="24"/>
      <c r="D580" s="25"/>
      <c r="E580" s="24"/>
      <c r="F580" s="26"/>
      <c r="G580" s="24"/>
      <c r="H580" s="25"/>
      <c r="I580" s="24"/>
      <c r="J580" s="25"/>
      <c r="K580" s="24"/>
      <c r="L580" s="25"/>
      <c r="M580" s="25"/>
      <c r="N580" s="25"/>
      <c r="O580" s="25"/>
      <c r="P580" s="24"/>
      <c r="Q580" s="25"/>
      <c r="R580" s="24"/>
      <c r="S580" s="26"/>
      <c r="T580" s="25"/>
      <c r="U580" s="25"/>
    </row>
    <row r="581" spans="2:21">
      <c r="B581" s="9"/>
      <c r="C581" s="24"/>
      <c r="D581" s="25"/>
      <c r="E581" s="24"/>
      <c r="F581" s="26"/>
      <c r="G581" s="24"/>
      <c r="H581" s="25"/>
      <c r="I581" s="24"/>
      <c r="J581" s="25"/>
      <c r="K581" s="24"/>
      <c r="L581" s="25"/>
      <c r="M581" s="25"/>
      <c r="N581" s="25"/>
      <c r="O581" s="25"/>
      <c r="P581" s="24"/>
      <c r="Q581" s="25"/>
      <c r="R581" s="24"/>
      <c r="S581" s="26"/>
      <c r="T581" s="25"/>
      <c r="U581" s="25"/>
    </row>
    <row r="582" spans="2:21">
      <c r="B582" s="9"/>
      <c r="C582" s="24"/>
      <c r="D582" s="25"/>
      <c r="E582" s="24"/>
      <c r="F582" s="26"/>
      <c r="G582" s="24"/>
      <c r="H582" s="25"/>
      <c r="I582" s="24"/>
      <c r="J582" s="25"/>
      <c r="K582" s="24"/>
      <c r="L582" s="25"/>
      <c r="M582" s="25"/>
      <c r="N582" s="25"/>
      <c r="O582" s="25"/>
      <c r="P582" s="24"/>
      <c r="Q582" s="25"/>
      <c r="R582" s="24"/>
      <c r="S582" s="26"/>
      <c r="T582" s="25"/>
      <c r="U582" s="25"/>
    </row>
    <row r="583" spans="2:21">
      <c r="B583" s="9"/>
      <c r="C583" s="24"/>
      <c r="D583" s="25"/>
      <c r="E583" s="24"/>
      <c r="F583" s="26"/>
      <c r="G583" s="24"/>
      <c r="H583" s="25"/>
      <c r="I583" s="24"/>
      <c r="J583" s="25"/>
      <c r="K583" s="24"/>
      <c r="L583" s="25"/>
      <c r="M583" s="25"/>
      <c r="N583" s="25"/>
      <c r="O583" s="25"/>
      <c r="P583" s="24"/>
      <c r="Q583" s="25"/>
      <c r="R583" s="24"/>
      <c r="S583" s="26"/>
      <c r="T583" s="25"/>
      <c r="U583" s="25"/>
    </row>
    <row r="584" spans="2:21">
      <c r="B584" s="9"/>
      <c r="C584" s="24"/>
      <c r="D584" s="25"/>
      <c r="E584" s="24"/>
      <c r="F584" s="26"/>
      <c r="G584" s="24"/>
      <c r="H584" s="25"/>
      <c r="I584" s="24"/>
      <c r="J584" s="25"/>
      <c r="K584" s="24"/>
      <c r="L584" s="25"/>
      <c r="M584" s="25"/>
      <c r="N584" s="25"/>
      <c r="O584" s="25"/>
      <c r="P584" s="24"/>
      <c r="Q584" s="25"/>
      <c r="R584" s="24"/>
      <c r="S584" s="26"/>
      <c r="T584" s="25"/>
      <c r="U584" s="25"/>
    </row>
    <row r="585" spans="2:21">
      <c r="B585" s="9"/>
      <c r="C585" s="24"/>
      <c r="D585" s="25"/>
      <c r="E585" s="24"/>
      <c r="F585" s="26"/>
      <c r="G585" s="24"/>
      <c r="H585" s="25"/>
      <c r="I585" s="24"/>
      <c r="J585" s="25"/>
      <c r="K585" s="24"/>
      <c r="L585" s="25"/>
      <c r="M585" s="25"/>
      <c r="N585" s="25"/>
      <c r="O585" s="25"/>
      <c r="P585" s="24"/>
      <c r="Q585" s="25"/>
      <c r="R585" s="24"/>
      <c r="S585" s="26"/>
      <c r="T585" s="25"/>
      <c r="U585" s="25"/>
    </row>
    <row r="586" spans="2:21">
      <c r="B586" s="9"/>
      <c r="C586" s="24"/>
      <c r="D586" s="25"/>
      <c r="E586" s="24"/>
      <c r="F586" s="26"/>
      <c r="G586" s="24"/>
      <c r="H586" s="25"/>
      <c r="I586" s="24"/>
      <c r="J586" s="25"/>
      <c r="K586" s="24"/>
      <c r="L586" s="25"/>
      <c r="M586" s="25"/>
      <c r="N586" s="25"/>
      <c r="O586" s="25"/>
      <c r="P586" s="24"/>
      <c r="Q586" s="25"/>
      <c r="R586" s="24"/>
      <c r="S586" s="26"/>
      <c r="T586" s="25"/>
      <c r="U586" s="25"/>
    </row>
    <row r="587" spans="2:21">
      <c r="B587" s="9"/>
      <c r="C587" s="24"/>
      <c r="D587" s="25"/>
      <c r="E587" s="24"/>
      <c r="F587" s="26"/>
      <c r="G587" s="24"/>
      <c r="H587" s="25"/>
      <c r="I587" s="24"/>
      <c r="J587" s="25"/>
      <c r="K587" s="24"/>
      <c r="L587" s="25"/>
      <c r="M587" s="25"/>
      <c r="N587" s="25"/>
      <c r="O587" s="25"/>
      <c r="P587" s="24"/>
      <c r="Q587" s="25"/>
      <c r="R587" s="24"/>
      <c r="S587" s="26"/>
      <c r="T587" s="25"/>
      <c r="U587" s="25"/>
    </row>
    <row r="588" spans="2:21">
      <c r="B588" s="9"/>
      <c r="C588" s="24"/>
      <c r="D588" s="25"/>
      <c r="E588" s="24"/>
      <c r="F588" s="26"/>
      <c r="G588" s="24"/>
      <c r="H588" s="25"/>
      <c r="I588" s="24"/>
      <c r="J588" s="25"/>
      <c r="K588" s="24"/>
      <c r="L588" s="25"/>
      <c r="M588" s="25"/>
      <c r="N588" s="25"/>
      <c r="O588" s="25"/>
      <c r="P588" s="24"/>
      <c r="Q588" s="25"/>
      <c r="R588" s="24"/>
      <c r="S588" s="26"/>
      <c r="T588" s="25"/>
      <c r="U588" s="25"/>
    </row>
    <row r="589" spans="2:21">
      <c r="B589" s="9"/>
      <c r="C589" s="24"/>
      <c r="D589" s="25"/>
      <c r="E589" s="24"/>
      <c r="F589" s="26"/>
      <c r="G589" s="24"/>
      <c r="H589" s="25"/>
      <c r="I589" s="24"/>
      <c r="J589" s="25"/>
      <c r="K589" s="24"/>
      <c r="L589" s="25"/>
      <c r="M589" s="25"/>
      <c r="N589" s="25"/>
      <c r="O589" s="25"/>
      <c r="P589" s="24"/>
      <c r="Q589" s="25"/>
      <c r="R589" s="24"/>
      <c r="S589" s="26"/>
      <c r="T589" s="25"/>
      <c r="U589" s="25"/>
    </row>
    <row r="590" spans="2:21">
      <c r="B590" s="9"/>
      <c r="C590" s="24"/>
      <c r="D590" s="25"/>
      <c r="E590" s="24"/>
      <c r="F590" s="26"/>
      <c r="G590" s="24"/>
      <c r="H590" s="25"/>
      <c r="I590" s="24"/>
      <c r="J590" s="25"/>
      <c r="K590" s="24"/>
      <c r="L590" s="25"/>
      <c r="M590" s="25"/>
      <c r="N590" s="25"/>
      <c r="O590" s="25"/>
      <c r="P590" s="24"/>
      <c r="Q590" s="25"/>
      <c r="R590" s="24"/>
      <c r="S590" s="26"/>
      <c r="T590" s="25"/>
      <c r="U590" s="25"/>
    </row>
    <row r="591" spans="2:21">
      <c r="B591" s="9"/>
      <c r="C591" s="24"/>
      <c r="D591" s="25"/>
      <c r="E591" s="24"/>
      <c r="F591" s="26"/>
      <c r="G591" s="24"/>
      <c r="H591" s="25"/>
      <c r="I591" s="24"/>
      <c r="J591" s="25"/>
      <c r="K591" s="24"/>
      <c r="L591" s="25"/>
      <c r="M591" s="25"/>
      <c r="N591" s="25"/>
      <c r="O591" s="25"/>
      <c r="P591" s="24"/>
      <c r="Q591" s="25"/>
      <c r="R591" s="24"/>
      <c r="S591" s="26"/>
      <c r="T591" s="25"/>
      <c r="U591" s="25"/>
    </row>
    <row r="592" spans="2:21">
      <c r="B592" s="9"/>
      <c r="C592" s="24"/>
      <c r="D592" s="25"/>
      <c r="E592" s="24"/>
      <c r="F592" s="26"/>
      <c r="G592" s="24"/>
      <c r="H592" s="25"/>
      <c r="I592" s="24"/>
      <c r="J592" s="25"/>
      <c r="K592" s="24"/>
      <c r="L592" s="25"/>
      <c r="M592" s="25"/>
      <c r="N592" s="25"/>
      <c r="O592" s="25"/>
      <c r="P592" s="24"/>
      <c r="Q592" s="25"/>
      <c r="R592" s="24"/>
      <c r="S592" s="26"/>
      <c r="T592" s="25"/>
      <c r="U592" s="25"/>
    </row>
    <row r="593" spans="2:21">
      <c r="B593" s="9"/>
      <c r="C593" s="24"/>
      <c r="D593" s="25"/>
      <c r="E593" s="24"/>
      <c r="F593" s="26"/>
      <c r="G593" s="24"/>
      <c r="H593" s="25"/>
      <c r="I593" s="24"/>
      <c r="J593" s="25"/>
      <c r="K593" s="24"/>
      <c r="L593" s="25"/>
      <c r="M593" s="25"/>
      <c r="N593" s="25"/>
      <c r="O593" s="25"/>
      <c r="P593" s="24"/>
      <c r="Q593" s="25"/>
      <c r="R593" s="24"/>
      <c r="S593" s="26"/>
      <c r="T593" s="25"/>
      <c r="U593" s="25"/>
    </row>
    <row r="594" spans="2:21">
      <c r="B594" s="9"/>
      <c r="C594" s="24"/>
      <c r="D594" s="25"/>
      <c r="E594" s="24"/>
      <c r="F594" s="26"/>
      <c r="G594" s="24"/>
      <c r="H594" s="25"/>
      <c r="I594" s="24"/>
      <c r="J594" s="25"/>
      <c r="K594" s="24"/>
      <c r="L594" s="25"/>
      <c r="M594" s="25"/>
      <c r="N594" s="25"/>
      <c r="O594" s="25"/>
      <c r="P594" s="24"/>
      <c r="Q594" s="25"/>
      <c r="R594" s="24"/>
      <c r="S594" s="26"/>
      <c r="T594" s="25"/>
      <c r="U594" s="25"/>
    </row>
    <row r="595" spans="2:21">
      <c r="B595" s="9"/>
      <c r="C595" s="24"/>
      <c r="D595" s="25"/>
      <c r="E595" s="24"/>
      <c r="F595" s="26"/>
      <c r="G595" s="24"/>
      <c r="H595" s="25"/>
      <c r="I595" s="24"/>
      <c r="J595" s="25"/>
      <c r="K595" s="24"/>
      <c r="L595" s="25"/>
      <c r="M595" s="25"/>
      <c r="N595" s="25"/>
      <c r="O595" s="25"/>
      <c r="P595" s="24"/>
      <c r="Q595" s="25"/>
      <c r="R595" s="24"/>
      <c r="S595" s="26"/>
      <c r="T595" s="25"/>
      <c r="U595" s="25"/>
    </row>
    <row r="596" spans="2:21">
      <c r="B596" s="9"/>
      <c r="C596" s="24"/>
      <c r="D596" s="25"/>
      <c r="E596" s="24"/>
      <c r="F596" s="26"/>
      <c r="G596" s="24"/>
      <c r="H596" s="25"/>
      <c r="I596" s="24"/>
      <c r="J596" s="25"/>
      <c r="K596" s="24"/>
      <c r="L596" s="25"/>
      <c r="M596" s="25"/>
      <c r="N596" s="25"/>
      <c r="O596" s="25"/>
      <c r="P596" s="24"/>
      <c r="Q596" s="25"/>
      <c r="R596" s="24"/>
      <c r="S596" s="26"/>
      <c r="T596" s="25"/>
      <c r="U596" s="25"/>
    </row>
    <row r="597" spans="2:21">
      <c r="B597" s="9"/>
      <c r="C597" s="24"/>
      <c r="D597" s="25"/>
      <c r="E597" s="24"/>
      <c r="F597" s="26"/>
      <c r="G597" s="24"/>
      <c r="H597" s="25"/>
      <c r="I597" s="24"/>
      <c r="J597" s="25"/>
      <c r="K597" s="24"/>
      <c r="L597" s="25"/>
      <c r="M597" s="25"/>
      <c r="N597" s="25"/>
      <c r="O597" s="25"/>
      <c r="P597" s="24"/>
      <c r="Q597" s="25"/>
      <c r="R597" s="24"/>
      <c r="S597" s="26"/>
      <c r="T597" s="25"/>
      <c r="U597" s="25"/>
    </row>
    <row r="598" spans="2:21">
      <c r="B598" s="9"/>
      <c r="C598" s="24"/>
      <c r="D598" s="25"/>
      <c r="E598" s="24"/>
      <c r="F598" s="26"/>
      <c r="G598" s="24"/>
      <c r="H598" s="25"/>
      <c r="I598" s="24"/>
      <c r="J598" s="25"/>
      <c r="K598" s="24"/>
      <c r="L598" s="25"/>
      <c r="M598" s="25"/>
      <c r="N598" s="25"/>
      <c r="O598" s="25"/>
      <c r="P598" s="24"/>
      <c r="Q598" s="25"/>
      <c r="R598" s="24"/>
      <c r="S598" s="26"/>
      <c r="T598" s="25"/>
      <c r="U598" s="25"/>
    </row>
    <row r="599" spans="2:21">
      <c r="B599" s="9"/>
      <c r="C599" s="24"/>
      <c r="D599" s="25"/>
      <c r="E599" s="24"/>
      <c r="F599" s="26"/>
      <c r="G599" s="24"/>
      <c r="H599" s="25"/>
      <c r="I599" s="24"/>
      <c r="J599" s="25"/>
      <c r="K599" s="24"/>
      <c r="L599" s="25"/>
      <c r="M599" s="25"/>
      <c r="N599" s="25"/>
      <c r="O599" s="25"/>
      <c r="P599" s="24"/>
      <c r="Q599" s="25"/>
      <c r="R599" s="24"/>
      <c r="S599" s="26"/>
      <c r="T599" s="25"/>
      <c r="U599" s="25"/>
    </row>
    <row r="600" spans="2:21">
      <c r="B600" s="9"/>
      <c r="C600" s="24"/>
      <c r="D600" s="25"/>
      <c r="E600" s="24"/>
      <c r="F600" s="26"/>
      <c r="G600" s="24"/>
      <c r="H600" s="25"/>
      <c r="I600" s="24"/>
      <c r="J600" s="25"/>
      <c r="K600" s="24"/>
      <c r="L600" s="25"/>
      <c r="M600" s="25"/>
      <c r="N600" s="25"/>
      <c r="O600" s="25"/>
      <c r="P600" s="24"/>
      <c r="Q600" s="25"/>
      <c r="R600" s="24"/>
      <c r="S600" s="26"/>
      <c r="T600" s="25"/>
      <c r="U600" s="25"/>
    </row>
    <row r="601" spans="2:21">
      <c r="B601" s="9"/>
      <c r="C601" s="24"/>
      <c r="D601" s="25"/>
      <c r="E601" s="24"/>
      <c r="F601" s="26"/>
      <c r="G601" s="24"/>
      <c r="H601" s="25"/>
      <c r="I601" s="24"/>
      <c r="J601" s="25"/>
      <c r="K601" s="24"/>
      <c r="L601" s="25"/>
      <c r="M601" s="25"/>
      <c r="N601" s="25"/>
      <c r="O601" s="25"/>
      <c r="P601" s="24"/>
      <c r="Q601" s="25"/>
      <c r="R601" s="24"/>
      <c r="S601" s="26"/>
      <c r="T601" s="25"/>
      <c r="U601" s="25"/>
    </row>
    <row r="602" spans="2:21">
      <c r="B602" s="9"/>
      <c r="C602" s="24"/>
      <c r="D602" s="25"/>
      <c r="E602" s="24"/>
      <c r="F602" s="26"/>
      <c r="G602" s="24"/>
      <c r="H602" s="25"/>
      <c r="I602" s="24"/>
      <c r="J602" s="25"/>
      <c r="K602" s="24"/>
      <c r="L602" s="25"/>
      <c r="M602" s="25"/>
      <c r="N602" s="25"/>
      <c r="O602" s="25"/>
      <c r="P602" s="24"/>
      <c r="Q602" s="25"/>
      <c r="R602" s="24"/>
      <c r="S602" s="26"/>
      <c r="T602" s="25"/>
      <c r="U602" s="25"/>
    </row>
    <row r="603" spans="2:21">
      <c r="B603" s="9"/>
      <c r="C603" s="24"/>
      <c r="D603" s="25"/>
      <c r="E603" s="24"/>
      <c r="F603" s="26"/>
      <c r="G603" s="24"/>
      <c r="H603" s="25"/>
      <c r="I603" s="24"/>
      <c r="J603" s="25"/>
      <c r="K603" s="24"/>
      <c r="L603" s="25"/>
      <c r="M603" s="25"/>
      <c r="N603" s="25"/>
      <c r="O603" s="25"/>
      <c r="P603" s="24"/>
      <c r="Q603" s="25"/>
      <c r="R603" s="24"/>
      <c r="S603" s="26"/>
      <c r="T603" s="25"/>
      <c r="U603" s="25"/>
    </row>
    <row r="604" spans="2:21">
      <c r="B604" s="9"/>
      <c r="C604" s="24"/>
      <c r="D604" s="25"/>
      <c r="E604" s="24"/>
      <c r="F604" s="26"/>
      <c r="G604" s="24"/>
      <c r="H604" s="25"/>
      <c r="I604" s="24"/>
      <c r="J604" s="25"/>
      <c r="K604" s="24"/>
      <c r="L604" s="25"/>
      <c r="M604" s="25"/>
      <c r="N604" s="25"/>
      <c r="O604" s="25"/>
      <c r="P604" s="24"/>
      <c r="Q604" s="25"/>
      <c r="R604" s="24"/>
      <c r="S604" s="26"/>
      <c r="T604" s="25"/>
      <c r="U604" s="25"/>
    </row>
    <row r="605" spans="2:21">
      <c r="B605" s="9"/>
      <c r="C605" s="24"/>
      <c r="D605" s="25"/>
      <c r="E605" s="24"/>
      <c r="F605" s="26"/>
      <c r="G605" s="24"/>
      <c r="H605" s="25"/>
      <c r="I605" s="24"/>
      <c r="J605" s="25"/>
      <c r="K605" s="24"/>
      <c r="L605" s="25"/>
      <c r="M605" s="25"/>
      <c r="N605" s="25"/>
      <c r="O605" s="25"/>
      <c r="P605" s="24"/>
      <c r="Q605" s="25"/>
      <c r="R605" s="24"/>
      <c r="S605" s="26"/>
      <c r="T605" s="25"/>
      <c r="U605" s="25"/>
    </row>
    <row r="606" spans="2:21">
      <c r="B606" s="9"/>
      <c r="C606" s="24"/>
      <c r="D606" s="25"/>
      <c r="E606" s="24"/>
      <c r="F606" s="26"/>
      <c r="G606" s="24"/>
      <c r="H606" s="25"/>
      <c r="I606" s="24"/>
      <c r="J606" s="25"/>
      <c r="K606" s="24"/>
      <c r="L606" s="25"/>
      <c r="M606" s="25"/>
      <c r="N606" s="25"/>
      <c r="O606" s="25"/>
      <c r="P606" s="24"/>
      <c r="Q606" s="25"/>
      <c r="R606" s="24"/>
      <c r="S606" s="26"/>
      <c r="T606" s="25"/>
      <c r="U606" s="25"/>
    </row>
    <row r="607" spans="2:21">
      <c r="B607" s="9"/>
      <c r="C607" s="24"/>
      <c r="D607" s="25"/>
      <c r="E607" s="24"/>
      <c r="F607" s="26"/>
      <c r="G607" s="24"/>
      <c r="H607" s="25"/>
      <c r="I607" s="24"/>
      <c r="J607" s="25"/>
      <c r="K607" s="24"/>
      <c r="L607" s="25"/>
      <c r="M607" s="25"/>
      <c r="N607" s="25"/>
      <c r="O607" s="25"/>
      <c r="P607" s="24"/>
      <c r="Q607" s="25"/>
      <c r="R607" s="24"/>
      <c r="S607" s="26"/>
      <c r="T607" s="25"/>
      <c r="U607" s="25"/>
    </row>
    <row r="608" spans="2:21">
      <c r="B608" s="9"/>
      <c r="C608" s="24"/>
      <c r="D608" s="25"/>
      <c r="E608" s="24"/>
      <c r="F608" s="26"/>
      <c r="G608" s="24"/>
      <c r="H608" s="25"/>
      <c r="I608" s="24"/>
      <c r="J608" s="25"/>
      <c r="K608" s="24"/>
      <c r="L608" s="25"/>
      <c r="M608" s="25"/>
      <c r="N608" s="25"/>
      <c r="O608" s="25"/>
      <c r="P608" s="24"/>
      <c r="Q608" s="25"/>
      <c r="R608" s="24"/>
      <c r="S608" s="26"/>
      <c r="T608" s="25"/>
      <c r="U608" s="25"/>
    </row>
    <row r="609" spans="2:21">
      <c r="B609" s="9"/>
      <c r="C609" s="24"/>
      <c r="D609" s="25"/>
      <c r="E609" s="24"/>
      <c r="F609" s="26"/>
      <c r="G609" s="24"/>
      <c r="H609" s="25"/>
      <c r="I609" s="24"/>
      <c r="J609" s="25"/>
      <c r="K609" s="24"/>
      <c r="L609" s="25"/>
      <c r="M609" s="25"/>
      <c r="N609" s="25"/>
      <c r="O609" s="25"/>
      <c r="P609" s="24"/>
      <c r="Q609" s="25"/>
      <c r="R609" s="24"/>
      <c r="S609" s="26"/>
      <c r="T609" s="25"/>
      <c r="U609" s="25"/>
    </row>
    <row r="610" spans="2:21">
      <c r="B610" s="9"/>
      <c r="C610" s="24"/>
      <c r="D610" s="25"/>
      <c r="E610" s="24"/>
      <c r="F610" s="26"/>
      <c r="G610" s="24"/>
      <c r="H610" s="25"/>
      <c r="I610" s="24"/>
      <c r="J610" s="25"/>
      <c r="K610" s="24"/>
      <c r="L610" s="25"/>
      <c r="M610" s="25"/>
      <c r="N610" s="25"/>
      <c r="O610" s="25"/>
      <c r="P610" s="24"/>
      <c r="Q610" s="25"/>
      <c r="R610" s="24"/>
      <c r="S610" s="26"/>
      <c r="T610" s="25"/>
      <c r="U610" s="25"/>
    </row>
    <row r="611" spans="2:21">
      <c r="B611" s="9"/>
      <c r="C611" s="24"/>
      <c r="D611" s="25"/>
      <c r="E611" s="24"/>
      <c r="F611" s="26"/>
      <c r="G611" s="24"/>
      <c r="H611" s="25"/>
      <c r="I611" s="24"/>
      <c r="J611" s="25"/>
      <c r="K611" s="24"/>
      <c r="L611" s="25"/>
      <c r="M611" s="25"/>
      <c r="N611" s="25"/>
      <c r="O611" s="25"/>
      <c r="P611" s="24"/>
      <c r="Q611" s="25"/>
      <c r="R611" s="24"/>
      <c r="S611" s="26"/>
      <c r="T611" s="25"/>
      <c r="U611" s="25"/>
    </row>
    <row r="612" spans="2:21">
      <c r="B612" s="9"/>
      <c r="C612" s="24"/>
      <c r="D612" s="25"/>
      <c r="E612" s="24"/>
      <c r="F612" s="26"/>
      <c r="G612" s="24"/>
      <c r="H612" s="25"/>
      <c r="I612" s="24"/>
      <c r="J612" s="25"/>
      <c r="K612" s="24"/>
      <c r="L612" s="25"/>
      <c r="M612" s="25"/>
      <c r="N612" s="25"/>
      <c r="O612" s="25"/>
      <c r="P612" s="24"/>
      <c r="Q612" s="25"/>
      <c r="R612" s="24"/>
      <c r="S612" s="26"/>
      <c r="T612" s="25"/>
      <c r="U612" s="25"/>
    </row>
    <row r="613" spans="2:21" ht="15.75" thickBot="1">
      <c r="B613" s="9"/>
      <c r="C613" s="24"/>
      <c r="D613" s="25"/>
      <c r="E613" s="51"/>
      <c r="F613" s="52"/>
      <c r="G613" s="24"/>
      <c r="H613" s="25"/>
      <c r="I613" s="24"/>
      <c r="J613" s="25"/>
      <c r="K613" s="24"/>
      <c r="L613" s="25"/>
      <c r="M613" s="25"/>
      <c r="N613" s="25"/>
      <c r="O613" s="53"/>
      <c r="P613" s="51"/>
      <c r="Q613" s="25"/>
      <c r="R613" s="51"/>
      <c r="S613" s="52"/>
      <c r="T613" s="25"/>
      <c r="U613" s="25"/>
    </row>
  </sheetData>
  <mergeCells count="9">
    <mergeCell ref="P10:Q10"/>
    <mergeCell ref="R10:S10"/>
    <mergeCell ref="K11:O11"/>
    <mergeCell ref="C2:O5"/>
    <mergeCell ref="C10:D10"/>
    <mergeCell ref="E10:F10"/>
    <mergeCell ref="G10:H10"/>
    <mergeCell ref="I10:J10"/>
    <mergeCell ref="K10:O10"/>
  </mergeCells>
  <conditionalFormatting sqref="V14:V197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conditionalFormatting sqref="W14:W197">
    <cfRule type="expression" dxfId="0" priority="2">
      <formula>$V14="Cambio Calado"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72E68-8240-4737-BBE4-8072F982623E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 1  </vt:lpstr>
      <vt:lpstr>Sheet1</vt:lpstr>
    </vt:vector>
  </TitlesOfParts>
  <Company>Canal de Panama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JFRodriguez - Jorge Rodriguez</dc:creator>
  <cp:lastModifiedBy>JFRodriguez - Jorge Rodriguez</cp:lastModifiedBy>
  <dcterms:created xsi:type="dcterms:W3CDTF">2026-07-22T14:43:28Z</dcterms:created>
  <dcterms:modified xsi:type="dcterms:W3CDTF">2026-10-05T12:02:49Z</dcterms:modified>
</cp:coreProperties>
</file>