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23" documentId="8_{29E71870-274C-47BF-AFC6-36C7708B9818}" xr6:coauthVersionLast="47" xr6:coauthVersionMax="47" xr10:uidLastSave="{03F5C23F-6D66-4EA3-A294-DFA44101AB44}"/>
  <bookViews>
    <workbookView xWindow="-120" yWindow="-120" windowWidth="29040" windowHeight="15720" xr2:uid="{E6F809A6-540B-408C-B3E0-0EE9CB858D76}"/>
  </bookViews>
  <sheets>
    <sheet name="Resumen 1  " sheetId="4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4" l="1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A161" i="4"/>
  <c r="B160" i="4"/>
  <c r="A160" i="4" s="1"/>
  <c r="B159" i="4"/>
  <c r="B158" i="4"/>
  <c r="B157" i="4"/>
  <c r="B156" i="4"/>
  <c r="A156" i="4" s="1"/>
  <c r="B155" i="4"/>
  <c r="B154" i="4"/>
  <c r="B153" i="4"/>
  <c r="B152" i="4"/>
  <c r="B151" i="4"/>
  <c r="B150" i="4"/>
  <c r="B149" i="4"/>
  <c r="B148" i="4"/>
  <c r="A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A133" i="4"/>
  <c r="B132" i="4"/>
  <c r="F132" i="4" s="1"/>
  <c r="B131" i="4"/>
  <c r="A131" i="4"/>
  <c r="B130" i="4"/>
  <c r="A130" i="4" s="1"/>
  <c r="B129" i="4"/>
  <c r="B128" i="4"/>
  <c r="B127" i="4"/>
  <c r="B126" i="4"/>
  <c r="A126" i="4" s="1"/>
  <c r="B125" i="4"/>
  <c r="B124" i="4"/>
  <c r="B123" i="4"/>
  <c r="B122" i="4"/>
  <c r="B121" i="4"/>
  <c r="B120" i="4"/>
  <c r="B119" i="4"/>
  <c r="B118" i="4"/>
  <c r="B117" i="4"/>
  <c r="B116" i="4"/>
  <c r="B115" i="4"/>
  <c r="A115" i="4" s="1"/>
  <c r="B114" i="4"/>
  <c r="B113" i="4"/>
  <c r="A113" i="4" s="1"/>
  <c r="B112" i="4"/>
  <c r="B111" i="4"/>
  <c r="B110" i="4"/>
  <c r="B109" i="4"/>
  <c r="B108" i="4"/>
  <c r="B107" i="4"/>
  <c r="B106" i="4"/>
  <c r="B105" i="4"/>
  <c r="B104" i="4"/>
  <c r="B103" i="4"/>
  <c r="A103" i="4"/>
  <c r="B102" i="4"/>
  <c r="A102" i="4" s="1"/>
  <c r="B101" i="4"/>
  <c r="B100" i="4"/>
  <c r="B99" i="4"/>
  <c r="A99" i="4" s="1"/>
  <c r="B98" i="4"/>
  <c r="B97" i="4"/>
  <c r="B96" i="4"/>
  <c r="B95" i="4"/>
  <c r="B94" i="4"/>
  <c r="B93" i="4"/>
  <c r="B92" i="4"/>
  <c r="B91" i="4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S46" i="4"/>
  <c r="B46" i="4"/>
  <c r="A46" i="4" s="1"/>
  <c r="S45" i="4"/>
  <c r="B45" i="4"/>
  <c r="A45" i="4" s="1"/>
  <c r="S44" i="4"/>
  <c r="B44" i="4"/>
  <c r="A44" i="4" s="1"/>
  <c r="S43" i="4"/>
  <c r="B43" i="4"/>
  <c r="A43" i="4" s="1"/>
  <c r="S42" i="4"/>
  <c r="B42" i="4"/>
  <c r="A42" i="4" s="1"/>
  <c r="S41" i="4"/>
  <c r="B41" i="4"/>
  <c r="A41" i="4" s="1"/>
  <c r="S40" i="4"/>
  <c r="B40" i="4"/>
  <c r="A40" i="4" s="1"/>
  <c r="S39" i="4"/>
  <c r="B39" i="4"/>
  <c r="A39" i="4" s="1"/>
  <c r="S38" i="4"/>
  <c r="B38" i="4"/>
  <c r="A38" i="4" s="1"/>
  <c r="S37" i="4"/>
  <c r="B37" i="4"/>
  <c r="A37" i="4" s="1"/>
  <c r="S36" i="4"/>
  <c r="B36" i="4"/>
  <c r="A36" i="4" s="1"/>
  <c r="S35" i="4"/>
  <c r="B35" i="4"/>
  <c r="A35" i="4" s="1"/>
  <c r="S34" i="4"/>
  <c r="B34" i="4"/>
  <c r="A34" i="4" s="1"/>
  <c r="S33" i="4"/>
  <c r="B33" i="4"/>
  <c r="A33" i="4" s="1"/>
  <c r="S32" i="4"/>
  <c r="B32" i="4"/>
  <c r="A32" i="4"/>
  <c r="S31" i="4"/>
  <c r="B31" i="4"/>
  <c r="A31" i="4" s="1"/>
  <c r="S30" i="4"/>
  <c r="B30" i="4"/>
  <c r="A30" i="4" s="1"/>
  <c r="S29" i="4"/>
  <c r="B29" i="4"/>
  <c r="A29" i="4" s="1"/>
  <c r="S28" i="4"/>
  <c r="B28" i="4"/>
  <c r="A28" i="4" s="1"/>
  <c r="S27" i="4"/>
  <c r="B27" i="4"/>
  <c r="A27" i="4" s="1"/>
  <c r="S26" i="4"/>
  <c r="B26" i="4"/>
  <c r="A26" i="4" s="1"/>
  <c r="S25" i="4"/>
  <c r="B25" i="4"/>
  <c r="A25" i="4" s="1"/>
  <c r="S24" i="4"/>
  <c r="B24" i="4"/>
  <c r="A24" i="4" s="1"/>
  <c r="S23" i="4"/>
  <c r="B23" i="4"/>
  <c r="A23" i="4" s="1"/>
  <c r="S22" i="4"/>
  <c r="B22" i="4"/>
  <c r="A22" i="4" s="1"/>
  <c r="S21" i="4"/>
  <c r="B21" i="4"/>
  <c r="A21" i="4" s="1"/>
  <c r="S20" i="4"/>
  <c r="B20" i="4"/>
  <c r="A20" i="4" s="1"/>
  <c r="S19" i="4"/>
  <c r="B19" i="4"/>
  <c r="A19" i="4" s="1"/>
  <c r="S18" i="4"/>
  <c r="B18" i="4"/>
  <c r="A18" i="4" s="1"/>
  <c r="S17" i="4"/>
  <c r="B17" i="4"/>
  <c r="A17" i="4" s="1"/>
  <c r="S16" i="4"/>
  <c r="B16" i="4"/>
  <c r="A16" i="4" s="1"/>
  <c r="S15" i="4"/>
  <c r="B15" i="4"/>
  <c r="A15" i="4" s="1"/>
  <c r="S14" i="4"/>
  <c r="B14" i="4"/>
  <c r="A14" i="4" s="1"/>
  <c r="S11" i="4"/>
  <c r="C8" i="4"/>
  <c r="C7" i="4"/>
  <c r="AD91" i="4" l="1" a="1"/>
  <c r="A91" i="4"/>
  <c r="H168" i="4"/>
  <c r="E168" i="4"/>
  <c r="H162" i="4"/>
  <c r="G162" i="4"/>
  <c r="A92" i="4"/>
  <c r="M197" i="4"/>
  <c r="H197" i="4"/>
  <c r="E197" i="4"/>
  <c r="N197" i="4"/>
  <c r="F197" i="4"/>
  <c r="A197" i="4"/>
  <c r="L197" i="4"/>
  <c r="G197" i="4"/>
  <c r="K197" i="4"/>
  <c r="AD197" i="4" a="1"/>
  <c r="AD196" i="4" a="1"/>
  <c r="H196" i="4"/>
  <c r="N196" i="4"/>
  <c r="A196" i="4"/>
  <c r="F196" i="4"/>
  <c r="M196" i="4"/>
  <c r="G196" i="4"/>
  <c r="L196" i="4"/>
  <c r="K196" i="4"/>
  <c r="E196" i="4"/>
  <c r="G195" i="4"/>
  <c r="A195" i="4"/>
  <c r="L195" i="4"/>
  <c r="K195" i="4"/>
  <c r="AD195" i="4" a="1"/>
  <c r="F195" i="4"/>
  <c r="M195" i="4"/>
  <c r="N195" i="4"/>
  <c r="H195" i="4"/>
  <c r="E195" i="4"/>
  <c r="M194" i="4"/>
  <c r="E194" i="4"/>
  <c r="A194" i="4"/>
  <c r="L194" i="4"/>
  <c r="AD194" i="4" a="1"/>
  <c r="F194" i="4"/>
  <c r="H194" i="4"/>
  <c r="N194" i="4"/>
  <c r="K194" i="4"/>
  <c r="G194" i="4"/>
  <c r="G193" i="4"/>
  <c r="K193" i="4"/>
  <c r="M193" i="4"/>
  <c r="F193" i="4"/>
  <c r="A193" i="4"/>
  <c r="E193" i="4"/>
  <c r="N193" i="4"/>
  <c r="AD193" i="4" a="1"/>
  <c r="L193" i="4"/>
  <c r="H193" i="4"/>
  <c r="G192" i="4"/>
  <c r="A192" i="4"/>
  <c r="AD192" i="4" a="1"/>
  <c r="K192" i="4"/>
  <c r="N192" i="4"/>
  <c r="M192" i="4"/>
  <c r="H192" i="4"/>
  <c r="L192" i="4"/>
  <c r="E192" i="4"/>
  <c r="F192" i="4"/>
  <c r="A191" i="4"/>
  <c r="K191" i="4"/>
  <c r="N191" i="4"/>
  <c r="L191" i="4"/>
  <c r="F191" i="4"/>
  <c r="AD191" i="4" a="1"/>
  <c r="E191" i="4"/>
  <c r="H191" i="4"/>
  <c r="M191" i="4"/>
  <c r="G191" i="4"/>
  <c r="N190" i="4"/>
  <c r="K190" i="4"/>
  <c r="AD190" i="4" a="1"/>
  <c r="H190" i="4"/>
  <c r="G190" i="4"/>
  <c r="A190" i="4"/>
  <c r="F190" i="4"/>
  <c r="E190" i="4"/>
  <c r="L190" i="4"/>
  <c r="M190" i="4"/>
  <c r="AD189" i="4" a="1"/>
  <c r="A189" i="4"/>
  <c r="H189" i="4"/>
  <c r="E189" i="4"/>
  <c r="M189" i="4"/>
  <c r="L189" i="4"/>
  <c r="F189" i="4"/>
  <c r="K189" i="4"/>
  <c r="N189" i="4"/>
  <c r="G189" i="4"/>
  <c r="L188" i="4"/>
  <c r="A188" i="4"/>
  <c r="E188" i="4"/>
  <c r="N188" i="4"/>
  <c r="H188" i="4"/>
  <c r="M188" i="4"/>
  <c r="AD188" i="4" a="1"/>
  <c r="G188" i="4"/>
  <c r="F188" i="4"/>
  <c r="K188" i="4"/>
  <c r="L187" i="4"/>
  <c r="F187" i="4"/>
  <c r="AD187" i="4" a="1"/>
  <c r="E187" i="4"/>
  <c r="N187" i="4"/>
  <c r="H187" i="4"/>
  <c r="K187" i="4"/>
  <c r="G187" i="4"/>
  <c r="A187" i="4"/>
  <c r="M187" i="4"/>
  <c r="M186" i="4"/>
  <c r="E186" i="4"/>
  <c r="H186" i="4"/>
  <c r="L186" i="4"/>
  <c r="AD186" i="4" a="1"/>
  <c r="K186" i="4"/>
  <c r="A186" i="4"/>
  <c r="G186" i="4"/>
  <c r="F186" i="4"/>
  <c r="N186" i="4"/>
  <c r="M185" i="4"/>
  <c r="G185" i="4"/>
  <c r="K185" i="4"/>
  <c r="F185" i="4"/>
  <c r="L185" i="4"/>
  <c r="A185" i="4"/>
  <c r="AD185" i="4" a="1"/>
  <c r="N185" i="4"/>
  <c r="E185" i="4"/>
  <c r="H185" i="4"/>
  <c r="A184" i="4"/>
  <c r="N184" i="4"/>
  <c r="F184" i="4"/>
  <c r="M184" i="4"/>
  <c r="AD184" i="4" a="1"/>
  <c r="E184" i="4"/>
  <c r="G184" i="4"/>
  <c r="L184" i="4"/>
  <c r="K184" i="4"/>
  <c r="H184" i="4"/>
  <c r="L183" i="4"/>
  <c r="H183" i="4"/>
  <c r="N183" i="4"/>
  <c r="E183" i="4"/>
  <c r="M183" i="4"/>
  <c r="A183" i="4"/>
  <c r="K183" i="4"/>
  <c r="G183" i="4"/>
  <c r="F183" i="4"/>
  <c r="AD183" i="4" a="1"/>
  <c r="N182" i="4"/>
  <c r="AD182" i="4" a="1"/>
  <c r="G182" i="4"/>
  <c r="F182" i="4"/>
  <c r="E182" i="4"/>
  <c r="H182" i="4"/>
  <c r="M182" i="4"/>
  <c r="A182" i="4"/>
  <c r="L182" i="4"/>
  <c r="K182" i="4"/>
  <c r="A181" i="4"/>
  <c r="F181" i="4"/>
  <c r="AD181" i="4" a="1"/>
  <c r="G181" i="4"/>
  <c r="M181" i="4"/>
  <c r="N181" i="4"/>
  <c r="E181" i="4"/>
  <c r="H181" i="4"/>
  <c r="L181" i="4"/>
  <c r="K181" i="4"/>
  <c r="L180" i="4"/>
  <c r="H180" i="4"/>
  <c r="AD180" i="4" a="1"/>
  <c r="E180" i="4"/>
  <c r="N180" i="4"/>
  <c r="G180" i="4"/>
  <c r="A180" i="4"/>
  <c r="F180" i="4"/>
  <c r="K180" i="4"/>
  <c r="M180" i="4"/>
  <c r="H179" i="4"/>
  <c r="A179" i="4"/>
  <c r="K179" i="4"/>
  <c r="N179" i="4"/>
  <c r="L179" i="4"/>
  <c r="F179" i="4"/>
  <c r="M179" i="4"/>
  <c r="E179" i="4"/>
  <c r="G179" i="4"/>
  <c r="AD179" i="4" a="1"/>
  <c r="H178" i="4"/>
  <c r="M178" i="4"/>
  <c r="F178" i="4"/>
  <c r="A178" i="4"/>
  <c r="G178" i="4"/>
  <c r="K178" i="4"/>
  <c r="N178" i="4"/>
  <c r="E178" i="4"/>
  <c r="AD178" i="4" a="1"/>
  <c r="L178" i="4"/>
  <c r="N177" i="4"/>
  <c r="A177" i="4"/>
  <c r="F177" i="4"/>
  <c r="L177" i="4"/>
  <c r="AD177" i="4" a="1"/>
  <c r="K177" i="4"/>
  <c r="M177" i="4"/>
  <c r="H177" i="4"/>
  <c r="E177" i="4"/>
  <c r="G177" i="4"/>
  <c r="F176" i="4"/>
  <c r="H176" i="4"/>
  <c r="L176" i="4"/>
  <c r="A176" i="4"/>
  <c r="AD176" i="4" a="1"/>
  <c r="E176" i="4"/>
  <c r="G176" i="4"/>
  <c r="M176" i="4"/>
  <c r="N176" i="4"/>
  <c r="K176" i="4"/>
  <c r="K175" i="4"/>
  <c r="AD175" i="4" a="1"/>
  <c r="M175" i="4"/>
  <c r="G175" i="4"/>
  <c r="F175" i="4"/>
  <c r="N175" i="4"/>
  <c r="E175" i="4"/>
  <c r="A175" i="4"/>
  <c r="L175" i="4"/>
  <c r="H175" i="4"/>
  <c r="N174" i="4"/>
  <c r="F174" i="4"/>
  <c r="G174" i="4"/>
  <c r="H174" i="4"/>
  <c r="A174" i="4"/>
  <c r="L174" i="4"/>
  <c r="K174" i="4"/>
  <c r="AD174" i="4" a="1"/>
  <c r="M174" i="4"/>
  <c r="E174" i="4"/>
  <c r="N173" i="4"/>
  <c r="M173" i="4"/>
  <c r="H173" i="4"/>
  <c r="K173" i="4"/>
  <c r="A173" i="4"/>
  <c r="E173" i="4"/>
  <c r="G173" i="4"/>
  <c r="L173" i="4"/>
  <c r="AD173" i="4" a="1"/>
  <c r="F173" i="4"/>
  <c r="H172" i="4"/>
  <c r="F172" i="4"/>
  <c r="N172" i="4"/>
  <c r="E172" i="4"/>
  <c r="M172" i="4"/>
  <c r="AD172" i="4" a="1"/>
  <c r="A172" i="4"/>
  <c r="L172" i="4"/>
  <c r="G172" i="4"/>
  <c r="K172" i="4"/>
  <c r="E171" i="4"/>
  <c r="K171" i="4"/>
  <c r="N171" i="4"/>
  <c r="F171" i="4"/>
  <c r="L171" i="4"/>
  <c r="G171" i="4"/>
  <c r="AD171" i="4" a="1"/>
  <c r="H171" i="4"/>
  <c r="M171" i="4"/>
  <c r="A171" i="4"/>
  <c r="AD170" i="4" a="1"/>
  <c r="M170" i="4"/>
  <c r="G170" i="4"/>
  <c r="F170" i="4"/>
  <c r="E170" i="4"/>
  <c r="H170" i="4"/>
  <c r="L170" i="4"/>
  <c r="N170" i="4"/>
  <c r="A170" i="4"/>
  <c r="K170" i="4"/>
  <c r="F169" i="4"/>
  <c r="E169" i="4"/>
  <c r="K169" i="4"/>
  <c r="M169" i="4"/>
  <c r="G169" i="4"/>
  <c r="H169" i="4"/>
  <c r="L169" i="4"/>
  <c r="N169" i="4"/>
  <c r="A169" i="4"/>
  <c r="AD169" i="4" a="1"/>
  <c r="A168" i="4"/>
  <c r="F168" i="4"/>
  <c r="G168" i="4"/>
  <c r="L168" i="4"/>
  <c r="M168" i="4"/>
  <c r="K168" i="4"/>
  <c r="N168" i="4"/>
  <c r="AD168" i="4" a="1"/>
  <c r="A167" i="4"/>
  <c r="K167" i="4"/>
  <c r="N167" i="4"/>
  <c r="H167" i="4"/>
  <c r="L167" i="4"/>
  <c r="AD167" i="4" a="1"/>
  <c r="F167" i="4"/>
  <c r="G167" i="4"/>
  <c r="M167" i="4"/>
  <c r="E167" i="4"/>
  <c r="E166" i="4"/>
  <c r="H166" i="4"/>
  <c r="N166" i="4"/>
  <c r="K166" i="4"/>
  <c r="G166" i="4"/>
  <c r="L166" i="4"/>
  <c r="AD166" i="4" a="1"/>
  <c r="M166" i="4"/>
  <c r="A166" i="4"/>
  <c r="F166" i="4"/>
  <c r="AD165" i="4" a="1"/>
  <c r="L165" i="4"/>
  <c r="E165" i="4"/>
  <c r="K165" i="4"/>
  <c r="F165" i="4"/>
  <c r="M165" i="4"/>
  <c r="N165" i="4"/>
  <c r="H165" i="4"/>
  <c r="A165" i="4"/>
  <c r="G165" i="4"/>
  <c r="M164" i="4"/>
  <c r="H164" i="4"/>
  <c r="A164" i="4"/>
  <c r="G164" i="4"/>
  <c r="E164" i="4"/>
  <c r="N164" i="4"/>
  <c r="F164" i="4"/>
  <c r="K164" i="4"/>
  <c r="AD164" i="4" a="1"/>
  <c r="L164" i="4"/>
  <c r="E163" i="4"/>
  <c r="AD163" i="4" a="1"/>
  <c r="F163" i="4"/>
  <c r="M163" i="4"/>
  <c r="N163" i="4"/>
  <c r="A163" i="4"/>
  <c r="G163" i="4"/>
  <c r="K163" i="4"/>
  <c r="H163" i="4"/>
  <c r="L163" i="4"/>
  <c r="E162" i="4"/>
  <c r="AD162" i="4" a="1"/>
  <c r="F162" i="4"/>
  <c r="K162" i="4"/>
  <c r="M162" i="4"/>
  <c r="A162" i="4"/>
  <c r="L162" i="4"/>
  <c r="N162" i="4"/>
  <c r="L161" i="4"/>
  <c r="E161" i="4"/>
  <c r="F161" i="4"/>
  <c r="G161" i="4"/>
  <c r="M161" i="4"/>
  <c r="H161" i="4"/>
  <c r="AD161" i="4" a="1"/>
  <c r="K161" i="4"/>
  <c r="N161" i="4"/>
  <c r="F160" i="4"/>
  <c r="K160" i="4"/>
  <c r="L160" i="4"/>
  <c r="N160" i="4"/>
  <c r="G160" i="4"/>
  <c r="M160" i="4"/>
  <c r="E160" i="4"/>
  <c r="H160" i="4"/>
  <c r="AD160" i="4" a="1"/>
  <c r="L159" i="4"/>
  <c r="N159" i="4"/>
  <c r="AD159" i="4" a="1"/>
  <c r="M159" i="4"/>
  <c r="H159" i="4"/>
  <c r="E159" i="4"/>
  <c r="K159" i="4"/>
  <c r="F159" i="4"/>
  <c r="G159" i="4"/>
  <c r="A159" i="4"/>
  <c r="M158" i="4"/>
  <c r="E158" i="4"/>
  <c r="G158" i="4"/>
  <c r="F158" i="4"/>
  <c r="AD158" i="4" a="1"/>
  <c r="K158" i="4"/>
  <c r="L158" i="4"/>
  <c r="A158" i="4"/>
  <c r="N158" i="4"/>
  <c r="H158" i="4"/>
  <c r="L157" i="4"/>
  <c r="N157" i="4"/>
  <c r="AD157" i="4" a="1"/>
  <c r="K157" i="4"/>
  <c r="G157" i="4"/>
  <c r="F157" i="4"/>
  <c r="H157" i="4"/>
  <c r="A157" i="4"/>
  <c r="E157" i="4"/>
  <c r="M157" i="4"/>
  <c r="F156" i="4"/>
  <c r="K156" i="4"/>
  <c r="M156" i="4"/>
  <c r="E156" i="4"/>
  <c r="N156" i="4"/>
  <c r="AD156" i="4" a="1"/>
  <c r="G156" i="4"/>
  <c r="L156" i="4"/>
  <c r="H156" i="4"/>
  <c r="N155" i="4"/>
  <c r="F155" i="4"/>
  <c r="G155" i="4"/>
  <c r="L155" i="4"/>
  <c r="H155" i="4"/>
  <c r="A155" i="4"/>
  <c r="K155" i="4"/>
  <c r="AD155" i="4" a="1"/>
  <c r="M155" i="4"/>
  <c r="E155" i="4"/>
  <c r="K154" i="4"/>
  <c r="M154" i="4"/>
  <c r="A154" i="4"/>
  <c r="N154" i="4"/>
  <c r="F154" i="4"/>
  <c r="G154" i="4"/>
  <c r="E154" i="4"/>
  <c r="L154" i="4"/>
  <c r="AD154" i="4" a="1"/>
  <c r="H154" i="4"/>
  <c r="K153" i="4"/>
  <c r="G153" i="4"/>
  <c r="M153" i="4"/>
  <c r="E153" i="4"/>
  <c r="H153" i="4"/>
  <c r="L153" i="4"/>
  <c r="F153" i="4"/>
  <c r="A153" i="4"/>
  <c r="N153" i="4"/>
  <c r="AD153" i="4" a="1"/>
  <c r="F152" i="4"/>
  <c r="AD152" i="4" a="1"/>
  <c r="H152" i="4"/>
  <c r="M152" i="4"/>
  <c r="K152" i="4"/>
  <c r="A152" i="4"/>
  <c r="L152" i="4"/>
  <c r="N152" i="4"/>
  <c r="E152" i="4"/>
  <c r="G152" i="4"/>
  <c r="F151" i="4"/>
  <c r="N151" i="4"/>
  <c r="L151" i="4"/>
  <c r="K151" i="4"/>
  <c r="H151" i="4"/>
  <c r="AD151" i="4" a="1"/>
  <c r="A151" i="4"/>
  <c r="E151" i="4"/>
  <c r="M151" i="4"/>
  <c r="G151" i="4"/>
  <c r="N150" i="4"/>
  <c r="A150" i="4"/>
  <c r="AD150" i="4" a="1"/>
  <c r="K150" i="4"/>
  <c r="M150" i="4"/>
  <c r="F150" i="4"/>
  <c r="E150" i="4"/>
  <c r="H150" i="4"/>
  <c r="G150" i="4"/>
  <c r="L150" i="4"/>
  <c r="K149" i="4"/>
  <c r="M149" i="4"/>
  <c r="A149" i="4"/>
  <c r="G149" i="4"/>
  <c r="F149" i="4"/>
  <c r="E149" i="4"/>
  <c r="N149" i="4"/>
  <c r="L149" i="4"/>
  <c r="H149" i="4"/>
  <c r="AD149" i="4" a="1"/>
  <c r="F148" i="4"/>
  <c r="E148" i="4"/>
  <c r="L148" i="4"/>
  <c r="H148" i="4"/>
  <c r="M148" i="4"/>
  <c r="AD148" i="4" a="1"/>
  <c r="K148" i="4"/>
  <c r="N148" i="4"/>
  <c r="G148" i="4"/>
  <c r="L147" i="4"/>
  <c r="N147" i="4"/>
  <c r="M147" i="4"/>
  <c r="E147" i="4"/>
  <c r="A147" i="4"/>
  <c r="G147" i="4"/>
  <c r="K147" i="4"/>
  <c r="AD147" i="4" a="1"/>
  <c r="H147" i="4"/>
  <c r="F147" i="4"/>
  <c r="M146" i="4"/>
  <c r="K146" i="4"/>
  <c r="A146" i="4"/>
  <c r="AD146" i="4" a="1"/>
  <c r="H146" i="4"/>
  <c r="L146" i="4"/>
  <c r="F146" i="4"/>
  <c r="N146" i="4"/>
  <c r="E146" i="4"/>
  <c r="G146" i="4"/>
  <c r="K145" i="4"/>
  <c r="AD145" i="4" a="1"/>
  <c r="G145" i="4"/>
  <c r="E145" i="4"/>
  <c r="N145" i="4"/>
  <c r="M145" i="4"/>
  <c r="A145" i="4"/>
  <c r="L145" i="4"/>
  <c r="F145" i="4"/>
  <c r="H145" i="4"/>
  <c r="L144" i="4"/>
  <c r="G144" i="4"/>
  <c r="N144" i="4"/>
  <c r="AD144" i="4" a="1"/>
  <c r="M144" i="4"/>
  <c r="E144" i="4"/>
  <c r="A144" i="4"/>
  <c r="F144" i="4"/>
  <c r="H144" i="4"/>
  <c r="K144" i="4"/>
  <c r="AD143" i="4" a="1"/>
  <c r="E143" i="4"/>
  <c r="K143" i="4"/>
  <c r="A143" i="4"/>
  <c r="N143" i="4"/>
  <c r="L143" i="4"/>
  <c r="H143" i="4"/>
  <c r="G143" i="4"/>
  <c r="F143" i="4"/>
  <c r="M143" i="4"/>
  <c r="F142" i="4"/>
  <c r="M142" i="4"/>
  <c r="AD142" i="4" a="1"/>
  <c r="N142" i="4"/>
  <c r="A142" i="4"/>
  <c r="E142" i="4"/>
  <c r="H142" i="4"/>
  <c r="K142" i="4"/>
  <c r="L142" i="4"/>
  <c r="G142" i="4"/>
  <c r="AD141" i="4" a="1"/>
  <c r="K141" i="4"/>
  <c r="H141" i="4"/>
  <c r="F141" i="4"/>
  <c r="N141" i="4"/>
  <c r="E141" i="4"/>
  <c r="M141" i="4"/>
  <c r="A141" i="4"/>
  <c r="L141" i="4"/>
  <c r="G141" i="4"/>
  <c r="A140" i="4"/>
  <c r="G140" i="4"/>
  <c r="H140" i="4"/>
  <c r="AD140" i="4" a="1"/>
  <c r="K140" i="4"/>
  <c r="E140" i="4"/>
  <c r="N140" i="4"/>
  <c r="F140" i="4"/>
  <c r="M140" i="4"/>
  <c r="L140" i="4"/>
  <c r="K139" i="4"/>
  <c r="E139" i="4"/>
  <c r="L139" i="4"/>
  <c r="F139" i="4"/>
  <c r="A139" i="4"/>
  <c r="G139" i="4"/>
  <c r="N139" i="4"/>
  <c r="H139" i="4"/>
  <c r="AD139" i="4" a="1"/>
  <c r="M139" i="4"/>
  <c r="M138" i="4"/>
  <c r="F138" i="4"/>
  <c r="N138" i="4"/>
  <c r="K138" i="4"/>
  <c r="H138" i="4"/>
  <c r="G138" i="4"/>
  <c r="E138" i="4"/>
  <c r="A138" i="4"/>
  <c r="L138" i="4"/>
  <c r="AD138" i="4" a="1"/>
  <c r="AD137" i="4" a="1"/>
  <c r="N137" i="4"/>
  <c r="H137" i="4"/>
  <c r="A137" i="4"/>
  <c r="M137" i="4"/>
  <c r="E137" i="4"/>
  <c r="G137" i="4"/>
  <c r="L137" i="4"/>
  <c r="F137" i="4"/>
  <c r="K137" i="4"/>
  <c r="M136" i="4"/>
  <c r="F136" i="4"/>
  <c r="E136" i="4"/>
  <c r="AD136" i="4" a="1"/>
  <c r="H136" i="4"/>
  <c r="N136" i="4"/>
  <c r="G136" i="4"/>
  <c r="L136" i="4"/>
  <c r="A136" i="4"/>
  <c r="K136" i="4"/>
  <c r="M135" i="4"/>
  <c r="AD135" i="4" a="1"/>
  <c r="F135" i="4"/>
  <c r="G135" i="4"/>
  <c r="N135" i="4"/>
  <c r="K135" i="4"/>
  <c r="A135" i="4"/>
  <c r="H135" i="4"/>
  <c r="E135" i="4"/>
  <c r="L135" i="4"/>
  <c r="AD134" i="4" a="1"/>
  <c r="M134" i="4"/>
  <c r="N134" i="4"/>
  <c r="H134" i="4"/>
  <c r="E134" i="4"/>
  <c r="A134" i="4"/>
  <c r="L134" i="4"/>
  <c r="G134" i="4"/>
  <c r="K134" i="4"/>
  <c r="F134" i="4"/>
  <c r="M133" i="4"/>
  <c r="E133" i="4"/>
  <c r="K133" i="4"/>
  <c r="F133" i="4"/>
  <c r="H133" i="4"/>
  <c r="L133" i="4"/>
  <c r="N133" i="4"/>
  <c r="G133" i="4"/>
  <c r="AD133" i="4" a="1"/>
  <c r="M132" i="4"/>
  <c r="A132" i="4"/>
  <c r="N132" i="4"/>
  <c r="H132" i="4"/>
  <c r="AD132" i="4" a="1"/>
  <c r="G132" i="4"/>
  <c r="L132" i="4"/>
  <c r="K132" i="4"/>
  <c r="E132" i="4"/>
  <c r="G131" i="4"/>
  <c r="L131" i="4"/>
  <c r="F131" i="4"/>
  <c r="K131" i="4"/>
  <c r="M131" i="4"/>
  <c r="N131" i="4"/>
  <c r="H131" i="4"/>
  <c r="AD131" i="4" a="1"/>
  <c r="E131" i="4"/>
  <c r="N130" i="4"/>
  <c r="G130" i="4"/>
  <c r="K130" i="4"/>
  <c r="H130" i="4"/>
  <c r="M130" i="4"/>
  <c r="AD130" i="4" a="1"/>
  <c r="L130" i="4"/>
  <c r="E130" i="4"/>
  <c r="F130" i="4"/>
  <c r="H129" i="4"/>
  <c r="N129" i="4"/>
  <c r="K129" i="4"/>
  <c r="G129" i="4"/>
  <c r="M129" i="4"/>
  <c r="L129" i="4"/>
  <c r="E129" i="4"/>
  <c r="AD129" i="4" a="1"/>
  <c r="A129" i="4"/>
  <c r="F129" i="4"/>
  <c r="AD128" i="4" a="1"/>
  <c r="M128" i="4"/>
  <c r="N128" i="4"/>
  <c r="A128" i="4"/>
  <c r="F128" i="4"/>
  <c r="H128" i="4"/>
  <c r="L128" i="4"/>
  <c r="E128" i="4"/>
  <c r="G128" i="4"/>
  <c r="K128" i="4"/>
  <c r="K127" i="4"/>
  <c r="E127" i="4"/>
  <c r="AD127" i="4" a="1"/>
  <c r="M127" i="4"/>
  <c r="L127" i="4"/>
  <c r="A127" i="4"/>
  <c r="F127" i="4"/>
  <c r="N127" i="4"/>
  <c r="G127" i="4"/>
  <c r="H127" i="4"/>
  <c r="L126" i="4"/>
  <c r="G126" i="4"/>
  <c r="K126" i="4"/>
  <c r="N126" i="4"/>
  <c r="AD126" i="4" a="1"/>
  <c r="M126" i="4"/>
  <c r="H126" i="4"/>
  <c r="F126" i="4"/>
  <c r="E126" i="4"/>
  <c r="M125" i="4"/>
  <c r="H125" i="4"/>
  <c r="A125" i="4"/>
  <c r="K125" i="4"/>
  <c r="F125" i="4"/>
  <c r="AD125" i="4" a="1"/>
  <c r="N125" i="4"/>
  <c r="L125" i="4"/>
  <c r="E125" i="4"/>
  <c r="G125" i="4"/>
  <c r="N124" i="4"/>
  <c r="F124" i="4"/>
  <c r="A124" i="4"/>
  <c r="E124" i="4"/>
  <c r="K124" i="4"/>
  <c r="M124" i="4"/>
  <c r="G124" i="4"/>
  <c r="H124" i="4"/>
  <c r="L124" i="4"/>
  <c r="AD124" i="4" a="1"/>
  <c r="M123" i="4"/>
  <c r="AD123" i="4" a="1"/>
  <c r="H123" i="4"/>
  <c r="E123" i="4"/>
  <c r="K123" i="4"/>
  <c r="A123" i="4"/>
  <c r="N123" i="4"/>
  <c r="G123" i="4"/>
  <c r="L123" i="4"/>
  <c r="F123" i="4"/>
  <c r="F122" i="4"/>
  <c r="N122" i="4"/>
  <c r="A122" i="4"/>
  <c r="L122" i="4"/>
  <c r="G122" i="4"/>
  <c r="AD122" i="4" a="1"/>
  <c r="M122" i="4"/>
  <c r="E122" i="4"/>
  <c r="H122" i="4"/>
  <c r="K122" i="4"/>
  <c r="E121" i="4"/>
  <c r="M121" i="4"/>
  <c r="A121" i="4"/>
  <c r="F121" i="4"/>
  <c r="K121" i="4"/>
  <c r="L121" i="4"/>
  <c r="H121" i="4"/>
  <c r="AD121" i="4" a="1"/>
  <c r="N121" i="4"/>
  <c r="G121" i="4"/>
  <c r="M120" i="4"/>
  <c r="L120" i="4"/>
  <c r="AD120" i="4" a="1"/>
  <c r="A120" i="4"/>
  <c r="F120" i="4"/>
  <c r="E120" i="4"/>
  <c r="K120" i="4"/>
  <c r="H120" i="4"/>
  <c r="N120" i="4"/>
  <c r="G120" i="4"/>
  <c r="A119" i="4"/>
  <c r="K119" i="4"/>
  <c r="F119" i="4"/>
  <c r="H119" i="4"/>
  <c r="G119" i="4"/>
  <c r="E119" i="4"/>
  <c r="M119" i="4"/>
  <c r="AD119" i="4" a="1"/>
  <c r="L119" i="4"/>
  <c r="N119" i="4"/>
  <c r="L118" i="4"/>
  <c r="K118" i="4"/>
  <c r="AD118" i="4" a="1"/>
  <c r="M118" i="4"/>
  <c r="F118" i="4"/>
  <c r="H118" i="4"/>
  <c r="N118" i="4"/>
  <c r="E118" i="4"/>
  <c r="A118" i="4"/>
  <c r="G118" i="4"/>
  <c r="L117" i="4"/>
  <c r="H117" i="4"/>
  <c r="K117" i="4"/>
  <c r="G117" i="4"/>
  <c r="M117" i="4"/>
  <c r="E117" i="4"/>
  <c r="F117" i="4"/>
  <c r="A117" i="4"/>
  <c r="N117" i="4"/>
  <c r="AD117" i="4" a="1"/>
  <c r="AD116" i="4" a="1"/>
  <c r="G116" i="4"/>
  <c r="M116" i="4"/>
  <c r="E116" i="4"/>
  <c r="K116" i="4"/>
  <c r="F116" i="4"/>
  <c r="L116" i="4"/>
  <c r="N116" i="4"/>
  <c r="A116" i="4"/>
  <c r="H116" i="4"/>
  <c r="H115" i="4"/>
  <c r="E115" i="4"/>
  <c r="AD115" i="4" a="1"/>
  <c r="G115" i="4"/>
  <c r="L115" i="4"/>
  <c r="F115" i="4"/>
  <c r="M115" i="4"/>
  <c r="N115" i="4"/>
  <c r="K115" i="4"/>
  <c r="G114" i="4"/>
  <c r="E114" i="4"/>
  <c r="N114" i="4"/>
  <c r="AD114" i="4" a="1"/>
  <c r="L114" i="4"/>
  <c r="F114" i="4"/>
  <c r="M114" i="4"/>
  <c r="A114" i="4"/>
  <c r="H114" i="4"/>
  <c r="K114" i="4"/>
  <c r="H113" i="4"/>
  <c r="F113" i="4"/>
  <c r="AD113" i="4" a="1"/>
  <c r="N113" i="4"/>
  <c r="M113" i="4"/>
  <c r="K113" i="4"/>
  <c r="E113" i="4"/>
  <c r="L113" i="4"/>
  <c r="G113" i="4"/>
  <c r="K112" i="4"/>
  <c r="L112" i="4"/>
  <c r="G112" i="4"/>
  <c r="F112" i="4"/>
  <c r="H112" i="4"/>
  <c r="M112" i="4"/>
  <c r="A112" i="4"/>
  <c r="E112" i="4"/>
  <c r="N112" i="4"/>
  <c r="AD112" i="4" a="1"/>
  <c r="AD111" i="4" a="1"/>
  <c r="H111" i="4"/>
  <c r="M111" i="4"/>
  <c r="K111" i="4"/>
  <c r="A111" i="4"/>
  <c r="G111" i="4"/>
  <c r="N111" i="4"/>
  <c r="E111" i="4"/>
  <c r="L111" i="4"/>
  <c r="F111" i="4"/>
  <c r="L110" i="4"/>
  <c r="N110" i="4"/>
  <c r="G110" i="4"/>
  <c r="H110" i="4"/>
  <c r="AD110" i="4" a="1"/>
  <c r="F110" i="4"/>
  <c r="A110" i="4"/>
  <c r="M110" i="4"/>
  <c r="K110" i="4"/>
  <c r="E110" i="4"/>
  <c r="G109" i="4"/>
  <c r="N109" i="4"/>
  <c r="M109" i="4"/>
  <c r="E109" i="4"/>
  <c r="AD109" i="4" a="1"/>
  <c r="H109" i="4"/>
  <c r="F109" i="4"/>
  <c r="L109" i="4"/>
  <c r="K109" i="4"/>
  <c r="A109" i="4"/>
  <c r="L108" i="4"/>
  <c r="E108" i="4"/>
  <c r="M108" i="4"/>
  <c r="AD108" i="4" a="1"/>
  <c r="A108" i="4"/>
  <c r="F108" i="4"/>
  <c r="G108" i="4"/>
  <c r="H108" i="4"/>
  <c r="K108" i="4"/>
  <c r="N108" i="4"/>
  <c r="F107" i="4"/>
  <c r="N107" i="4"/>
  <c r="L107" i="4"/>
  <c r="M107" i="4"/>
  <c r="E107" i="4"/>
  <c r="K107" i="4"/>
  <c r="A107" i="4"/>
  <c r="H107" i="4"/>
  <c r="G107" i="4"/>
  <c r="AD107" i="4" a="1"/>
  <c r="F106" i="4"/>
  <c r="E106" i="4"/>
  <c r="AD106" i="4" a="1"/>
  <c r="G106" i="4"/>
  <c r="A106" i="4"/>
  <c r="M106" i="4"/>
  <c r="L106" i="4"/>
  <c r="H106" i="4"/>
  <c r="N106" i="4"/>
  <c r="K106" i="4"/>
  <c r="F105" i="4"/>
  <c r="M105" i="4"/>
  <c r="L105" i="4"/>
  <c r="K105" i="4"/>
  <c r="H105" i="4"/>
  <c r="E105" i="4"/>
  <c r="A105" i="4"/>
  <c r="N105" i="4"/>
  <c r="G105" i="4"/>
  <c r="AD105" i="4" a="1"/>
  <c r="M104" i="4"/>
  <c r="H104" i="4"/>
  <c r="K104" i="4"/>
  <c r="A104" i="4"/>
  <c r="L104" i="4"/>
  <c r="E104" i="4"/>
  <c r="G104" i="4"/>
  <c r="N104" i="4"/>
  <c r="F104" i="4"/>
  <c r="AD104" i="4" a="1"/>
  <c r="H103" i="4"/>
  <c r="F103" i="4"/>
  <c r="M103" i="4"/>
  <c r="G103" i="4"/>
  <c r="L103" i="4"/>
  <c r="E103" i="4"/>
  <c r="AD103" i="4" a="1"/>
  <c r="N103" i="4"/>
  <c r="K103" i="4"/>
  <c r="AD102" i="4" a="1"/>
  <c r="H102" i="4"/>
  <c r="L102" i="4"/>
  <c r="K102" i="4"/>
  <c r="N102" i="4"/>
  <c r="M102" i="4"/>
  <c r="E102" i="4"/>
  <c r="F102" i="4"/>
  <c r="G102" i="4"/>
  <c r="L101" i="4"/>
  <c r="F101" i="4"/>
  <c r="K101" i="4"/>
  <c r="N101" i="4"/>
  <c r="M101" i="4"/>
  <c r="A101" i="4"/>
  <c r="AD101" i="4" a="1"/>
  <c r="E101" i="4"/>
  <c r="H101" i="4"/>
  <c r="G101" i="4"/>
  <c r="H100" i="4"/>
  <c r="L100" i="4"/>
  <c r="K100" i="4"/>
  <c r="N100" i="4"/>
  <c r="E100" i="4"/>
  <c r="AD100" i="4" a="1"/>
  <c r="A100" i="4"/>
  <c r="F100" i="4"/>
  <c r="G100" i="4"/>
  <c r="M100" i="4"/>
  <c r="L99" i="4"/>
  <c r="AD99" i="4" a="1"/>
  <c r="K99" i="4"/>
  <c r="N99" i="4"/>
  <c r="G99" i="4"/>
  <c r="E99" i="4"/>
  <c r="M99" i="4"/>
  <c r="F99" i="4"/>
  <c r="H99" i="4"/>
  <c r="N98" i="4"/>
  <c r="H98" i="4"/>
  <c r="AD98" i="4" a="1"/>
  <c r="G98" i="4"/>
  <c r="F98" i="4"/>
  <c r="K98" i="4"/>
  <c r="E98" i="4"/>
  <c r="M98" i="4"/>
  <c r="A98" i="4"/>
  <c r="L98" i="4"/>
  <c r="G97" i="4"/>
  <c r="F97" i="4"/>
  <c r="M97" i="4"/>
  <c r="N97" i="4"/>
  <c r="L97" i="4"/>
  <c r="K97" i="4"/>
  <c r="AD97" i="4" a="1"/>
  <c r="H97" i="4"/>
  <c r="E97" i="4"/>
  <c r="A97" i="4"/>
  <c r="M96" i="4"/>
  <c r="G96" i="4"/>
  <c r="H96" i="4"/>
  <c r="K96" i="4"/>
  <c r="A96" i="4"/>
  <c r="AD96" i="4" a="1"/>
  <c r="E96" i="4"/>
  <c r="F96" i="4"/>
  <c r="L96" i="4"/>
  <c r="N96" i="4"/>
  <c r="H95" i="4"/>
  <c r="AD95" i="4" a="1"/>
  <c r="A95" i="4"/>
  <c r="K95" i="4"/>
  <c r="F95" i="4"/>
  <c r="G95" i="4"/>
  <c r="M95" i="4"/>
  <c r="N95" i="4"/>
  <c r="E95" i="4"/>
  <c r="L95" i="4"/>
  <c r="H94" i="4"/>
  <c r="F94" i="4"/>
  <c r="E94" i="4"/>
  <c r="N94" i="4"/>
  <c r="AD94" i="4" a="1"/>
  <c r="M94" i="4"/>
  <c r="L94" i="4"/>
  <c r="G94" i="4"/>
  <c r="A94" i="4"/>
  <c r="K94" i="4"/>
  <c r="AD93" i="4" a="1"/>
  <c r="N93" i="4"/>
  <c r="G93" i="4"/>
  <c r="M93" i="4"/>
  <c r="K93" i="4"/>
  <c r="F93" i="4"/>
  <c r="A93" i="4"/>
  <c r="H93" i="4"/>
  <c r="L93" i="4"/>
  <c r="E93" i="4"/>
  <c r="F92" i="4"/>
  <c r="K92" i="4"/>
  <c r="E92" i="4"/>
  <c r="H92" i="4"/>
  <c r="AD92" i="4" a="1"/>
  <c r="N92" i="4"/>
  <c r="M92" i="4"/>
  <c r="G92" i="4"/>
  <c r="L92" i="4"/>
  <c r="E91" i="4"/>
  <c r="F91" i="4"/>
  <c r="G91" i="4"/>
  <c r="H91" i="4"/>
  <c r="L91" i="4"/>
  <c r="N91" i="4"/>
  <c r="M91" i="4"/>
  <c r="K91" i="4"/>
  <c r="AD90" i="4" a="1"/>
  <c r="N90" i="4"/>
  <c r="M90" i="4"/>
  <c r="L90" i="4"/>
  <c r="K90" i="4"/>
  <c r="H90" i="4"/>
  <c r="G90" i="4"/>
  <c r="F90" i="4"/>
  <c r="E90" i="4"/>
  <c r="M89" i="4"/>
  <c r="AD89" i="4" a="1"/>
  <c r="F89" i="4"/>
  <c r="E89" i="4"/>
  <c r="G89" i="4"/>
  <c r="H89" i="4"/>
  <c r="K89" i="4"/>
  <c r="L89" i="4"/>
  <c r="N89" i="4"/>
  <c r="F88" i="4"/>
  <c r="E88" i="4"/>
  <c r="H88" i="4"/>
  <c r="K88" i="4"/>
  <c r="G88" i="4"/>
  <c r="AD88" i="4" a="1"/>
  <c r="N88" i="4"/>
  <c r="M88" i="4"/>
  <c r="L88" i="4"/>
  <c r="AD87" i="4" a="1"/>
  <c r="L87" i="4"/>
  <c r="M87" i="4"/>
  <c r="F87" i="4"/>
  <c r="N87" i="4"/>
  <c r="G87" i="4"/>
  <c r="H87" i="4"/>
  <c r="E87" i="4"/>
  <c r="K87" i="4"/>
  <c r="AD86" i="4" a="1"/>
  <c r="E86" i="4"/>
  <c r="F86" i="4"/>
  <c r="G86" i="4"/>
  <c r="H86" i="4"/>
  <c r="K86" i="4"/>
  <c r="L86" i="4"/>
  <c r="M86" i="4"/>
  <c r="N86" i="4"/>
  <c r="N85" i="4"/>
  <c r="AD85" i="4" a="1"/>
  <c r="M85" i="4"/>
  <c r="L85" i="4"/>
  <c r="H85" i="4"/>
  <c r="G85" i="4"/>
  <c r="F85" i="4"/>
  <c r="E85" i="4"/>
  <c r="K85" i="4"/>
  <c r="F84" i="4"/>
  <c r="N84" i="4"/>
  <c r="AD84" i="4" a="1"/>
  <c r="M84" i="4"/>
  <c r="E84" i="4"/>
  <c r="G84" i="4"/>
  <c r="H84" i="4"/>
  <c r="K84" i="4"/>
  <c r="L84" i="4"/>
  <c r="AD83" i="4" a="1"/>
  <c r="E83" i="4"/>
  <c r="F83" i="4"/>
  <c r="G83" i="4"/>
  <c r="H83" i="4"/>
  <c r="K83" i="4"/>
  <c r="L83" i="4"/>
  <c r="N83" i="4"/>
  <c r="M83" i="4"/>
  <c r="E82" i="4"/>
  <c r="F82" i="4"/>
  <c r="G82" i="4"/>
  <c r="H82" i="4"/>
  <c r="K82" i="4"/>
  <c r="L82" i="4"/>
  <c r="N82" i="4"/>
  <c r="AD82" i="4" a="1"/>
  <c r="M82" i="4"/>
  <c r="AD81" i="4" a="1"/>
  <c r="E81" i="4"/>
  <c r="F81" i="4"/>
  <c r="G81" i="4"/>
  <c r="H81" i="4"/>
  <c r="K81" i="4"/>
  <c r="L81" i="4"/>
  <c r="M81" i="4"/>
  <c r="N81" i="4"/>
  <c r="N80" i="4"/>
  <c r="F80" i="4"/>
  <c r="AD80" i="4" a="1"/>
  <c r="E80" i="4"/>
  <c r="M80" i="4"/>
  <c r="L80" i="4"/>
  <c r="K80" i="4"/>
  <c r="H80" i="4"/>
  <c r="G80" i="4"/>
  <c r="H79" i="4"/>
  <c r="F79" i="4"/>
  <c r="E79" i="4"/>
  <c r="AD79" i="4" a="1"/>
  <c r="K79" i="4"/>
  <c r="N79" i="4"/>
  <c r="M79" i="4"/>
  <c r="G79" i="4"/>
  <c r="L79" i="4"/>
  <c r="L78" i="4"/>
  <c r="N78" i="4"/>
  <c r="AD78" i="4" a="1"/>
  <c r="M78" i="4"/>
  <c r="K78" i="4"/>
  <c r="G78" i="4"/>
  <c r="E78" i="4"/>
  <c r="F78" i="4"/>
  <c r="H78" i="4"/>
  <c r="L77" i="4"/>
  <c r="AD77" i="4" a="1"/>
  <c r="H77" i="4"/>
  <c r="N77" i="4"/>
  <c r="E77" i="4"/>
  <c r="F77" i="4"/>
  <c r="G77" i="4"/>
  <c r="M77" i="4"/>
  <c r="K77" i="4"/>
  <c r="AD76" i="4" a="1"/>
  <c r="N76" i="4"/>
  <c r="E76" i="4"/>
  <c r="F76" i="4"/>
  <c r="G76" i="4"/>
  <c r="H76" i="4"/>
  <c r="M76" i="4"/>
  <c r="K76" i="4"/>
  <c r="L76" i="4"/>
  <c r="AD75" i="4" a="1"/>
  <c r="F75" i="4"/>
  <c r="E75" i="4"/>
  <c r="G75" i="4"/>
  <c r="H75" i="4"/>
  <c r="K75" i="4"/>
  <c r="L75" i="4"/>
  <c r="M75" i="4"/>
  <c r="N75" i="4"/>
  <c r="N74" i="4"/>
  <c r="M74" i="4"/>
  <c r="AD74" i="4" a="1"/>
  <c r="E74" i="4"/>
  <c r="F74" i="4"/>
  <c r="G74" i="4"/>
  <c r="H74" i="4"/>
  <c r="K74" i="4"/>
  <c r="L74" i="4"/>
  <c r="E73" i="4"/>
  <c r="F73" i="4"/>
  <c r="G73" i="4"/>
  <c r="H73" i="4"/>
  <c r="K73" i="4"/>
  <c r="AD73" i="4" a="1"/>
  <c r="N73" i="4"/>
  <c r="L73" i="4"/>
  <c r="M73" i="4"/>
  <c r="N72" i="4"/>
  <c r="AD72" i="4" a="1"/>
  <c r="M72" i="4"/>
  <c r="H72" i="4"/>
  <c r="K72" i="4"/>
  <c r="L72" i="4"/>
  <c r="E72" i="4"/>
  <c r="F72" i="4"/>
  <c r="G72" i="4"/>
  <c r="L71" i="4"/>
  <c r="K71" i="4"/>
  <c r="H71" i="4"/>
  <c r="G71" i="4"/>
  <c r="F71" i="4"/>
  <c r="E71" i="4"/>
  <c r="M71" i="4"/>
  <c r="N71" i="4"/>
  <c r="AD71" i="4" a="1"/>
  <c r="H70" i="4"/>
  <c r="G70" i="4"/>
  <c r="F70" i="4"/>
  <c r="E70" i="4"/>
  <c r="AD70" i="4" a="1"/>
  <c r="N70" i="4"/>
  <c r="M70" i="4"/>
  <c r="L70" i="4"/>
  <c r="K70" i="4"/>
  <c r="L69" i="4"/>
  <c r="K69" i="4"/>
  <c r="G69" i="4"/>
  <c r="F69" i="4"/>
  <c r="E69" i="4"/>
  <c r="H69" i="4"/>
  <c r="AD69" i="4" a="1"/>
  <c r="N69" i="4"/>
  <c r="M69" i="4"/>
  <c r="L68" i="4"/>
  <c r="K68" i="4"/>
  <c r="H68" i="4"/>
  <c r="G68" i="4"/>
  <c r="F68" i="4"/>
  <c r="E68" i="4"/>
  <c r="AD68" i="4" a="1"/>
  <c r="N68" i="4"/>
  <c r="M68" i="4"/>
  <c r="AD67" i="4" a="1"/>
  <c r="F67" i="4"/>
  <c r="E67" i="4"/>
  <c r="L67" i="4"/>
  <c r="N67" i="4"/>
  <c r="M67" i="4"/>
  <c r="G67" i="4"/>
  <c r="K67" i="4"/>
  <c r="H67" i="4"/>
  <c r="N66" i="4"/>
  <c r="M66" i="4"/>
  <c r="L66" i="4"/>
  <c r="K66" i="4"/>
  <c r="H66" i="4"/>
  <c r="G66" i="4"/>
  <c r="F66" i="4"/>
  <c r="E66" i="4"/>
  <c r="AD66" i="4" a="1"/>
  <c r="K65" i="4"/>
  <c r="L65" i="4"/>
  <c r="M65" i="4"/>
  <c r="N65" i="4"/>
  <c r="AD65" i="4" a="1"/>
  <c r="H65" i="4"/>
  <c r="G65" i="4"/>
  <c r="F65" i="4"/>
  <c r="E65" i="4"/>
  <c r="K64" i="4"/>
  <c r="H64" i="4"/>
  <c r="G64" i="4"/>
  <c r="F64" i="4"/>
  <c r="E64" i="4"/>
  <c r="N64" i="4"/>
  <c r="M64" i="4"/>
  <c r="AD64" i="4" a="1"/>
  <c r="L64" i="4"/>
  <c r="M63" i="4"/>
  <c r="N63" i="4"/>
  <c r="AD63" i="4" a="1"/>
  <c r="G63" i="4"/>
  <c r="E63" i="4"/>
  <c r="F63" i="4"/>
  <c r="L63" i="4"/>
  <c r="H63" i="4"/>
  <c r="K63" i="4"/>
  <c r="H62" i="4"/>
  <c r="M62" i="4"/>
  <c r="E62" i="4"/>
  <c r="L62" i="4"/>
  <c r="N62" i="4"/>
  <c r="G62" i="4"/>
  <c r="F62" i="4"/>
  <c r="AD62" i="4" a="1"/>
  <c r="K62" i="4"/>
  <c r="M61" i="4"/>
  <c r="E61" i="4"/>
  <c r="G61" i="4"/>
  <c r="H61" i="4"/>
  <c r="K61" i="4"/>
  <c r="L61" i="4"/>
  <c r="AD61" i="4" a="1"/>
  <c r="N61" i="4"/>
  <c r="F61" i="4"/>
  <c r="AD60" i="4" a="1"/>
  <c r="F60" i="4"/>
  <c r="N60" i="4"/>
  <c r="M60" i="4"/>
  <c r="L60" i="4"/>
  <c r="K60" i="4"/>
  <c r="H60" i="4"/>
  <c r="G60" i="4"/>
  <c r="E60" i="4"/>
  <c r="L59" i="4"/>
  <c r="M59" i="4"/>
  <c r="E59" i="4"/>
  <c r="F59" i="4"/>
  <c r="G59" i="4"/>
  <c r="H59" i="4"/>
  <c r="K59" i="4"/>
  <c r="N59" i="4"/>
  <c r="AD59" i="4" a="1"/>
  <c r="H58" i="4"/>
  <c r="N58" i="4"/>
  <c r="AD58" i="4" a="1"/>
  <c r="E58" i="4"/>
  <c r="F58" i="4"/>
  <c r="G58" i="4"/>
  <c r="K58" i="4"/>
  <c r="L58" i="4"/>
  <c r="M58" i="4"/>
  <c r="F57" i="4"/>
  <c r="H57" i="4"/>
  <c r="M57" i="4"/>
  <c r="L57" i="4"/>
  <c r="K57" i="4"/>
  <c r="AD57" i="4" a="1"/>
  <c r="G57" i="4"/>
  <c r="N57" i="4"/>
  <c r="E57" i="4"/>
  <c r="M56" i="4"/>
  <c r="L56" i="4"/>
  <c r="K56" i="4"/>
  <c r="G56" i="4"/>
  <c r="F56" i="4"/>
  <c r="E56" i="4"/>
  <c r="N56" i="4"/>
  <c r="AD56" i="4" a="1"/>
  <c r="H56" i="4"/>
  <c r="G55" i="4"/>
  <c r="E55" i="4"/>
  <c r="AD55" i="4" a="1"/>
  <c r="F55" i="4"/>
  <c r="N55" i="4"/>
  <c r="M55" i="4"/>
  <c r="L55" i="4"/>
  <c r="K55" i="4"/>
  <c r="H55" i="4"/>
  <c r="E54" i="4"/>
  <c r="F54" i="4"/>
  <c r="H54" i="4"/>
  <c r="K54" i="4"/>
  <c r="G54" i="4"/>
  <c r="AD54" i="4" a="1"/>
  <c r="N54" i="4"/>
  <c r="M54" i="4"/>
  <c r="L54" i="4"/>
  <c r="F53" i="4"/>
  <c r="G53" i="4"/>
  <c r="K53" i="4"/>
  <c r="L53" i="4"/>
  <c r="M53" i="4"/>
  <c r="N53" i="4"/>
  <c r="AD53" i="4" a="1"/>
  <c r="H53" i="4"/>
  <c r="E53" i="4"/>
  <c r="F52" i="4"/>
  <c r="E52" i="4"/>
  <c r="AD52" i="4" a="1"/>
  <c r="N52" i="4"/>
  <c r="M52" i="4"/>
  <c r="L52" i="4"/>
  <c r="K52" i="4"/>
  <c r="H52" i="4"/>
  <c r="G52" i="4"/>
  <c r="K51" i="4"/>
  <c r="L51" i="4"/>
  <c r="M51" i="4"/>
  <c r="N51" i="4"/>
  <c r="AD51" i="4" a="1"/>
  <c r="E51" i="4"/>
  <c r="F51" i="4"/>
  <c r="G51" i="4"/>
  <c r="H51" i="4"/>
  <c r="L50" i="4"/>
  <c r="M50" i="4"/>
  <c r="N50" i="4"/>
  <c r="G50" i="4"/>
  <c r="AD50" i="4" a="1"/>
  <c r="F50" i="4"/>
  <c r="H50" i="4"/>
  <c r="K50" i="4"/>
  <c r="E50" i="4"/>
  <c r="F49" i="4"/>
  <c r="E49" i="4"/>
  <c r="H49" i="4"/>
  <c r="AD49" i="4" a="1"/>
  <c r="G49" i="4"/>
  <c r="N49" i="4"/>
  <c r="M49" i="4"/>
  <c r="L49" i="4"/>
  <c r="K49" i="4"/>
  <c r="H48" i="4"/>
  <c r="G48" i="4"/>
  <c r="F48" i="4"/>
  <c r="E48" i="4"/>
  <c r="AD48" i="4" a="1"/>
  <c r="N48" i="4"/>
  <c r="M48" i="4"/>
  <c r="L48" i="4"/>
  <c r="K48" i="4"/>
  <c r="M47" i="4"/>
  <c r="L47" i="4"/>
  <c r="K47" i="4"/>
  <c r="G47" i="4"/>
  <c r="C47" i="4"/>
  <c r="D47" i="4"/>
  <c r="V47" i="4" s="1"/>
  <c r="AD47" i="4" a="1"/>
  <c r="N47" i="4"/>
  <c r="H47" i="4"/>
  <c r="E47" i="4"/>
  <c r="F47" i="4"/>
  <c r="H46" i="4"/>
  <c r="G46" i="4"/>
  <c r="J46" i="4"/>
  <c r="AD46" i="4" a="1"/>
  <c r="F46" i="4"/>
  <c r="K46" i="4"/>
  <c r="L46" i="4"/>
  <c r="M46" i="4"/>
  <c r="N46" i="4"/>
  <c r="O46" i="4"/>
  <c r="E46" i="4"/>
  <c r="D46" i="4"/>
  <c r="V46" i="4" s="1"/>
  <c r="C46" i="4"/>
  <c r="P46" i="4"/>
  <c r="R46" i="4"/>
  <c r="I46" i="4"/>
  <c r="Q46" i="4"/>
  <c r="K45" i="4"/>
  <c r="L45" i="4"/>
  <c r="M45" i="4"/>
  <c r="N45" i="4"/>
  <c r="O45" i="4"/>
  <c r="P45" i="4"/>
  <c r="Q45" i="4"/>
  <c r="R45" i="4"/>
  <c r="AD45" i="4" a="1"/>
  <c r="C45" i="4"/>
  <c r="D45" i="4"/>
  <c r="V45" i="4" s="1"/>
  <c r="E45" i="4"/>
  <c r="F45" i="4"/>
  <c r="G45" i="4"/>
  <c r="H45" i="4"/>
  <c r="I45" i="4"/>
  <c r="J45" i="4"/>
  <c r="D44" i="4"/>
  <c r="V44" i="4" s="1"/>
  <c r="E44" i="4"/>
  <c r="G44" i="4"/>
  <c r="H44" i="4"/>
  <c r="I44" i="4"/>
  <c r="J44" i="4"/>
  <c r="K44" i="4"/>
  <c r="L44" i="4"/>
  <c r="F44" i="4"/>
  <c r="M44" i="4"/>
  <c r="R44" i="4"/>
  <c r="Q44" i="4"/>
  <c r="N44" i="4"/>
  <c r="AD44" i="4" a="1"/>
  <c r="P44" i="4"/>
  <c r="O44" i="4"/>
  <c r="C44" i="4"/>
  <c r="M43" i="4"/>
  <c r="L43" i="4"/>
  <c r="K43" i="4"/>
  <c r="J43" i="4"/>
  <c r="I43" i="4"/>
  <c r="H43" i="4"/>
  <c r="G43" i="4"/>
  <c r="F43" i="4"/>
  <c r="E43" i="4"/>
  <c r="C43" i="4"/>
  <c r="D43" i="4"/>
  <c r="V43" i="4" s="1"/>
  <c r="N43" i="4"/>
  <c r="AD43" i="4" a="1"/>
  <c r="R43" i="4"/>
  <c r="Q43" i="4"/>
  <c r="P43" i="4"/>
  <c r="O43" i="4"/>
  <c r="AD42" i="4" a="1"/>
  <c r="R42" i="4"/>
  <c r="Q42" i="4"/>
  <c r="P42" i="4"/>
  <c r="O42" i="4"/>
  <c r="N42" i="4"/>
  <c r="D42" i="4"/>
  <c r="V42" i="4" s="1"/>
  <c r="C42" i="4"/>
  <c r="F42" i="4"/>
  <c r="G42" i="4"/>
  <c r="H42" i="4"/>
  <c r="I42" i="4"/>
  <c r="J42" i="4"/>
  <c r="K42" i="4"/>
  <c r="L42" i="4"/>
  <c r="M42" i="4"/>
  <c r="E42" i="4"/>
  <c r="P41" i="4"/>
  <c r="R41" i="4"/>
  <c r="AD41" i="4" a="1"/>
  <c r="D41" i="4"/>
  <c r="V41" i="4" s="1"/>
  <c r="C41" i="4"/>
  <c r="K41" i="4"/>
  <c r="L41" i="4"/>
  <c r="J41" i="4"/>
  <c r="M41" i="4"/>
  <c r="N41" i="4"/>
  <c r="I41" i="4"/>
  <c r="H41" i="4"/>
  <c r="Q41" i="4"/>
  <c r="G41" i="4"/>
  <c r="O41" i="4"/>
  <c r="F41" i="4"/>
  <c r="E41" i="4"/>
  <c r="AD40" i="4" a="1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40" i="4"/>
  <c r="V40" i="4" s="1"/>
  <c r="C40" i="4"/>
  <c r="E40" i="4"/>
  <c r="N39" i="4"/>
  <c r="L39" i="4"/>
  <c r="M39" i="4"/>
  <c r="O39" i="4"/>
  <c r="AD39" i="4" a="1"/>
  <c r="R39" i="4"/>
  <c r="Q39" i="4"/>
  <c r="P39" i="4"/>
  <c r="D39" i="4"/>
  <c r="V39" i="4" s="1"/>
  <c r="E39" i="4"/>
  <c r="F39" i="4"/>
  <c r="G39" i="4"/>
  <c r="H39" i="4"/>
  <c r="I39" i="4"/>
  <c r="J39" i="4"/>
  <c r="K39" i="4"/>
  <c r="C39" i="4"/>
  <c r="L38" i="4"/>
  <c r="K38" i="4"/>
  <c r="J38" i="4"/>
  <c r="H38" i="4"/>
  <c r="G38" i="4"/>
  <c r="E38" i="4"/>
  <c r="D38" i="4"/>
  <c r="V38" i="4" s="1"/>
  <c r="C38" i="4"/>
  <c r="F38" i="4"/>
  <c r="I38" i="4"/>
  <c r="M38" i="4"/>
  <c r="AD38" i="4" a="1"/>
  <c r="R38" i="4"/>
  <c r="Q38" i="4"/>
  <c r="P38" i="4"/>
  <c r="O38" i="4"/>
  <c r="N38" i="4"/>
  <c r="J37" i="4"/>
  <c r="K37" i="4"/>
  <c r="M37" i="4"/>
  <c r="N37" i="4"/>
  <c r="O37" i="4"/>
  <c r="P37" i="4"/>
  <c r="Q37" i="4"/>
  <c r="R37" i="4"/>
  <c r="AD37" i="4" a="1"/>
  <c r="D37" i="4"/>
  <c r="V37" i="4" s="1"/>
  <c r="E37" i="4"/>
  <c r="F37" i="4"/>
  <c r="G37" i="4"/>
  <c r="I37" i="4"/>
  <c r="C37" i="4"/>
  <c r="H37" i="4"/>
  <c r="L37" i="4"/>
  <c r="N36" i="4"/>
  <c r="O36" i="4"/>
  <c r="P36" i="4"/>
  <c r="Q36" i="4"/>
  <c r="R36" i="4"/>
  <c r="AD36" i="4" a="1"/>
  <c r="D36" i="4"/>
  <c r="V36" i="4" s="1"/>
  <c r="C36" i="4"/>
  <c r="E36" i="4"/>
  <c r="F36" i="4"/>
  <c r="G36" i="4"/>
  <c r="H36" i="4"/>
  <c r="I36" i="4"/>
  <c r="J36" i="4"/>
  <c r="K36" i="4"/>
  <c r="L36" i="4"/>
  <c r="M36" i="4"/>
  <c r="M35" i="4"/>
  <c r="F35" i="4"/>
  <c r="L35" i="4"/>
  <c r="E35" i="4"/>
  <c r="G35" i="4"/>
  <c r="H35" i="4"/>
  <c r="I35" i="4"/>
  <c r="J35" i="4"/>
  <c r="K35" i="4"/>
  <c r="N35" i="4"/>
  <c r="O35" i="4"/>
  <c r="P35" i="4"/>
  <c r="Q35" i="4"/>
  <c r="R35" i="4"/>
  <c r="AD35" i="4" a="1"/>
  <c r="C35" i="4"/>
  <c r="D35" i="4"/>
  <c r="V35" i="4" s="1"/>
  <c r="J34" i="4"/>
  <c r="I34" i="4"/>
  <c r="H34" i="4"/>
  <c r="G34" i="4"/>
  <c r="F34" i="4"/>
  <c r="E34" i="4"/>
  <c r="D34" i="4"/>
  <c r="V34" i="4" s="1"/>
  <c r="C34" i="4"/>
  <c r="AD34" i="4" a="1"/>
  <c r="K34" i="4"/>
  <c r="R34" i="4"/>
  <c r="Q34" i="4"/>
  <c r="P34" i="4"/>
  <c r="O34" i="4"/>
  <c r="N34" i="4"/>
  <c r="M34" i="4"/>
  <c r="L34" i="4"/>
  <c r="J33" i="4"/>
  <c r="I33" i="4"/>
  <c r="H33" i="4"/>
  <c r="G33" i="4"/>
  <c r="F33" i="4"/>
  <c r="E33" i="4"/>
  <c r="D33" i="4"/>
  <c r="V33" i="4" s="1"/>
  <c r="C33" i="4"/>
  <c r="R33" i="4"/>
  <c r="AD33" i="4" a="1"/>
  <c r="Q33" i="4"/>
  <c r="P33" i="4"/>
  <c r="O33" i="4"/>
  <c r="N33" i="4"/>
  <c r="M33" i="4"/>
  <c r="L33" i="4"/>
  <c r="K33" i="4"/>
  <c r="K32" i="4"/>
  <c r="D32" i="4"/>
  <c r="V32" i="4" s="1"/>
  <c r="L32" i="4"/>
  <c r="E32" i="4"/>
  <c r="F32" i="4"/>
  <c r="AD32" i="4" a="1"/>
  <c r="G32" i="4"/>
  <c r="H32" i="4"/>
  <c r="I32" i="4"/>
  <c r="J32" i="4"/>
  <c r="C32" i="4"/>
  <c r="M32" i="4"/>
  <c r="N32" i="4"/>
  <c r="P32" i="4"/>
  <c r="Q32" i="4"/>
  <c r="R32" i="4"/>
  <c r="O32" i="4"/>
  <c r="J31" i="4"/>
  <c r="G31" i="4"/>
  <c r="F31" i="4"/>
  <c r="E31" i="4"/>
  <c r="D31" i="4"/>
  <c r="V31" i="4" s="1"/>
  <c r="I31" i="4"/>
  <c r="C31" i="4"/>
  <c r="H31" i="4"/>
  <c r="AD31" i="4" a="1"/>
  <c r="R31" i="4"/>
  <c r="Q31" i="4"/>
  <c r="P31" i="4"/>
  <c r="K31" i="4"/>
  <c r="O31" i="4"/>
  <c r="N31" i="4"/>
  <c r="M31" i="4"/>
  <c r="L31" i="4"/>
  <c r="K30" i="4"/>
  <c r="J30" i="4"/>
  <c r="I30" i="4"/>
  <c r="H30" i="4"/>
  <c r="G30" i="4"/>
  <c r="F30" i="4"/>
  <c r="E30" i="4"/>
  <c r="D30" i="4"/>
  <c r="V30" i="4" s="1"/>
  <c r="C30" i="4"/>
  <c r="L30" i="4"/>
  <c r="AD30" i="4" a="1"/>
  <c r="R30" i="4"/>
  <c r="Q30" i="4"/>
  <c r="P30" i="4"/>
  <c r="O30" i="4"/>
  <c r="N30" i="4"/>
  <c r="M30" i="4"/>
  <c r="F29" i="4"/>
  <c r="AD29" i="4" a="1"/>
  <c r="C29" i="4"/>
  <c r="D29" i="4"/>
  <c r="V29" i="4" s="1"/>
  <c r="E29" i="4"/>
  <c r="P29" i="4"/>
  <c r="G29" i="4"/>
  <c r="H29" i="4"/>
  <c r="I29" i="4"/>
  <c r="J29" i="4"/>
  <c r="K29" i="4"/>
  <c r="Q29" i="4"/>
  <c r="L29" i="4"/>
  <c r="M29" i="4"/>
  <c r="N29" i="4"/>
  <c r="O29" i="4"/>
  <c r="R29" i="4"/>
  <c r="AD28" i="4" a="1"/>
  <c r="M28" i="4"/>
  <c r="N28" i="4"/>
  <c r="P28" i="4"/>
  <c r="R28" i="4"/>
  <c r="Q28" i="4"/>
  <c r="K28" i="4"/>
  <c r="O28" i="4"/>
  <c r="E28" i="4"/>
  <c r="C28" i="4"/>
  <c r="D28" i="4"/>
  <c r="V28" i="4" s="1"/>
  <c r="F28" i="4"/>
  <c r="G28" i="4"/>
  <c r="H28" i="4"/>
  <c r="I28" i="4"/>
  <c r="J28" i="4"/>
  <c r="L28" i="4"/>
  <c r="G27" i="4"/>
  <c r="C27" i="4"/>
  <c r="D27" i="4"/>
  <c r="V27" i="4" s="1"/>
  <c r="E27" i="4"/>
  <c r="K27" i="4"/>
  <c r="F27" i="4"/>
  <c r="L27" i="4"/>
  <c r="M27" i="4"/>
  <c r="N27" i="4"/>
  <c r="O27" i="4"/>
  <c r="P27" i="4"/>
  <c r="I27" i="4"/>
  <c r="Q27" i="4"/>
  <c r="H27" i="4"/>
  <c r="R27" i="4"/>
  <c r="AD27" i="4" a="1"/>
  <c r="J27" i="4"/>
  <c r="N26" i="4"/>
  <c r="M26" i="4"/>
  <c r="K26" i="4"/>
  <c r="J26" i="4"/>
  <c r="I26" i="4"/>
  <c r="H26" i="4"/>
  <c r="G26" i="4"/>
  <c r="F26" i="4"/>
  <c r="E26" i="4"/>
  <c r="D26" i="4"/>
  <c r="V26" i="4" s="1"/>
  <c r="C26" i="4"/>
  <c r="O26" i="4"/>
  <c r="P26" i="4"/>
  <c r="AD26" i="4" a="1"/>
  <c r="R26" i="4"/>
  <c r="Q26" i="4"/>
  <c r="L26" i="4"/>
  <c r="AD25" i="4" a="1"/>
  <c r="R25" i="4"/>
  <c r="Q25" i="4"/>
  <c r="P25" i="4"/>
  <c r="I25" i="4"/>
  <c r="J25" i="4"/>
  <c r="F25" i="4"/>
  <c r="E25" i="4"/>
  <c r="D25" i="4"/>
  <c r="V25" i="4" s="1"/>
  <c r="C25" i="4"/>
  <c r="N25" i="4"/>
  <c r="K25" i="4"/>
  <c r="H25" i="4"/>
  <c r="G25" i="4"/>
  <c r="O25" i="4"/>
  <c r="M25" i="4"/>
  <c r="L25" i="4"/>
  <c r="AD24" i="4" a="1"/>
  <c r="D24" i="4"/>
  <c r="V24" i="4" s="1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C24" i="4"/>
  <c r="M23" i="4"/>
  <c r="K23" i="4"/>
  <c r="J23" i="4"/>
  <c r="I23" i="4"/>
  <c r="H23" i="4"/>
  <c r="G23" i="4"/>
  <c r="F23" i="4"/>
  <c r="E23" i="4"/>
  <c r="D23" i="4"/>
  <c r="V23" i="4" s="1"/>
  <c r="C23" i="4"/>
  <c r="L23" i="4"/>
  <c r="N23" i="4"/>
  <c r="O23" i="4"/>
  <c r="P23" i="4"/>
  <c r="Q23" i="4"/>
  <c r="R23" i="4"/>
  <c r="AD23" i="4" a="1"/>
  <c r="AD22" i="4" a="1"/>
  <c r="R22" i="4"/>
  <c r="P22" i="4"/>
  <c r="O22" i="4"/>
  <c r="N22" i="4"/>
  <c r="M22" i="4"/>
  <c r="E22" i="4"/>
  <c r="D22" i="4"/>
  <c r="V22" i="4" s="1"/>
  <c r="C22" i="4"/>
  <c r="K22" i="4"/>
  <c r="J22" i="4"/>
  <c r="I22" i="4"/>
  <c r="H22" i="4"/>
  <c r="G22" i="4"/>
  <c r="F22" i="4"/>
  <c r="Q22" i="4"/>
  <c r="L22" i="4"/>
  <c r="L21" i="4"/>
  <c r="M21" i="4"/>
  <c r="N21" i="4"/>
  <c r="O21" i="4"/>
  <c r="P21" i="4"/>
  <c r="Q21" i="4"/>
  <c r="R21" i="4"/>
  <c r="AD21" i="4" a="1"/>
  <c r="C21" i="4"/>
  <c r="D21" i="4"/>
  <c r="V21" i="4" s="1"/>
  <c r="E21" i="4"/>
  <c r="F21" i="4"/>
  <c r="G21" i="4"/>
  <c r="H21" i="4"/>
  <c r="I21" i="4"/>
  <c r="J21" i="4"/>
  <c r="K21" i="4"/>
  <c r="L20" i="4"/>
  <c r="K20" i="4"/>
  <c r="J20" i="4"/>
  <c r="I20" i="4"/>
  <c r="H20" i="4"/>
  <c r="G20" i="4"/>
  <c r="F20" i="4"/>
  <c r="E20" i="4"/>
  <c r="D20" i="4"/>
  <c r="V20" i="4" s="1"/>
  <c r="C20" i="4"/>
  <c r="M20" i="4"/>
  <c r="N20" i="4"/>
  <c r="AD20" i="4" a="1"/>
  <c r="O20" i="4"/>
  <c r="P20" i="4"/>
  <c r="Q20" i="4"/>
  <c r="R20" i="4"/>
  <c r="AD19" i="4" a="1"/>
  <c r="R19" i="4"/>
  <c r="Q19" i="4"/>
  <c r="P19" i="4"/>
  <c r="O19" i="4"/>
  <c r="N19" i="4"/>
  <c r="M19" i="4"/>
  <c r="K19" i="4"/>
  <c r="L19" i="4"/>
  <c r="J19" i="4"/>
  <c r="I19" i="4"/>
  <c r="H19" i="4"/>
  <c r="G19" i="4"/>
  <c r="F19" i="4"/>
  <c r="E19" i="4"/>
  <c r="D19" i="4"/>
  <c r="V19" i="4" s="1"/>
  <c r="C19" i="4"/>
  <c r="K18" i="4"/>
  <c r="J18" i="4"/>
  <c r="I18" i="4"/>
  <c r="H18" i="4"/>
  <c r="G18" i="4"/>
  <c r="N18" i="4"/>
  <c r="E18" i="4"/>
  <c r="D18" i="4"/>
  <c r="V18" i="4" s="1"/>
  <c r="C18" i="4"/>
  <c r="AD18" i="4" a="1"/>
  <c r="M18" i="4"/>
  <c r="R18" i="4"/>
  <c r="Q18" i="4"/>
  <c r="L18" i="4"/>
  <c r="P18" i="4"/>
  <c r="O18" i="4"/>
  <c r="F18" i="4"/>
  <c r="AD17" i="4" a="1"/>
  <c r="F17" i="4"/>
  <c r="R17" i="4"/>
  <c r="D17" i="4"/>
  <c r="V17" i="4" s="1"/>
  <c r="L17" i="4"/>
  <c r="E17" i="4"/>
  <c r="Q17" i="4"/>
  <c r="P17" i="4"/>
  <c r="C17" i="4"/>
  <c r="O17" i="4"/>
  <c r="N17" i="4"/>
  <c r="M17" i="4"/>
  <c r="K17" i="4"/>
  <c r="J17" i="4"/>
  <c r="I17" i="4"/>
  <c r="H17" i="4"/>
  <c r="G17" i="4"/>
  <c r="I16" i="4"/>
  <c r="H16" i="4"/>
  <c r="G16" i="4"/>
  <c r="F16" i="4"/>
  <c r="E16" i="4"/>
  <c r="O16" i="4"/>
  <c r="AD16" i="4" a="1"/>
  <c r="R16" i="4"/>
  <c r="Q16" i="4"/>
  <c r="P16" i="4"/>
  <c r="D16" i="4"/>
  <c r="V16" i="4" s="1"/>
  <c r="N16" i="4"/>
  <c r="M16" i="4"/>
  <c r="L16" i="4"/>
  <c r="K16" i="4"/>
  <c r="J16" i="4"/>
  <c r="C16" i="4"/>
  <c r="H15" i="4"/>
  <c r="G15" i="4"/>
  <c r="F15" i="4"/>
  <c r="E15" i="4"/>
  <c r="D15" i="4"/>
  <c r="V15" i="4" s="1"/>
  <c r="C15" i="4"/>
  <c r="L15" i="4"/>
  <c r="AD15" i="4" a="1"/>
  <c r="M15" i="4"/>
  <c r="R15" i="4"/>
  <c r="Q15" i="4"/>
  <c r="P15" i="4"/>
  <c r="O15" i="4"/>
  <c r="N15" i="4"/>
  <c r="K15" i="4"/>
  <c r="J15" i="4"/>
  <c r="I15" i="4"/>
  <c r="C14" i="4"/>
  <c r="D14" i="4"/>
  <c r="V14" i="4" s="1"/>
  <c r="W14" i="4" s="1"/>
  <c r="Q14" i="4"/>
  <c r="R14" i="4"/>
  <c r="O14" i="4"/>
  <c r="AD14" i="4" a="1"/>
  <c r="P14" i="4"/>
  <c r="N14" i="4"/>
  <c r="M14" i="4"/>
  <c r="L14" i="4"/>
  <c r="K14" i="4"/>
  <c r="J14" i="4"/>
  <c r="I14" i="4"/>
  <c r="H14" i="4"/>
  <c r="F14" i="4"/>
  <c r="E14" i="4"/>
  <c r="G14" i="4"/>
  <c r="X14" i="4" l="1"/>
  <c r="Z14" i="4" s="1"/>
  <c r="Y14" i="4"/>
  <c r="AA14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5" i="4"/>
  <c r="W17" i="4"/>
  <c r="W19" i="4"/>
  <c r="W18" i="4"/>
  <c r="W16" i="4"/>
  <c r="AF14" i="4" l="1"/>
  <c r="AG14" i="4"/>
  <c r="AB14" i="4"/>
  <c r="AC14" i="4"/>
  <c r="AA47" i="4"/>
  <c r="Z47" i="4"/>
  <c r="Y47" i="4"/>
  <c r="X47" i="4"/>
  <c r="AA46" i="4"/>
  <c r="Z46" i="4"/>
  <c r="Y46" i="4"/>
  <c r="X46" i="4"/>
  <c r="AA45" i="4"/>
  <c r="Z45" i="4"/>
  <c r="Y45" i="4"/>
  <c r="X45" i="4"/>
  <c r="AA44" i="4"/>
  <c r="Z44" i="4"/>
  <c r="Y44" i="4"/>
  <c r="X44" i="4"/>
  <c r="AA43" i="4"/>
  <c r="Z43" i="4"/>
  <c r="Y43" i="4"/>
  <c r="X43" i="4"/>
  <c r="AA42" i="4"/>
  <c r="Z42" i="4"/>
  <c r="Y42" i="4"/>
  <c r="X42" i="4"/>
  <c r="AA41" i="4"/>
  <c r="Z41" i="4"/>
  <c r="Y41" i="4"/>
  <c r="X41" i="4"/>
  <c r="AA40" i="4"/>
  <c r="Z40" i="4"/>
  <c r="Y40" i="4"/>
  <c r="X40" i="4"/>
  <c r="AA39" i="4"/>
  <c r="Z39" i="4"/>
  <c r="Y39" i="4"/>
  <c r="X39" i="4"/>
  <c r="AA38" i="4"/>
  <c r="Z38" i="4"/>
  <c r="Y38" i="4"/>
  <c r="X38" i="4"/>
  <c r="AA37" i="4"/>
  <c r="Z37" i="4"/>
  <c r="Y37" i="4"/>
  <c r="X37" i="4"/>
  <c r="AA36" i="4"/>
  <c r="Z36" i="4"/>
  <c r="Y36" i="4"/>
  <c r="X36" i="4"/>
  <c r="AA35" i="4"/>
  <c r="Z35" i="4"/>
  <c r="Y35" i="4"/>
  <c r="X35" i="4"/>
  <c r="AA34" i="4"/>
  <c r="Z34" i="4"/>
  <c r="Y34" i="4"/>
  <c r="X34" i="4"/>
  <c r="AA33" i="4"/>
  <c r="Z33" i="4"/>
  <c r="Y33" i="4"/>
  <c r="X33" i="4"/>
  <c r="AA32" i="4"/>
  <c r="Z32" i="4"/>
  <c r="Y32" i="4"/>
  <c r="X32" i="4"/>
  <c r="AA31" i="4"/>
  <c r="Z31" i="4"/>
  <c r="Y31" i="4"/>
  <c r="X31" i="4"/>
  <c r="AA30" i="4"/>
  <c r="Z30" i="4"/>
  <c r="Y30" i="4"/>
  <c r="X30" i="4"/>
  <c r="AA29" i="4"/>
  <c r="Z29" i="4"/>
  <c r="Y29" i="4"/>
  <c r="X29" i="4"/>
  <c r="AA28" i="4"/>
  <c r="Z28" i="4"/>
  <c r="Y28" i="4"/>
  <c r="X28" i="4"/>
  <c r="AA27" i="4"/>
  <c r="Z27" i="4"/>
  <c r="Y27" i="4"/>
  <c r="X27" i="4"/>
  <c r="AA26" i="4"/>
  <c r="Z26" i="4"/>
  <c r="Y26" i="4"/>
  <c r="X26" i="4"/>
  <c r="AA25" i="4"/>
  <c r="Z25" i="4"/>
  <c r="Y25" i="4"/>
  <c r="X25" i="4"/>
  <c r="AA24" i="4"/>
  <c r="Z24" i="4"/>
  <c r="Y24" i="4"/>
  <c r="X24" i="4"/>
  <c r="AA23" i="4"/>
  <c r="Z23" i="4"/>
  <c r="Y23" i="4"/>
  <c r="X23" i="4"/>
  <c r="AA22" i="4"/>
  <c r="Z22" i="4"/>
  <c r="Y22" i="4"/>
  <c r="X22" i="4"/>
  <c r="AA21" i="4"/>
  <c r="Z21" i="4"/>
  <c r="Y21" i="4"/>
  <c r="X21" i="4"/>
  <c r="AA20" i="4"/>
  <c r="Z20" i="4"/>
  <c r="Y20" i="4"/>
  <c r="X20" i="4"/>
  <c r="AA15" i="4"/>
  <c r="Z15" i="4"/>
  <c r="Y15" i="4"/>
  <c r="X15" i="4"/>
  <c r="AA17" i="4"/>
  <c r="Z17" i="4"/>
  <c r="Y17" i="4"/>
  <c r="X17" i="4"/>
  <c r="AA19" i="4"/>
  <c r="Z19" i="4"/>
  <c r="Y19" i="4"/>
  <c r="X19" i="4"/>
  <c r="AA18" i="4"/>
  <c r="Z18" i="4"/>
  <c r="Y18" i="4"/>
  <c r="X18" i="4"/>
  <c r="AA16" i="4"/>
  <c r="Z16" i="4"/>
  <c r="Y16" i="4"/>
  <c r="X16" i="4"/>
  <c r="AI14" i="4" l="1"/>
  <c r="AB47" i="4"/>
  <c r="AB46" i="4"/>
  <c r="AC46" i="4"/>
  <c r="AC47" i="4"/>
  <c r="AB45" i="4"/>
  <c r="AB44" i="4"/>
  <c r="AC44" i="4"/>
  <c r="AC45" i="4"/>
  <c r="AB43" i="4"/>
  <c r="AB42" i="4"/>
  <c r="AC42" i="4"/>
  <c r="AC43" i="4"/>
  <c r="AB40" i="4"/>
  <c r="AB41" i="4"/>
  <c r="AC40" i="4"/>
  <c r="AC41" i="4"/>
  <c r="AB39" i="4"/>
  <c r="AB38" i="4"/>
  <c r="AC38" i="4"/>
  <c r="AC39" i="4"/>
  <c r="AB37" i="4"/>
  <c r="AB36" i="4"/>
  <c r="AC36" i="4"/>
  <c r="AC37" i="4"/>
  <c r="AB34" i="4"/>
  <c r="AB35" i="4"/>
  <c r="AC34" i="4"/>
  <c r="AC35" i="4"/>
  <c r="AB33" i="4"/>
  <c r="AB32" i="4"/>
  <c r="AC32" i="4"/>
  <c r="AC33" i="4"/>
  <c r="AB30" i="4"/>
  <c r="AB31" i="4"/>
  <c r="AC30" i="4"/>
  <c r="AC31" i="4"/>
  <c r="AB29" i="4"/>
  <c r="AB28" i="4"/>
  <c r="AC28" i="4"/>
  <c r="AC29" i="4"/>
  <c r="AB27" i="4"/>
  <c r="AB26" i="4"/>
  <c r="AC26" i="4"/>
  <c r="AC27" i="4"/>
  <c r="AB17" i="4"/>
  <c r="AB16" i="4"/>
  <c r="AC16" i="4"/>
  <c r="AC17" i="4"/>
  <c r="AB20" i="4"/>
  <c r="AB21" i="4"/>
  <c r="AC20" i="4"/>
  <c r="AC21" i="4"/>
  <c r="AB24" i="4"/>
  <c r="AB25" i="4"/>
  <c r="AC24" i="4"/>
  <c r="AC25" i="4"/>
  <c r="AB23" i="4"/>
  <c r="AB22" i="4"/>
  <c r="AC22" i="4"/>
  <c r="AC23" i="4"/>
  <c r="AB19" i="4"/>
  <c r="AB18" i="4"/>
  <c r="AC18" i="4"/>
  <c r="AC19" i="4"/>
  <c r="AB15" i="4"/>
  <c r="AC15" i="4"/>
  <c r="J47" i="4" l="1"/>
  <c r="Q47" i="4"/>
  <c r="O47" i="4"/>
  <c r="S47" i="4" l="1"/>
  <c r="I47" i="4"/>
  <c r="P47" i="4"/>
  <c r="R47" i="4" l="1"/>
  <c r="D48" i="4"/>
  <c r="V48" i="4" s="1"/>
  <c r="W48" i="4" s="1"/>
  <c r="Y48" i="4" l="1"/>
  <c r="X48" i="4"/>
  <c r="Z48" i="4" s="1"/>
  <c r="AA48" i="4"/>
  <c r="C48" i="4"/>
  <c r="J48" i="4"/>
  <c r="O48" i="4"/>
  <c r="Q48" i="4"/>
  <c r="AC48" i="4" l="1"/>
  <c r="AB48" i="4"/>
  <c r="S48" i="4"/>
  <c r="I48" i="4"/>
  <c r="P48" i="4"/>
  <c r="R48" i="4" l="1"/>
  <c r="D49" i="4"/>
  <c r="V49" i="4" s="1"/>
  <c r="W49" i="4" s="1"/>
  <c r="X49" i="4" l="1"/>
  <c r="Z49" i="4" s="1"/>
  <c r="AA49" i="4"/>
  <c r="Y49" i="4"/>
  <c r="C49" i="4"/>
  <c r="O49" i="4"/>
  <c r="Q49" i="4"/>
  <c r="J49" i="4"/>
  <c r="AB49" i="4" l="1"/>
  <c r="AC49" i="4"/>
  <c r="S49" i="4"/>
  <c r="I49" i="4"/>
  <c r="P49" i="4"/>
  <c r="R49" i="4" l="1"/>
  <c r="D50" i="4"/>
  <c r="V50" i="4" s="1"/>
  <c r="W50" i="4" s="1"/>
  <c r="Y50" i="4" l="1"/>
  <c r="AA50" i="4"/>
  <c r="X50" i="4"/>
  <c r="Z50" i="4"/>
  <c r="C50" i="4"/>
  <c r="O50" i="4"/>
  <c r="J50" i="4"/>
  <c r="Q50" i="4"/>
  <c r="AC50" i="4" l="1"/>
  <c r="AB50" i="4"/>
  <c r="S50" i="4"/>
  <c r="I50" i="4"/>
  <c r="P50" i="4"/>
  <c r="R50" i="4" l="1"/>
  <c r="D51" i="4"/>
  <c r="V51" i="4" s="1"/>
  <c r="W51" i="4" s="1"/>
  <c r="Y51" i="4" l="1"/>
  <c r="X51" i="4"/>
  <c r="Z51" i="4" s="1"/>
  <c r="AA51" i="4"/>
  <c r="C51" i="4"/>
  <c r="Q51" i="4"/>
  <c r="J51" i="4"/>
  <c r="O51" i="4"/>
  <c r="AH14" i="4" l="1"/>
  <c r="AF15" i="4"/>
  <c r="AI15" i="4" s="1"/>
  <c r="AG15" i="4"/>
  <c r="AB51" i="4"/>
  <c r="AC51" i="4"/>
  <c r="S51" i="4"/>
  <c r="I51" i="4"/>
  <c r="P51" i="4"/>
  <c r="R51" i="4" l="1"/>
  <c r="D52" i="4"/>
  <c r="V52" i="4" s="1"/>
  <c r="W52" i="4" s="1"/>
  <c r="AA52" i="4" l="1"/>
  <c r="X52" i="4"/>
  <c r="Z52" i="4"/>
  <c r="Y52" i="4"/>
  <c r="C52" i="4"/>
  <c r="O52" i="4"/>
  <c r="J52" i="4"/>
  <c r="Q52" i="4"/>
  <c r="AB52" i="4" l="1"/>
  <c r="AC52" i="4"/>
  <c r="S52" i="4"/>
  <c r="I52" i="4"/>
  <c r="P52" i="4"/>
  <c r="D53" i="4" l="1"/>
  <c r="V53" i="4" s="1"/>
  <c r="W53" i="4" s="1"/>
  <c r="R52" i="4"/>
  <c r="Z53" i="4" l="1"/>
  <c r="X53" i="4"/>
  <c r="Y53" i="4"/>
  <c r="AA53" i="4"/>
  <c r="J53" i="4"/>
  <c r="Q53" i="4"/>
  <c r="O53" i="4"/>
  <c r="C53" i="4"/>
  <c r="AB53" i="4" l="1"/>
  <c r="AC53" i="4"/>
  <c r="S53" i="4"/>
  <c r="I53" i="4"/>
  <c r="P53" i="4"/>
  <c r="D54" i="4" l="1"/>
  <c r="V54" i="4" s="1"/>
  <c r="W54" i="4" s="1"/>
  <c r="R53" i="4"/>
  <c r="X54" i="4" l="1"/>
  <c r="Z54" i="4"/>
  <c r="AA54" i="4"/>
  <c r="Y54" i="4"/>
  <c r="J54" i="4"/>
  <c r="Q54" i="4"/>
  <c r="O54" i="4"/>
  <c r="C54" i="4"/>
  <c r="AC54" i="4" l="1"/>
  <c r="AB54" i="4"/>
  <c r="S54" i="4"/>
  <c r="P54" i="4"/>
  <c r="I54" i="4"/>
  <c r="D55" i="4" l="1"/>
  <c r="V55" i="4" s="1"/>
  <c r="W55" i="4" s="1"/>
  <c r="R54" i="4"/>
  <c r="AA55" i="4" l="1"/>
  <c r="Y55" i="4"/>
  <c r="Z55" i="4"/>
  <c r="X55" i="4"/>
  <c r="O55" i="4"/>
  <c r="J55" i="4"/>
  <c r="Q55" i="4"/>
  <c r="C55" i="4"/>
  <c r="AC55" i="4" l="1"/>
  <c r="AB55" i="4"/>
  <c r="I55" i="4"/>
  <c r="P55" i="4"/>
  <c r="S55" i="4"/>
  <c r="R55" i="4" l="1"/>
  <c r="D56" i="4"/>
  <c r="V56" i="4" s="1"/>
  <c r="W56" i="4" s="1"/>
  <c r="AA56" i="4" l="1"/>
  <c r="Y56" i="4"/>
  <c r="Z56" i="4"/>
  <c r="X56" i="4"/>
  <c r="C56" i="4"/>
  <c r="O56" i="4"/>
  <c r="J56" i="4"/>
  <c r="Q56" i="4"/>
  <c r="AC56" i="4" l="1"/>
  <c r="AB56" i="4"/>
  <c r="P56" i="4"/>
  <c r="I56" i="4"/>
  <c r="S56" i="4"/>
  <c r="R56" i="4" l="1"/>
  <c r="D57" i="4"/>
  <c r="V57" i="4" s="1"/>
  <c r="W57" i="4" s="1"/>
  <c r="AA57" i="4" l="1"/>
  <c r="Z57" i="4"/>
  <c r="X57" i="4"/>
  <c r="Y57" i="4"/>
  <c r="C57" i="4"/>
  <c r="O57" i="4"/>
  <c r="Q57" i="4"/>
  <c r="J57" i="4"/>
  <c r="AB57" i="4" l="1"/>
  <c r="AC57" i="4"/>
  <c r="P57" i="4"/>
  <c r="I57" i="4"/>
  <c r="S57" i="4"/>
  <c r="R57" i="4" l="1"/>
  <c r="D58" i="4"/>
  <c r="V58" i="4" s="1"/>
  <c r="W58" i="4" s="1"/>
  <c r="AA58" i="4" l="1"/>
  <c r="Y58" i="4"/>
  <c r="X58" i="4"/>
  <c r="Z58" i="4"/>
  <c r="C58" i="4"/>
  <c r="O58" i="4"/>
  <c r="Q58" i="4"/>
  <c r="J58" i="4"/>
  <c r="AB58" i="4" l="1"/>
  <c r="AC58" i="4"/>
  <c r="S58" i="4"/>
  <c r="I58" i="4"/>
  <c r="P58" i="4"/>
  <c r="R58" i="4" l="1"/>
  <c r="D59" i="4"/>
  <c r="V59" i="4" s="1"/>
  <c r="W59" i="4" s="1"/>
  <c r="AA59" i="4" l="1"/>
  <c r="X59" i="4"/>
  <c r="Z59" i="4"/>
  <c r="Y59" i="4"/>
  <c r="C59" i="4"/>
  <c r="O59" i="4"/>
  <c r="Q59" i="4"/>
  <c r="J59" i="4"/>
  <c r="AC59" i="4" l="1"/>
  <c r="AB59" i="4"/>
  <c r="I59" i="4"/>
  <c r="P59" i="4"/>
  <c r="S59" i="4"/>
  <c r="R59" i="4" l="1"/>
  <c r="D60" i="4"/>
  <c r="V60" i="4" s="1"/>
  <c r="W60" i="4" s="1"/>
  <c r="Y60" i="4" l="1"/>
  <c r="AA60" i="4"/>
  <c r="X60" i="4"/>
  <c r="Z60" i="4"/>
  <c r="C60" i="4"/>
  <c r="O60" i="4"/>
  <c r="Q60" i="4"/>
  <c r="J60" i="4"/>
  <c r="AC60" i="4" l="1"/>
  <c r="AB60" i="4"/>
  <c r="S60" i="4"/>
  <c r="I60" i="4"/>
  <c r="P60" i="4"/>
  <c r="R60" i="4" l="1"/>
  <c r="D61" i="4"/>
  <c r="V61" i="4" s="1"/>
  <c r="W61" i="4" s="1"/>
  <c r="AA61" i="4" l="1"/>
  <c r="X61" i="4"/>
  <c r="Z61" i="4" s="1"/>
  <c r="Y61" i="4"/>
  <c r="C61" i="4"/>
  <c r="O61" i="4"/>
  <c r="Q61" i="4"/>
  <c r="J61" i="4"/>
  <c r="AC61" i="4" l="1"/>
  <c r="AB61" i="4"/>
  <c r="S61" i="4"/>
  <c r="I61" i="4"/>
  <c r="P61" i="4"/>
  <c r="R61" i="4" l="1"/>
  <c r="D62" i="4"/>
  <c r="V62" i="4" s="1"/>
  <c r="W62" i="4" s="1"/>
  <c r="X62" i="4" l="1"/>
  <c r="Z62" i="4"/>
  <c r="AA62" i="4"/>
  <c r="Y62" i="4"/>
  <c r="C62" i="4"/>
  <c r="O62" i="4"/>
  <c r="Q62" i="4"/>
  <c r="J62" i="4"/>
  <c r="AB62" i="4" l="1"/>
  <c r="AC62" i="4"/>
  <c r="S62" i="4"/>
  <c r="P62" i="4"/>
  <c r="I62" i="4"/>
  <c r="R62" i="4" l="1"/>
  <c r="D63" i="4"/>
  <c r="V63" i="4" s="1"/>
  <c r="W63" i="4" s="1"/>
  <c r="Z63" i="4" l="1"/>
  <c r="Y63" i="4"/>
  <c r="X63" i="4"/>
  <c r="AA63" i="4"/>
  <c r="C63" i="4"/>
  <c r="Q63" i="4"/>
  <c r="O63" i="4"/>
  <c r="J63" i="4"/>
  <c r="AB63" i="4" l="1"/>
  <c r="AC63" i="4"/>
  <c r="I63" i="4"/>
  <c r="P63" i="4"/>
  <c r="S63" i="4"/>
  <c r="R63" i="4" l="1"/>
  <c r="D64" i="4"/>
  <c r="V64" i="4" s="1"/>
  <c r="W64" i="4" s="1"/>
  <c r="AA64" i="4" l="1"/>
  <c r="Z64" i="4"/>
  <c r="X64" i="4"/>
  <c r="Y64" i="4"/>
  <c r="C64" i="4"/>
  <c r="Q64" i="4"/>
  <c r="J64" i="4"/>
  <c r="O64" i="4"/>
  <c r="AC64" i="4" l="1"/>
  <c r="AB64" i="4"/>
  <c r="S64" i="4"/>
  <c r="I64" i="4"/>
  <c r="P64" i="4"/>
  <c r="R64" i="4" l="1"/>
  <c r="D65" i="4"/>
  <c r="V65" i="4" s="1"/>
  <c r="W65" i="4" s="1"/>
  <c r="AA65" i="4" l="1"/>
  <c r="Y65" i="4"/>
  <c r="X65" i="4"/>
  <c r="Z65" i="4" s="1"/>
  <c r="C65" i="4"/>
  <c r="O65" i="4"/>
  <c r="Q65" i="4"/>
  <c r="J65" i="4"/>
  <c r="AB65" i="4" l="1"/>
  <c r="AC65" i="4"/>
  <c r="S65" i="4"/>
  <c r="I65" i="4"/>
  <c r="P65" i="4"/>
  <c r="R65" i="4" l="1"/>
  <c r="D66" i="4"/>
  <c r="V66" i="4" s="1"/>
  <c r="W66" i="4" s="1"/>
  <c r="Z66" i="4" l="1"/>
  <c r="AA66" i="4"/>
  <c r="Y66" i="4"/>
  <c r="X66" i="4"/>
  <c r="C66" i="4"/>
  <c r="O66" i="4"/>
  <c r="J66" i="4"/>
  <c r="Q66" i="4"/>
  <c r="AC66" i="4" l="1"/>
  <c r="AB66" i="4"/>
  <c r="S66" i="4"/>
  <c r="I66" i="4"/>
  <c r="P66" i="4"/>
  <c r="D67" i="4" l="1"/>
  <c r="V67" i="4" s="1"/>
  <c r="W67" i="4" s="1"/>
  <c r="R66" i="4"/>
  <c r="Y67" i="4" l="1"/>
  <c r="AA67" i="4"/>
  <c r="Z67" i="4"/>
  <c r="X67" i="4"/>
  <c r="O67" i="4"/>
  <c r="J67" i="4"/>
  <c r="Q67" i="4"/>
  <c r="C67" i="4"/>
  <c r="AC67" i="4" l="1"/>
  <c r="AB67" i="4"/>
  <c r="S67" i="4"/>
  <c r="I67" i="4"/>
  <c r="P67" i="4"/>
  <c r="D68" i="4" l="1"/>
  <c r="V68" i="4" s="1"/>
  <c r="W68" i="4" s="1"/>
  <c r="R67" i="4"/>
  <c r="Y68" i="4" l="1"/>
  <c r="Z68" i="4"/>
  <c r="X68" i="4"/>
  <c r="AA68" i="4"/>
  <c r="O68" i="4"/>
  <c r="Q68" i="4"/>
  <c r="J68" i="4"/>
  <c r="C68" i="4"/>
  <c r="AB68" i="4" l="1"/>
  <c r="AC68" i="4"/>
  <c r="S68" i="4"/>
  <c r="I68" i="4"/>
  <c r="P68" i="4"/>
  <c r="R68" i="4" l="1"/>
  <c r="D69" i="4"/>
  <c r="V69" i="4" s="1"/>
  <c r="W69" i="4" s="1"/>
  <c r="X69" i="4" l="1"/>
  <c r="Z69" i="4"/>
  <c r="Y69" i="4"/>
  <c r="AA69" i="4"/>
  <c r="C69" i="4"/>
  <c r="O69" i="4"/>
  <c r="Q69" i="4"/>
  <c r="J69" i="4"/>
  <c r="AB69" i="4" l="1"/>
  <c r="AC69" i="4"/>
  <c r="I69" i="4"/>
  <c r="P69" i="4"/>
  <c r="S69" i="4"/>
  <c r="D70" i="4" l="1"/>
  <c r="V70" i="4" s="1"/>
  <c r="W70" i="4" s="1"/>
  <c r="R69" i="4"/>
  <c r="Y70" i="4" l="1"/>
  <c r="X70" i="4"/>
  <c r="Z70" i="4"/>
  <c r="AA70" i="4"/>
  <c r="Q70" i="4"/>
  <c r="O70" i="4"/>
  <c r="J70" i="4"/>
  <c r="C70" i="4"/>
  <c r="AC70" i="4" l="1"/>
  <c r="AB70" i="4"/>
  <c r="S70" i="4"/>
  <c r="I70" i="4"/>
  <c r="P70" i="4"/>
  <c r="R70" i="4" l="1"/>
  <c r="D71" i="4"/>
  <c r="V71" i="4" s="1"/>
  <c r="W71" i="4" s="1"/>
  <c r="Y71" i="4" l="1"/>
  <c r="AA71" i="4"/>
  <c r="Z71" i="4"/>
  <c r="X71" i="4"/>
  <c r="C71" i="4"/>
  <c r="O71" i="4"/>
  <c r="J71" i="4"/>
  <c r="Q71" i="4"/>
  <c r="AB71" i="4" l="1"/>
  <c r="AC71" i="4"/>
  <c r="S71" i="4"/>
  <c r="P71" i="4"/>
  <c r="I71" i="4"/>
  <c r="R71" i="4" l="1"/>
  <c r="D72" i="4"/>
  <c r="V72" i="4" s="1"/>
  <c r="W72" i="4" s="1"/>
  <c r="Z72" i="4" l="1"/>
  <c r="X72" i="4"/>
  <c r="AA72" i="4"/>
  <c r="Y72" i="4"/>
  <c r="C72" i="4"/>
  <c r="O72" i="4"/>
  <c r="Q72" i="4"/>
  <c r="J72" i="4"/>
  <c r="AC72" i="4" l="1"/>
  <c r="AB72" i="4"/>
  <c r="I72" i="4"/>
  <c r="P72" i="4"/>
  <c r="S72" i="4"/>
  <c r="R72" i="4" l="1"/>
  <c r="D73" i="4"/>
  <c r="V73" i="4" s="1"/>
  <c r="W73" i="4" s="1"/>
  <c r="X73" i="4" l="1"/>
  <c r="Z73" i="4" s="1"/>
  <c r="AA73" i="4"/>
  <c r="Y73" i="4"/>
  <c r="C73" i="4"/>
  <c r="J73" i="4"/>
  <c r="O73" i="4"/>
  <c r="Q73" i="4"/>
  <c r="AB73" i="4" l="1"/>
  <c r="AC73" i="4"/>
  <c r="P73" i="4"/>
  <c r="I73" i="4"/>
  <c r="S73" i="4"/>
  <c r="R73" i="4" l="1"/>
  <c r="D74" i="4"/>
  <c r="V74" i="4" s="1"/>
  <c r="W74" i="4" s="1"/>
  <c r="Y74" i="4" l="1"/>
  <c r="AA74" i="4"/>
  <c r="Z74" i="4"/>
  <c r="X74" i="4"/>
  <c r="C74" i="4"/>
  <c r="J74" i="4"/>
  <c r="Q74" i="4"/>
  <c r="O74" i="4"/>
  <c r="AC74" i="4" l="1"/>
  <c r="AB74" i="4"/>
  <c r="S74" i="4"/>
  <c r="D75" i="4" l="1"/>
  <c r="V75" i="4" s="1"/>
  <c r="W75" i="4" s="1"/>
  <c r="X75" i="4" l="1"/>
  <c r="Y75" i="4"/>
  <c r="Z75" i="4"/>
  <c r="AA75" i="4"/>
  <c r="C75" i="4"/>
  <c r="J75" i="4"/>
  <c r="Q75" i="4"/>
  <c r="O75" i="4"/>
  <c r="AB75" i="4" l="1"/>
  <c r="AC75" i="4"/>
  <c r="S75" i="4"/>
  <c r="D76" i="4" l="1"/>
  <c r="V76" i="4" s="1"/>
  <c r="W76" i="4" s="1"/>
  <c r="Y76" i="4" l="1"/>
  <c r="Z76" i="4"/>
  <c r="X76" i="4"/>
  <c r="AA76" i="4"/>
  <c r="C76" i="4"/>
  <c r="AC76" i="4" l="1"/>
  <c r="AB76" i="4"/>
  <c r="D77" i="4" l="1"/>
  <c r="V77" i="4" s="1"/>
  <c r="W77" i="4" s="1"/>
  <c r="X77" i="4" l="1"/>
  <c r="Z77" i="4"/>
  <c r="Y77" i="4"/>
  <c r="AA77" i="4"/>
  <c r="C77" i="4"/>
  <c r="AB77" i="4" l="1"/>
  <c r="AC77" i="4"/>
  <c r="D78" i="4" l="1"/>
  <c r="V78" i="4" s="1"/>
  <c r="W78" i="4" s="1"/>
  <c r="Y78" i="4" l="1"/>
  <c r="AA78" i="4"/>
  <c r="X78" i="4"/>
  <c r="Z78" i="4" s="1"/>
  <c r="C78" i="4"/>
  <c r="AB78" i="4" l="1"/>
  <c r="AC78" i="4"/>
  <c r="D79" i="4" l="1"/>
  <c r="V79" i="4" s="1"/>
  <c r="W79" i="4" s="1"/>
  <c r="AA79" i="4" l="1"/>
  <c r="X79" i="4"/>
  <c r="Z79" i="4" s="1"/>
  <c r="Y79" i="4"/>
  <c r="C79" i="4"/>
  <c r="AB79" i="4" l="1"/>
  <c r="AC79" i="4"/>
  <c r="D80" i="4" l="1"/>
  <c r="V80" i="4" s="1"/>
  <c r="W80" i="4" s="1"/>
  <c r="Y80" i="4" l="1"/>
  <c r="AA80" i="4"/>
  <c r="X80" i="4"/>
  <c r="Z80" i="4"/>
  <c r="C80" i="4"/>
  <c r="AC80" i="4" l="1"/>
  <c r="AB80" i="4"/>
  <c r="D81" i="4" l="1"/>
  <c r="V81" i="4" s="1"/>
  <c r="W81" i="4" s="1"/>
  <c r="Y81" i="4" l="1"/>
  <c r="AA81" i="4"/>
  <c r="X81" i="4"/>
  <c r="Z81" i="4"/>
  <c r="C81" i="4"/>
  <c r="AB81" i="4" l="1"/>
  <c r="AC81" i="4"/>
  <c r="C82" i="4" l="1"/>
  <c r="C83" i="4" l="1"/>
  <c r="C84" i="4" l="1"/>
  <c r="C85" i="4" l="1"/>
  <c r="C86" i="4" l="1"/>
  <c r="C87" i="4" l="1"/>
  <c r="C88" i="4" l="1"/>
  <c r="P74" i="4" l="1"/>
  <c r="I74" i="4"/>
  <c r="R74" i="4" l="1"/>
  <c r="P75" i="4" l="1"/>
  <c r="I75" i="4"/>
  <c r="R75" i="4" l="1"/>
  <c r="J76" i="4" l="1"/>
  <c r="O76" i="4"/>
  <c r="Q76" i="4"/>
  <c r="P76" i="4" l="1"/>
  <c r="I76" i="4"/>
  <c r="S76" i="4"/>
  <c r="R76" i="4" l="1"/>
  <c r="Q77" i="4" l="1"/>
  <c r="O77" i="4"/>
  <c r="J77" i="4"/>
  <c r="P77" i="4" l="1"/>
  <c r="I77" i="4"/>
  <c r="S77" i="4"/>
  <c r="R77" i="4" l="1"/>
  <c r="J78" i="4" l="1"/>
  <c r="O78" i="4"/>
  <c r="Q78" i="4"/>
  <c r="S78" i="4" l="1"/>
  <c r="I78" i="4"/>
  <c r="P78" i="4"/>
  <c r="R78" i="4" l="1"/>
  <c r="J79" i="4" l="1"/>
  <c r="Q79" i="4"/>
  <c r="O79" i="4"/>
  <c r="S79" i="4" l="1"/>
  <c r="I79" i="4"/>
  <c r="P79" i="4"/>
  <c r="R79" i="4" l="1"/>
  <c r="J80" i="4" l="1"/>
  <c r="O80" i="4"/>
  <c r="Q80" i="4"/>
  <c r="S80" i="4" l="1"/>
  <c r="P80" i="4"/>
  <c r="I80" i="4"/>
  <c r="R80" i="4" l="1"/>
  <c r="J81" i="4" l="1"/>
  <c r="Q81" i="4"/>
  <c r="O81" i="4"/>
  <c r="S81" i="4" l="1"/>
  <c r="P81" i="4"/>
  <c r="I81" i="4"/>
  <c r="D82" i="4" l="1"/>
  <c r="V82" i="4" s="1"/>
  <c r="W82" i="4" s="1"/>
  <c r="R81" i="4"/>
  <c r="X82" i="4" l="1"/>
  <c r="Z82" i="4"/>
  <c r="Y82" i="4"/>
  <c r="AA82" i="4"/>
  <c r="AC82" i="4" l="1"/>
  <c r="AB82" i="4"/>
  <c r="P82" i="4"/>
  <c r="I82" i="4"/>
  <c r="R82" i="4" l="1"/>
  <c r="D83" i="4"/>
  <c r="V83" i="4" s="1"/>
  <c r="W83" i="4" s="1"/>
  <c r="AA83" i="4" l="1"/>
  <c r="Z83" i="4"/>
  <c r="X83" i="4"/>
  <c r="Y83" i="4"/>
  <c r="AC83" i="4" l="1"/>
  <c r="AB83" i="4"/>
  <c r="P83" i="4"/>
  <c r="I83" i="4"/>
  <c r="R83" i="4" l="1"/>
  <c r="D84" i="4"/>
  <c r="V84" i="4" s="1"/>
  <c r="W84" i="4" s="1"/>
  <c r="Z84" i="4" l="1"/>
  <c r="Y84" i="4"/>
  <c r="AA84" i="4"/>
  <c r="X84" i="4"/>
  <c r="AC84" i="4" l="1"/>
  <c r="AB84" i="4"/>
  <c r="P84" i="4"/>
  <c r="I84" i="4"/>
  <c r="R84" i="4" l="1"/>
  <c r="D85" i="4"/>
  <c r="V85" i="4" s="1"/>
  <c r="W85" i="4" s="1"/>
  <c r="AA85" i="4" l="1"/>
  <c r="Z85" i="4"/>
  <c r="X85" i="4"/>
  <c r="Y85" i="4"/>
  <c r="AB85" i="4" l="1"/>
  <c r="AC85" i="4"/>
  <c r="D86" i="4" l="1"/>
  <c r="V86" i="4" s="1"/>
  <c r="W86" i="4" s="1"/>
  <c r="Y86" i="4" l="1"/>
  <c r="X86" i="4"/>
  <c r="Z86" i="4"/>
  <c r="AA86" i="4"/>
  <c r="AC86" i="4" l="1"/>
  <c r="AB86" i="4"/>
  <c r="D87" i="4" l="1"/>
  <c r="V87" i="4" s="1"/>
  <c r="W87" i="4" s="1"/>
  <c r="AA87" i="4" l="1"/>
  <c r="X87" i="4"/>
  <c r="Z87" i="4" s="1"/>
  <c r="Y87" i="4"/>
  <c r="AB87" i="4" l="1"/>
  <c r="AC87" i="4"/>
  <c r="D88" i="4" l="1"/>
  <c r="V88" i="4" s="1"/>
  <c r="W88" i="4" s="1"/>
  <c r="AA88" i="4" l="1"/>
  <c r="Z88" i="4"/>
  <c r="Y88" i="4"/>
  <c r="X88" i="4"/>
  <c r="AB88" i="4" l="1"/>
  <c r="AC88" i="4"/>
  <c r="J82" i="4" l="1"/>
  <c r="Q82" i="4"/>
  <c r="O82" i="4"/>
  <c r="S82" i="4" l="1"/>
  <c r="O83" i="4" l="1"/>
  <c r="J83" i="4"/>
  <c r="Q83" i="4"/>
  <c r="S83" i="4" l="1"/>
  <c r="O84" i="4" l="1"/>
  <c r="J84" i="4"/>
  <c r="Q84" i="4"/>
  <c r="S84" i="4" l="1"/>
  <c r="J85" i="4" l="1"/>
  <c r="Q85" i="4"/>
  <c r="O85" i="4"/>
  <c r="S85" i="4" l="1"/>
  <c r="P85" i="4"/>
  <c r="I85" i="4"/>
  <c r="R85" i="4" l="1"/>
  <c r="J86" i="4" l="1"/>
  <c r="Q86" i="4"/>
  <c r="O86" i="4"/>
  <c r="S86" i="4" l="1"/>
  <c r="P86" i="4"/>
  <c r="I86" i="4"/>
  <c r="R86" i="4" l="1"/>
  <c r="Q87" i="4" l="1"/>
  <c r="J87" i="4"/>
  <c r="O87" i="4"/>
  <c r="S87" i="4" l="1"/>
  <c r="P87" i="4"/>
  <c r="I87" i="4"/>
  <c r="R87" i="4" l="1"/>
  <c r="J88" i="4" l="1"/>
  <c r="Q88" i="4"/>
  <c r="O88" i="4"/>
  <c r="S88" i="4" l="1"/>
  <c r="P88" i="4"/>
  <c r="I88" i="4"/>
  <c r="R88" i="4" l="1"/>
  <c r="D89" i="4"/>
  <c r="V89" i="4" s="1"/>
  <c r="W89" i="4" s="1"/>
  <c r="Y89" i="4" l="1"/>
  <c r="AA89" i="4"/>
  <c r="X89" i="4"/>
  <c r="Z89" i="4"/>
  <c r="C89" i="4"/>
  <c r="J89" i="4"/>
  <c r="Q89" i="4"/>
  <c r="O89" i="4"/>
  <c r="AB89" i="4" l="1"/>
  <c r="AC89" i="4"/>
  <c r="S89" i="4"/>
  <c r="P89" i="4"/>
  <c r="I89" i="4"/>
  <c r="R89" i="4" l="1"/>
  <c r="D90" i="4"/>
  <c r="V90" i="4" s="1"/>
  <c r="W90" i="4" s="1"/>
  <c r="AA90" i="4" l="1"/>
  <c r="Y90" i="4"/>
  <c r="X90" i="4"/>
  <c r="Z90" i="4"/>
  <c r="C90" i="4"/>
  <c r="J90" i="4"/>
  <c r="Q90" i="4"/>
  <c r="O90" i="4"/>
  <c r="AB90" i="4" l="1"/>
  <c r="AC90" i="4"/>
  <c r="S90" i="4"/>
  <c r="I90" i="4"/>
  <c r="P90" i="4"/>
  <c r="R90" i="4" l="1"/>
  <c r="D91" i="4"/>
  <c r="V91" i="4" s="1"/>
  <c r="W91" i="4" s="1"/>
  <c r="Y91" i="4" l="1"/>
  <c r="X91" i="4"/>
  <c r="AA91" i="4"/>
  <c r="Z91" i="4"/>
  <c r="C91" i="4"/>
  <c r="J91" i="4"/>
  <c r="O91" i="4"/>
  <c r="Q91" i="4"/>
  <c r="AB91" i="4" l="1"/>
  <c r="AC91" i="4"/>
  <c r="S91" i="4"/>
  <c r="P91" i="4"/>
  <c r="I91" i="4"/>
  <c r="R91" i="4" l="1"/>
  <c r="D92" i="4"/>
  <c r="V92" i="4" s="1"/>
  <c r="W92" i="4" s="1"/>
  <c r="Y92" i="4" l="1"/>
  <c r="X92" i="4"/>
  <c r="Z92" i="4"/>
  <c r="AA92" i="4"/>
  <c r="C92" i="4"/>
  <c r="O92" i="4"/>
  <c r="Q92" i="4"/>
  <c r="J92" i="4"/>
  <c r="AC92" i="4" l="1"/>
  <c r="AB92" i="4"/>
  <c r="I92" i="4"/>
  <c r="P92" i="4"/>
  <c r="S92" i="4"/>
  <c r="R92" i="4" l="1"/>
  <c r="D93" i="4"/>
  <c r="V93" i="4" s="1"/>
  <c r="W93" i="4" s="1"/>
  <c r="Y93" i="4" l="1"/>
  <c r="X93" i="4"/>
  <c r="Z93" i="4"/>
  <c r="AA93" i="4"/>
  <c r="C93" i="4"/>
  <c r="J93" i="4"/>
  <c r="Q93" i="4"/>
  <c r="O93" i="4"/>
  <c r="AC93" i="4" l="1"/>
  <c r="AB93" i="4"/>
  <c r="S93" i="4"/>
  <c r="P93" i="4"/>
  <c r="I93" i="4"/>
  <c r="R93" i="4" l="1"/>
  <c r="D94" i="4"/>
  <c r="V94" i="4" s="1"/>
  <c r="W94" i="4" s="1"/>
  <c r="AA94" i="4" l="1"/>
  <c r="X94" i="4"/>
  <c r="Z94" i="4" s="1"/>
  <c r="Y94" i="4"/>
  <c r="C94" i="4"/>
  <c r="J94" i="4"/>
  <c r="Q94" i="4"/>
  <c r="O94" i="4"/>
  <c r="AC94" i="4" l="1"/>
  <c r="AB94" i="4"/>
  <c r="S94" i="4"/>
  <c r="P94" i="4"/>
  <c r="I94" i="4"/>
  <c r="R94" i="4" l="1"/>
  <c r="D95" i="4"/>
  <c r="V95" i="4" s="1"/>
  <c r="W95" i="4" s="1"/>
  <c r="Y95" i="4" l="1"/>
  <c r="Z95" i="4"/>
  <c r="AA95" i="4"/>
  <c r="X95" i="4"/>
  <c r="C95" i="4"/>
  <c r="Q95" i="4"/>
  <c r="O95" i="4"/>
  <c r="J95" i="4"/>
  <c r="AC95" i="4" l="1"/>
  <c r="AB95" i="4"/>
  <c r="S95" i="4"/>
  <c r="P95" i="4"/>
  <c r="I95" i="4"/>
  <c r="R95" i="4" l="1"/>
  <c r="D96" i="4"/>
  <c r="V96" i="4" s="1"/>
  <c r="W96" i="4" s="1"/>
  <c r="AA96" i="4" l="1"/>
  <c r="Y96" i="4"/>
  <c r="X96" i="4"/>
  <c r="Z96" i="4"/>
  <c r="C96" i="4"/>
  <c r="O96" i="4"/>
  <c r="Q96" i="4"/>
  <c r="J96" i="4"/>
  <c r="AB96" i="4" l="1"/>
  <c r="AC96" i="4"/>
  <c r="S96" i="4"/>
  <c r="P96" i="4"/>
  <c r="I96" i="4"/>
  <c r="D97" i="4" l="1"/>
  <c r="V97" i="4" s="1"/>
  <c r="W97" i="4" s="1"/>
  <c r="R96" i="4"/>
  <c r="AA97" i="4" l="1"/>
  <c r="Y97" i="4"/>
  <c r="X97" i="4"/>
  <c r="Z97" i="4" s="1"/>
  <c r="J97" i="4"/>
  <c r="Q97" i="4"/>
  <c r="O97" i="4"/>
  <c r="C97" i="4"/>
  <c r="AC97" i="4" l="1"/>
  <c r="AB97" i="4"/>
  <c r="S97" i="4"/>
  <c r="I97" i="4"/>
  <c r="P97" i="4"/>
  <c r="R97" i="4" l="1"/>
  <c r="D98" i="4"/>
  <c r="V98" i="4" s="1"/>
  <c r="W98" i="4" s="1"/>
  <c r="Y98" i="4" l="1"/>
  <c r="X98" i="4"/>
  <c r="Z98" i="4"/>
  <c r="AA98" i="4"/>
  <c r="C98" i="4"/>
  <c r="O98" i="4"/>
  <c r="J98" i="4"/>
  <c r="Q98" i="4"/>
  <c r="AB98" i="4" l="1"/>
  <c r="AC98" i="4"/>
  <c r="P98" i="4"/>
  <c r="I98" i="4"/>
  <c r="S98" i="4"/>
  <c r="D99" i="4" l="1"/>
  <c r="V99" i="4" s="1"/>
  <c r="W99" i="4" s="1"/>
  <c r="R98" i="4"/>
  <c r="Y99" i="4" l="1"/>
  <c r="AA99" i="4"/>
  <c r="Z99" i="4"/>
  <c r="X99" i="4"/>
  <c r="J99" i="4"/>
  <c r="Q99" i="4"/>
  <c r="O99" i="4"/>
  <c r="C99" i="4"/>
  <c r="AB99" i="4" l="1"/>
  <c r="AC99" i="4"/>
  <c r="S99" i="4"/>
  <c r="I99" i="4"/>
  <c r="P99" i="4"/>
  <c r="R99" i="4" l="1"/>
  <c r="D100" i="4"/>
  <c r="V100" i="4" s="1"/>
  <c r="W100" i="4" s="1"/>
  <c r="AA100" i="4" l="1"/>
  <c r="Y100" i="4"/>
  <c r="X100" i="4"/>
  <c r="Z100" i="4"/>
  <c r="C100" i="4"/>
  <c r="Q100" i="4"/>
  <c r="O100" i="4"/>
  <c r="J100" i="4"/>
  <c r="AC100" i="4" l="1"/>
  <c r="AB100" i="4"/>
  <c r="P100" i="4"/>
  <c r="I100" i="4"/>
  <c r="S100" i="4"/>
  <c r="R100" i="4" l="1"/>
  <c r="D101" i="4"/>
  <c r="V101" i="4" s="1"/>
  <c r="W101" i="4" s="1"/>
  <c r="X101" i="4" l="1"/>
  <c r="Z101" i="4" s="1"/>
  <c r="AA101" i="4"/>
  <c r="Y101" i="4"/>
  <c r="C101" i="4"/>
  <c r="O101" i="4"/>
  <c r="J101" i="4"/>
  <c r="Q101" i="4"/>
  <c r="AC101" i="4" l="1"/>
  <c r="AB101" i="4"/>
  <c r="S101" i="4"/>
  <c r="P101" i="4"/>
  <c r="I101" i="4"/>
  <c r="D102" i="4" l="1"/>
  <c r="V102" i="4" s="1"/>
  <c r="W102" i="4" s="1"/>
  <c r="R101" i="4"/>
  <c r="X102" i="4" l="1"/>
  <c r="Z102" i="4"/>
  <c r="AA102" i="4"/>
  <c r="Y102" i="4"/>
  <c r="Q102" i="4"/>
  <c r="O102" i="4"/>
  <c r="J102" i="4"/>
  <c r="C102" i="4"/>
  <c r="AB102" i="4" l="1"/>
  <c r="AC102" i="4"/>
  <c r="P102" i="4"/>
  <c r="I102" i="4"/>
  <c r="S102" i="4"/>
  <c r="R102" i="4" l="1"/>
  <c r="D103" i="4"/>
  <c r="V103" i="4" s="1"/>
  <c r="W103" i="4" s="1"/>
  <c r="X103" i="4" l="1"/>
  <c r="AA103" i="4"/>
  <c r="Z103" i="4"/>
  <c r="Y103" i="4"/>
  <c r="C103" i="4"/>
  <c r="J103" i="4"/>
  <c r="Q103" i="4"/>
  <c r="O103" i="4"/>
  <c r="AB103" i="4" l="1"/>
  <c r="AC103" i="4"/>
  <c r="S103" i="4"/>
  <c r="I103" i="4"/>
  <c r="P103" i="4"/>
  <c r="R103" i="4" l="1"/>
  <c r="D104" i="4"/>
  <c r="V104" i="4" s="1"/>
  <c r="W104" i="4" s="1"/>
  <c r="X104" i="4" l="1"/>
  <c r="Z104" i="4" s="1"/>
  <c r="AA104" i="4"/>
  <c r="Y104" i="4"/>
  <c r="C104" i="4"/>
  <c r="O104" i="4"/>
  <c r="J104" i="4"/>
  <c r="Q104" i="4"/>
  <c r="AC104" i="4" l="1"/>
  <c r="AB104" i="4"/>
  <c r="S104" i="4"/>
  <c r="P104" i="4"/>
  <c r="I104" i="4"/>
  <c r="D105" i="4" l="1"/>
  <c r="V105" i="4" s="1"/>
  <c r="W105" i="4" s="1"/>
  <c r="R104" i="4"/>
  <c r="AA105" i="4" l="1"/>
  <c r="Y105" i="4"/>
  <c r="X105" i="4"/>
  <c r="Z105" i="4" s="1"/>
  <c r="Q105" i="4"/>
  <c r="J105" i="4"/>
  <c r="O105" i="4"/>
  <c r="C105" i="4"/>
  <c r="AC105" i="4" l="1"/>
  <c r="AB105" i="4"/>
  <c r="S105" i="4"/>
  <c r="I105" i="4"/>
  <c r="P105" i="4"/>
  <c r="R105" i="4" l="1"/>
  <c r="D106" i="4"/>
  <c r="V106" i="4" s="1"/>
  <c r="W106" i="4" s="1"/>
  <c r="Y106" i="4" l="1"/>
  <c r="AA106" i="4"/>
  <c r="X106" i="4"/>
  <c r="Z106" i="4" s="1"/>
  <c r="C106" i="4"/>
  <c r="J106" i="4"/>
  <c r="O106" i="4"/>
  <c r="Q106" i="4"/>
  <c r="AB106" i="4" l="1"/>
  <c r="AC106" i="4"/>
  <c r="S106" i="4"/>
  <c r="P106" i="4"/>
  <c r="I106" i="4"/>
  <c r="D107" i="4" l="1"/>
  <c r="V107" i="4" s="1"/>
  <c r="W107" i="4" s="1"/>
  <c r="R106" i="4"/>
  <c r="Y107" i="4" l="1"/>
  <c r="X107" i="4"/>
  <c r="Z107" i="4"/>
  <c r="AA107" i="4"/>
  <c r="Q107" i="4"/>
  <c r="J107" i="4"/>
  <c r="O107" i="4"/>
  <c r="C107" i="4"/>
  <c r="AC107" i="4" l="1"/>
  <c r="AB107" i="4"/>
  <c r="S107" i="4"/>
  <c r="P107" i="4"/>
  <c r="I107" i="4"/>
  <c r="R107" i="4" l="1"/>
  <c r="D108" i="4"/>
  <c r="V108" i="4" s="1"/>
  <c r="W108" i="4" s="1"/>
  <c r="AA108" i="4" l="1"/>
  <c r="X108" i="4"/>
  <c r="Y108" i="4"/>
  <c r="Z108" i="4"/>
  <c r="C108" i="4"/>
  <c r="O108" i="4"/>
  <c r="J108" i="4"/>
  <c r="Q108" i="4"/>
  <c r="AB108" i="4" l="1"/>
  <c r="AC108" i="4"/>
  <c r="S108" i="4"/>
  <c r="I108" i="4"/>
  <c r="P108" i="4"/>
  <c r="R108" i="4" l="1"/>
  <c r="D109" i="4"/>
  <c r="V109" i="4" s="1"/>
  <c r="W109" i="4" s="1"/>
  <c r="AA109" i="4" l="1"/>
  <c r="X109" i="4"/>
  <c r="Y109" i="4"/>
  <c r="Z109" i="4"/>
  <c r="C109" i="4"/>
  <c r="J109" i="4"/>
  <c r="Q109" i="4"/>
  <c r="O109" i="4"/>
  <c r="AB109" i="4" l="1"/>
  <c r="AC109" i="4"/>
  <c r="S109" i="4"/>
  <c r="P109" i="4"/>
  <c r="I109" i="4"/>
  <c r="R109" i="4" l="1"/>
  <c r="C110" i="4" l="1"/>
  <c r="D110" i="4" l="1"/>
  <c r="V110" i="4" s="1"/>
  <c r="W110" i="4" s="1"/>
  <c r="P110" i="4"/>
  <c r="I110" i="4"/>
  <c r="Y110" i="4" l="1"/>
  <c r="X110" i="4"/>
  <c r="Z110" i="4" s="1"/>
  <c r="AA110" i="4"/>
  <c r="Q110" i="4"/>
  <c r="O110" i="4"/>
  <c r="J110" i="4"/>
  <c r="R110" i="4"/>
  <c r="AC110" i="4" l="1"/>
  <c r="AB110" i="4"/>
  <c r="S110" i="4"/>
  <c r="C111" i="4"/>
  <c r="I111" i="4" l="1"/>
  <c r="P111" i="4"/>
  <c r="D111" i="4"/>
  <c r="V111" i="4" s="1"/>
  <c r="W111" i="4" s="1"/>
  <c r="X111" i="4" l="1"/>
  <c r="Z111" i="4"/>
  <c r="AA111" i="4"/>
  <c r="Y111" i="4"/>
  <c r="R111" i="4"/>
  <c r="O111" i="4"/>
  <c r="J111" i="4"/>
  <c r="Q111" i="4"/>
  <c r="AC111" i="4" l="1"/>
  <c r="AB111" i="4"/>
  <c r="C112" i="4"/>
  <c r="S111" i="4"/>
  <c r="P112" i="4" l="1"/>
  <c r="I112" i="4"/>
  <c r="D112" i="4"/>
  <c r="V112" i="4" s="1"/>
  <c r="W112" i="4" s="1"/>
  <c r="X112" i="4" l="1"/>
  <c r="AA112" i="4"/>
  <c r="Z112" i="4"/>
  <c r="Y112" i="4"/>
  <c r="R112" i="4"/>
  <c r="J112" i="4"/>
  <c r="Q112" i="4"/>
  <c r="O112" i="4"/>
  <c r="AC112" i="4" l="1"/>
  <c r="AB112" i="4"/>
  <c r="S112" i="4"/>
  <c r="C113" i="4"/>
  <c r="P113" i="4" l="1"/>
  <c r="I113" i="4"/>
  <c r="D113" i="4"/>
  <c r="V113" i="4" s="1"/>
  <c r="W113" i="4" s="1"/>
  <c r="AA113" i="4" l="1"/>
  <c r="Y113" i="4"/>
  <c r="X113" i="4"/>
  <c r="Z113" i="4"/>
  <c r="R113" i="4"/>
  <c r="Q113" i="4"/>
  <c r="J113" i="4"/>
  <c r="O113" i="4"/>
  <c r="AC113" i="4" l="1"/>
  <c r="AB113" i="4"/>
  <c r="S113" i="4"/>
  <c r="C114" i="4"/>
  <c r="P114" i="4" l="1"/>
  <c r="I114" i="4"/>
  <c r="D114" i="4"/>
  <c r="V114" i="4" s="1"/>
  <c r="W114" i="4" s="1"/>
  <c r="AA114" i="4" l="1"/>
  <c r="Z114" i="4"/>
  <c r="X114" i="4"/>
  <c r="Y114" i="4"/>
  <c r="R114" i="4"/>
  <c r="J114" i="4"/>
  <c r="Q114" i="4"/>
  <c r="O114" i="4"/>
  <c r="AC114" i="4" l="1"/>
  <c r="AB114" i="4"/>
  <c r="S114" i="4"/>
  <c r="C115" i="4"/>
  <c r="D115" i="4" l="1"/>
  <c r="V115" i="4" s="1"/>
  <c r="W115" i="4" s="1"/>
  <c r="P115" i="4"/>
  <c r="I115" i="4"/>
  <c r="X115" i="4" l="1"/>
  <c r="Z115" i="4"/>
  <c r="Y115" i="4"/>
  <c r="AA115" i="4"/>
  <c r="Q115" i="4"/>
  <c r="J115" i="4"/>
  <c r="O115" i="4"/>
  <c r="R115" i="4"/>
  <c r="AB115" i="4" l="1"/>
  <c r="AC115" i="4"/>
  <c r="S115" i="4"/>
  <c r="C116" i="4"/>
  <c r="P116" i="4" l="1"/>
  <c r="I116" i="4"/>
  <c r="D116" i="4"/>
  <c r="V116" i="4" s="1"/>
  <c r="W116" i="4" s="1"/>
  <c r="X116" i="4" l="1"/>
  <c r="Z116" i="4" s="1"/>
  <c r="Y116" i="4"/>
  <c r="AA116" i="4"/>
  <c r="R116" i="4"/>
  <c r="J116" i="4"/>
  <c r="Q116" i="4"/>
  <c r="O116" i="4"/>
  <c r="AB116" i="4" l="1"/>
  <c r="AC116" i="4"/>
  <c r="S116" i="4"/>
  <c r="C117" i="4"/>
  <c r="P117" i="4" l="1"/>
  <c r="I117" i="4"/>
  <c r="D117" i="4"/>
  <c r="V117" i="4" s="1"/>
  <c r="W117" i="4" s="1"/>
  <c r="Z117" i="4" l="1"/>
  <c r="X117" i="4"/>
  <c r="AA117" i="4"/>
  <c r="Y117" i="4"/>
  <c r="R117" i="4"/>
  <c r="J117" i="4"/>
  <c r="Q117" i="4"/>
  <c r="O117" i="4"/>
  <c r="AC117" i="4" l="1"/>
  <c r="AB117" i="4"/>
  <c r="S117" i="4"/>
  <c r="C118" i="4"/>
  <c r="P118" i="4" l="1"/>
  <c r="I118" i="4"/>
  <c r="D118" i="4"/>
  <c r="V118" i="4" s="1"/>
  <c r="W118" i="4" s="1"/>
  <c r="Z118" i="4" l="1"/>
  <c r="Y118" i="4"/>
  <c r="AA118" i="4"/>
  <c r="X118" i="4"/>
  <c r="R118" i="4"/>
  <c r="Q118" i="4"/>
  <c r="J118" i="4"/>
  <c r="O118" i="4"/>
  <c r="AB118" i="4" l="1"/>
  <c r="AC118" i="4"/>
  <c r="S118" i="4"/>
  <c r="C119" i="4"/>
  <c r="P119" i="4" l="1"/>
  <c r="I119" i="4"/>
  <c r="D119" i="4"/>
  <c r="V119" i="4" s="1"/>
  <c r="W119" i="4" s="1"/>
  <c r="AA119" i="4" l="1"/>
  <c r="Z119" i="4"/>
  <c r="Y119" i="4"/>
  <c r="X119" i="4"/>
  <c r="R119" i="4"/>
  <c r="J119" i="4"/>
  <c r="O119" i="4"/>
  <c r="Q119" i="4"/>
  <c r="AB119" i="4" l="1"/>
  <c r="AC119" i="4"/>
  <c r="C120" i="4"/>
  <c r="S119" i="4"/>
  <c r="I120" i="4" l="1"/>
  <c r="P120" i="4"/>
  <c r="D120" i="4"/>
  <c r="V120" i="4" s="1"/>
  <c r="W120" i="4" s="1"/>
  <c r="Z120" i="4" l="1"/>
  <c r="X120" i="4"/>
  <c r="AA120" i="4"/>
  <c r="Y120" i="4"/>
  <c r="R120" i="4"/>
  <c r="Q120" i="4"/>
  <c r="J120" i="4"/>
  <c r="O120" i="4"/>
  <c r="AC120" i="4" l="1"/>
  <c r="AB120" i="4"/>
  <c r="C121" i="4"/>
  <c r="S120" i="4"/>
  <c r="D121" i="4" l="1"/>
  <c r="V121" i="4" s="1"/>
  <c r="W121" i="4" s="1"/>
  <c r="P121" i="4"/>
  <c r="I121" i="4"/>
  <c r="AA121" i="4" l="1"/>
  <c r="Y121" i="4"/>
  <c r="X121" i="4"/>
  <c r="Z121" i="4" s="1"/>
  <c r="J121" i="4"/>
  <c r="O121" i="4"/>
  <c r="Q121" i="4"/>
  <c r="R121" i="4"/>
  <c r="AB121" i="4" l="1"/>
  <c r="AC121" i="4"/>
  <c r="S121" i="4"/>
  <c r="C122" i="4"/>
  <c r="I122" i="4" l="1"/>
  <c r="P122" i="4"/>
  <c r="D122" i="4"/>
  <c r="V122" i="4" s="1"/>
  <c r="W122" i="4" s="1"/>
  <c r="AA122" i="4" l="1"/>
  <c r="X122" i="4"/>
  <c r="Z122" i="4"/>
  <c r="Y122" i="4"/>
  <c r="R122" i="4"/>
  <c r="Q122" i="4"/>
  <c r="O122" i="4"/>
  <c r="J122" i="4"/>
  <c r="AB122" i="4" l="1"/>
  <c r="AC122" i="4"/>
  <c r="C123" i="4"/>
  <c r="S122" i="4"/>
  <c r="P123" i="4" l="1"/>
  <c r="I123" i="4"/>
  <c r="D123" i="4"/>
  <c r="V123" i="4" s="1"/>
  <c r="W123" i="4" s="1"/>
  <c r="Y123" i="4" l="1"/>
  <c r="AA123" i="4"/>
  <c r="X123" i="4"/>
  <c r="Z123" i="4" s="1"/>
  <c r="R123" i="4"/>
  <c r="Q123" i="4"/>
  <c r="J123" i="4"/>
  <c r="O123" i="4"/>
  <c r="AC123" i="4" l="1"/>
  <c r="AB123" i="4"/>
  <c r="C124" i="4"/>
  <c r="S123" i="4"/>
  <c r="D124" i="4" l="1"/>
  <c r="V124" i="4" s="1"/>
  <c r="W124" i="4" s="1"/>
  <c r="P124" i="4"/>
  <c r="I124" i="4"/>
  <c r="X124" i="4" l="1"/>
  <c r="AA124" i="4"/>
  <c r="Z124" i="4"/>
  <c r="Y124" i="4"/>
  <c r="Q124" i="4"/>
  <c r="J124" i="4"/>
  <c r="O124" i="4"/>
  <c r="R124" i="4"/>
  <c r="AC124" i="4" l="1"/>
  <c r="AB124" i="4"/>
  <c r="S124" i="4"/>
  <c r="C125" i="4"/>
  <c r="P125" i="4" l="1"/>
  <c r="I125" i="4"/>
  <c r="D125" i="4"/>
  <c r="V125" i="4" s="1"/>
  <c r="W125" i="4" s="1"/>
  <c r="AA125" i="4" l="1"/>
  <c r="Y125" i="4"/>
  <c r="X125" i="4"/>
  <c r="Z125" i="4" s="1"/>
  <c r="R125" i="4"/>
  <c r="Q125" i="4"/>
  <c r="J125" i="4"/>
  <c r="O125" i="4"/>
  <c r="AB125" i="4" l="1"/>
  <c r="AC125" i="4"/>
  <c r="C126" i="4"/>
  <c r="S125" i="4"/>
  <c r="P126" i="4" l="1"/>
  <c r="I126" i="4"/>
  <c r="D126" i="4"/>
  <c r="V126" i="4" s="1"/>
  <c r="W126" i="4" s="1"/>
  <c r="Z126" i="4" l="1"/>
  <c r="X126" i="4"/>
  <c r="Y126" i="4"/>
  <c r="AA126" i="4"/>
  <c r="R126" i="4"/>
  <c r="Q126" i="4"/>
  <c r="O126" i="4"/>
  <c r="J126" i="4"/>
  <c r="AC126" i="4" l="1"/>
  <c r="AB126" i="4"/>
  <c r="C127" i="4"/>
  <c r="S126" i="4"/>
  <c r="D127" i="4" l="1"/>
  <c r="V127" i="4" s="1"/>
  <c r="W127" i="4" s="1"/>
  <c r="P127" i="4"/>
  <c r="I127" i="4"/>
  <c r="Z127" i="4" l="1"/>
  <c r="X127" i="4"/>
  <c r="Y127" i="4"/>
  <c r="AA127" i="4"/>
  <c r="J127" i="4"/>
  <c r="Q127" i="4"/>
  <c r="O127" i="4"/>
  <c r="R127" i="4"/>
  <c r="AB127" i="4" l="1"/>
  <c r="AC127" i="4"/>
  <c r="S127" i="4"/>
  <c r="C128" i="4"/>
  <c r="I128" i="4" l="1"/>
  <c r="P128" i="4"/>
  <c r="D128" i="4"/>
  <c r="V128" i="4" s="1"/>
  <c r="W128" i="4" s="1"/>
  <c r="AA128" i="4" l="1"/>
  <c r="X128" i="4"/>
  <c r="Z128" i="4" s="1"/>
  <c r="Y128" i="4"/>
  <c r="R128" i="4"/>
  <c r="Q128" i="4"/>
  <c r="J128" i="4"/>
  <c r="O128" i="4"/>
  <c r="AB128" i="4" l="1"/>
  <c r="AC128" i="4"/>
  <c r="C129" i="4"/>
  <c r="S128" i="4"/>
  <c r="D129" i="4" l="1"/>
  <c r="V129" i="4" s="1"/>
  <c r="W129" i="4" s="1"/>
  <c r="P129" i="4"/>
  <c r="I129" i="4"/>
  <c r="Z129" i="4" l="1"/>
  <c r="Y129" i="4"/>
  <c r="X129" i="4"/>
  <c r="AA129" i="4"/>
  <c r="J129" i="4"/>
  <c r="Q129" i="4"/>
  <c r="O129" i="4"/>
  <c r="R129" i="4"/>
  <c r="AB129" i="4" l="1"/>
  <c r="AC129" i="4"/>
  <c r="S129" i="4"/>
  <c r="C130" i="4"/>
  <c r="D130" i="4" l="1"/>
  <c r="V130" i="4" s="1"/>
  <c r="W130" i="4" s="1"/>
  <c r="P130" i="4"/>
  <c r="I130" i="4"/>
  <c r="Y130" i="4" l="1"/>
  <c r="Z130" i="4"/>
  <c r="X130" i="4"/>
  <c r="AA130" i="4"/>
  <c r="J130" i="4"/>
  <c r="O130" i="4"/>
  <c r="Q130" i="4"/>
  <c r="R130" i="4"/>
  <c r="AB130" i="4" l="1"/>
  <c r="AC130" i="4"/>
  <c r="S130" i="4"/>
  <c r="C131" i="4"/>
  <c r="D131" i="4" l="1"/>
  <c r="V131" i="4" s="1"/>
  <c r="W131" i="4" s="1"/>
  <c r="P131" i="4"/>
  <c r="I131" i="4"/>
  <c r="Y131" i="4" l="1"/>
  <c r="X131" i="4"/>
  <c r="Z131" i="4" s="1"/>
  <c r="AA131" i="4"/>
  <c r="J131" i="4"/>
  <c r="O131" i="4"/>
  <c r="Q131" i="4"/>
  <c r="R131" i="4"/>
  <c r="AB131" i="4" l="1"/>
  <c r="AC131" i="4"/>
  <c r="S131" i="4"/>
  <c r="C132" i="4"/>
  <c r="P132" i="4" l="1"/>
  <c r="I132" i="4"/>
  <c r="D132" i="4"/>
  <c r="V132" i="4" s="1"/>
  <c r="W132" i="4" s="1"/>
  <c r="X132" i="4" l="1"/>
  <c r="Z132" i="4" s="1"/>
  <c r="Y132" i="4"/>
  <c r="AA132" i="4"/>
  <c r="R132" i="4"/>
  <c r="J132" i="4"/>
  <c r="Q132" i="4"/>
  <c r="O132" i="4"/>
  <c r="AC132" i="4" l="1"/>
  <c r="AB132" i="4"/>
  <c r="C133" i="4"/>
  <c r="S132" i="4"/>
  <c r="D133" i="4" l="1"/>
  <c r="V133" i="4" s="1"/>
  <c r="W133" i="4" s="1"/>
  <c r="I133" i="4"/>
  <c r="P133" i="4"/>
  <c r="Y133" i="4" l="1"/>
  <c r="AA133" i="4"/>
  <c r="X133" i="4"/>
  <c r="Z133" i="4"/>
  <c r="O133" i="4"/>
  <c r="J133" i="4"/>
  <c r="Q133" i="4"/>
  <c r="R133" i="4"/>
  <c r="AB133" i="4" l="1"/>
  <c r="AC133" i="4"/>
  <c r="S133" i="4"/>
  <c r="C134" i="4"/>
  <c r="P134" i="4" l="1"/>
  <c r="I134" i="4"/>
  <c r="D134" i="4"/>
  <c r="V134" i="4" s="1"/>
  <c r="W134" i="4" s="1"/>
  <c r="Y134" i="4" l="1"/>
  <c r="X134" i="4"/>
  <c r="Z134" i="4"/>
  <c r="AA134" i="4"/>
  <c r="R134" i="4"/>
  <c r="O134" i="4"/>
  <c r="Q134" i="4"/>
  <c r="J134" i="4"/>
  <c r="AB134" i="4" l="1"/>
  <c r="AC134" i="4"/>
  <c r="C135" i="4"/>
  <c r="S134" i="4"/>
  <c r="D135" i="4" l="1"/>
  <c r="V135" i="4" s="1"/>
  <c r="W135" i="4" s="1"/>
  <c r="P135" i="4"/>
  <c r="I135" i="4"/>
  <c r="Z135" i="4" l="1"/>
  <c r="Y135" i="4"/>
  <c r="AA135" i="4"/>
  <c r="X135" i="4"/>
  <c r="J135" i="4"/>
  <c r="Q135" i="4"/>
  <c r="O135" i="4"/>
  <c r="R135" i="4"/>
  <c r="AC135" i="4" l="1"/>
  <c r="AB135" i="4"/>
  <c r="S135" i="4"/>
  <c r="C136" i="4"/>
  <c r="I136" i="4" l="1"/>
  <c r="P136" i="4"/>
  <c r="D136" i="4"/>
  <c r="V136" i="4" s="1"/>
  <c r="W136" i="4" s="1"/>
  <c r="X136" i="4" l="1"/>
  <c r="Y136" i="4"/>
  <c r="AA136" i="4"/>
  <c r="Z136" i="4"/>
  <c r="R136" i="4"/>
  <c r="J136" i="4"/>
  <c r="Q136" i="4"/>
  <c r="O136" i="4"/>
  <c r="AB136" i="4" l="1"/>
  <c r="AC136" i="4"/>
  <c r="C137" i="4"/>
  <c r="S136" i="4"/>
  <c r="P137" i="4" l="1"/>
  <c r="I137" i="4"/>
  <c r="D137" i="4"/>
  <c r="V137" i="4" s="1"/>
  <c r="W137" i="4" s="1"/>
  <c r="Z137" i="4" l="1"/>
  <c r="AA137" i="4"/>
  <c r="X137" i="4"/>
  <c r="Y137" i="4"/>
  <c r="R137" i="4"/>
  <c r="J137" i="4"/>
  <c r="Q137" i="4"/>
  <c r="O137" i="4"/>
  <c r="AC137" i="4" l="1"/>
  <c r="AB137" i="4"/>
  <c r="C138" i="4"/>
  <c r="S137" i="4"/>
  <c r="I138" i="4" l="1"/>
  <c r="P138" i="4"/>
  <c r="D138" i="4"/>
  <c r="V138" i="4" s="1"/>
  <c r="W138" i="4" s="1"/>
  <c r="AA138" i="4" l="1"/>
  <c r="Y138" i="4"/>
  <c r="Z138" i="4"/>
  <c r="X138" i="4"/>
  <c r="R138" i="4"/>
  <c r="O138" i="4"/>
  <c r="Q138" i="4"/>
  <c r="J138" i="4"/>
  <c r="AB138" i="4" l="1"/>
  <c r="AC138" i="4"/>
  <c r="C139" i="4"/>
  <c r="S138" i="4"/>
  <c r="P139" i="4" l="1"/>
  <c r="I139" i="4"/>
  <c r="D139" i="4"/>
  <c r="V139" i="4" s="1"/>
  <c r="W139" i="4" s="1"/>
  <c r="AA139" i="4" l="1"/>
  <c r="Y139" i="4"/>
  <c r="X139" i="4"/>
  <c r="Z139" i="4"/>
  <c r="R139" i="4"/>
  <c r="Q139" i="4"/>
  <c r="J139" i="4"/>
  <c r="O139" i="4"/>
  <c r="AB139" i="4" l="1"/>
  <c r="AC139" i="4"/>
  <c r="C140" i="4"/>
  <c r="S139" i="4"/>
  <c r="I140" i="4" l="1"/>
  <c r="P140" i="4"/>
  <c r="D140" i="4"/>
  <c r="V140" i="4" s="1"/>
  <c r="W140" i="4" s="1"/>
  <c r="X140" i="4" l="1"/>
  <c r="AA140" i="4"/>
  <c r="Y140" i="4"/>
  <c r="Z140" i="4"/>
  <c r="R140" i="4"/>
  <c r="J140" i="4"/>
  <c r="Q140" i="4"/>
  <c r="O140" i="4"/>
  <c r="AC140" i="4" l="1"/>
  <c r="AB140" i="4"/>
  <c r="C141" i="4"/>
  <c r="S140" i="4"/>
  <c r="I141" i="4" l="1"/>
  <c r="P141" i="4"/>
  <c r="D141" i="4"/>
  <c r="V141" i="4" s="1"/>
  <c r="W141" i="4" s="1"/>
  <c r="Z141" i="4" l="1"/>
  <c r="AA141" i="4"/>
  <c r="X141" i="4"/>
  <c r="Y141" i="4"/>
  <c r="R141" i="4"/>
  <c r="J141" i="4"/>
  <c r="O141" i="4"/>
  <c r="Q141" i="4"/>
  <c r="AB141" i="4" l="1"/>
  <c r="AC141" i="4"/>
  <c r="C142" i="4"/>
  <c r="S141" i="4"/>
  <c r="D142" i="4" l="1"/>
  <c r="V142" i="4" s="1"/>
  <c r="W142" i="4" s="1"/>
  <c r="P142" i="4"/>
  <c r="I142" i="4"/>
  <c r="Z142" i="4" l="1"/>
  <c r="X142" i="4"/>
  <c r="Y142" i="4"/>
  <c r="AA142" i="4"/>
  <c r="O142" i="4"/>
  <c r="J142" i="4"/>
  <c r="Q142" i="4"/>
  <c r="R142" i="4"/>
  <c r="AB142" i="4" l="1"/>
  <c r="AC142" i="4"/>
  <c r="S142" i="4"/>
  <c r="C143" i="4"/>
  <c r="D143" i="4" l="1"/>
  <c r="V143" i="4" s="1"/>
  <c r="W143" i="4" s="1"/>
  <c r="P143" i="4"/>
  <c r="I143" i="4"/>
  <c r="Y143" i="4" l="1"/>
  <c r="Z143" i="4"/>
  <c r="X143" i="4"/>
  <c r="AA143" i="4"/>
  <c r="J143" i="4"/>
  <c r="Q143" i="4"/>
  <c r="O143" i="4"/>
  <c r="R143" i="4"/>
  <c r="AC143" i="4" l="1"/>
  <c r="AB143" i="4"/>
  <c r="S143" i="4"/>
  <c r="C144" i="4"/>
  <c r="AF18" i="4"/>
  <c r="AF19" i="4"/>
  <c r="AG16" i="4"/>
  <c r="AG17" i="4"/>
  <c r="AG18" i="4"/>
  <c r="AH15" i="4"/>
  <c r="AF17" i="4"/>
  <c r="AG19" i="4"/>
  <c r="AF16" i="4"/>
  <c r="P144" i="4" l="1"/>
  <c r="I144" i="4"/>
  <c r="D144" i="4"/>
  <c r="V144" i="4" s="1"/>
  <c r="W144" i="4" s="1"/>
  <c r="AI19" i="4"/>
  <c r="AI17" i="4"/>
  <c r="AH17" i="4"/>
  <c r="AI18" i="4"/>
  <c r="AH18" i="4"/>
  <c r="AI16" i="4"/>
  <c r="AH16" i="4"/>
  <c r="AA144" i="4" l="1"/>
  <c r="Y144" i="4"/>
  <c r="X144" i="4"/>
  <c r="Z144" i="4" s="1"/>
  <c r="R144" i="4"/>
  <c r="J144" i="4"/>
  <c r="Q144" i="4"/>
  <c r="O144" i="4"/>
  <c r="AB144" i="4" l="1"/>
  <c r="AC144" i="4"/>
  <c r="C145" i="4"/>
  <c r="S144" i="4"/>
  <c r="P145" i="4" l="1"/>
  <c r="I145" i="4"/>
  <c r="D145" i="4"/>
  <c r="V145" i="4" s="1"/>
  <c r="W145" i="4" s="1"/>
  <c r="X145" i="4" l="1"/>
  <c r="Y145" i="4"/>
  <c r="AA145" i="4"/>
  <c r="Z145" i="4"/>
  <c r="R145" i="4"/>
  <c r="O145" i="4"/>
  <c r="J145" i="4"/>
  <c r="Q145" i="4"/>
  <c r="AB145" i="4" l="1"/>
  <c r="AC145" i="4"/>
  <c r="C146" i="4"/>
  <c r="S145" i="4"/>
  <c r="P146" i="4" l="1"/>
  <c r="I146" i="4"/>
  <c r="D146" i="4"/>
  <c r="V146" i="4" s="1"/>
  <c r="W146" i="4" s="1"/>
  <c r="Y146" i="4" l="1"/>
  <c r="X146" i="4"/>
  <c r="AA146" i="4"/>
  <c r="Z146" i="4"/>
  <c r="R146" i="4"/>
  <c r="O146" i="4"/>
  <c r="J146" i="4"/>
  <c r="Q146" i="4"/>
  <c r="AB146" i="4" l="1"/>
  <c r="AC146" i="4"/>
  <c r="C147" i="4"/>
  <c r="S146" i="4"/>
  <c r="P147" i="4" l="1"/>
  <c r="I147" i="4"/>
  <c r="D147" i="4"/>
  <c r="V147" i="4" s="1"/>
  <c r="W147" i="4" s="1"/>
  <c r="Y147" i="4" l="1"/>
  <c r="AA147" i="4"/>
  <c r="X147" i="4"/>
  <c r="Z147" i="4" s="1"/>
  <c r="R147" i="4"/>
  <c r="O147" i="4"/>
  <c r="J147" i="4"/>
  <c r="Q147" i="4"/>
  <c r="AB147" i="4" l="1"/>
  <c r="AC147" i="4"/>
  <c r="C148" i="4"/>
  <c r="S147" i="4"/>
  <c r="I148" i="4" l="1"/>
  <c r="P148" i="4"/>
  <c r="D148" i="4"/>
  <c r="V148" i="4" s="1"/>
  <c r="W148" i="4" s="1"/>
  <c r="Z148" i="4" l="1"/>
  <c r="AA148" i="4"/>
  <c r="Y148" i="4"/>
  <c r="X148" i="4"/>
  <c r="R148" i="4"/>
  <c r="O148" i="4"/>
  <c r="J148" i="4"/>
  <c r="Q148" i="4"/>
  <c r="AB148" i="4" l="1"/>
  <c r="AC148" i="4"/>
  <c r="C149" i="4"/>
  <c r="S148" i="4"/>
  <c r="D149" i="4" l="1"/>
  <c r="V149" i="4" s="1"/>
  <c r="W149" i="4" s="1"/>
  <c r="P149" i="4"/>
  <c r="I149" i="4"/>
  <c r="Y149" i="4" l="1"/>
  <c r="AA149" i="4"/>
  <c r="X149" i="4"/>
  <c r="Z149" i="4" s="1"/>
  <c r="J149" i="4"/>
  <c r="Q149" i="4"/>
  <c r="O149" i="4"/>
  <c r="R149" i="4"/>
  <c r="AC149" i="4" l="1"/>
  <c r="AB149" i="4"/>
  <c r="S149" i="4"/>
  <c r="C150" i="4"/>
  <c r="P150" i="4" l="1"/>
  <c r="I150" i="4"/>
  <c r="D150" i="4"/>
  <c r="V150" i="4" s="1"/>
  <c r="W150" i="4" s="1"/>
  <c r="Z150" i="4" l="1"/>
  <c r="X150" i="4"/>
  <c r="Y150" i="4"/>
  <c r="AA150" i="4"/>
  <c r="R150" i="4"/>
  <c r="O150" i="4"/>
  <c r="J150" i="4"/>
  <c r="Q150" i="4"/>
  <c r="AB150" i="4" l="1"/>
  <c r="AC150" i="4"/>
  <c r="C151" i="4"/>
  <c r="S150" i="4"/>
  <c r="P151" i="4" l="1"/>
  <c r="I151" i="4"/>
  <c r="D151" i="4"/>
  <c r="V151" i="4" s="1"/>
  <c r="W151" i="4" s="1"/>
  <c r="X151" i="4" l="1"/>
  <c r="AA151" i="4"/>
  <c r="Z151" i="4"/>
  <c r="Y151" i="4"/>
  <c r="R151" i="4"/>
  <c r="Q151" i="4"/>
  <c r="O151" i="4"/>
  <c r="J151" i="4"/>
  <c r="AC151" i="4" l="1"/>
  <c r="AB151" i="4"/>
  <c r="C152" i="4"/>
  <c r="S151" i="4"/>
  <c r="I152" i="4" l="1"/>
  <c r="P152" i="4"/>
  <c r="D152" i="4"/>
  <c r="V152" i="4" s="1"/>
  <c r="W152" i="4" s="1"/>
  <c r="X152" i="4" l="1"/>
  <c r="Z152" i="4" s="1"/>
  <c r="AA152" i="4"/>
  <c r="Y152" i="4"/>
  <c r="R152" i="4"/>
  <c r="Q152" i="4"/>
  <c r="J152" i="4"/>
  <c r="O152" i="4"/>
  <c r="AB152" i="4" l="1"/>
  <c r="AC152" i="4"/>
  <c r="C153" i="4"/>
  <c r="S152" i="4"/>
  <c r="I153" i="4" l="1"/>
  <c r="P153" i="4"/>
  <c r="D153" i="4"/>
  <c r="V153" i="4" s="1"/>
  <c r="W153" i="4" s="1"/>
  <c r="Y153" i="4" l="1"/>
  <c r="X153" i="4"/>
  <c r="AA153" i="4"/>
  <c r="Z153" i="4"/>
  <c r="R153" i="4"/>
  <c r="J153" i="4"/>
  <c r="Q153" i="4"/>
  <c r="O153" i="4"/>
  <c r="AB153" i="4" l="1"/>
  <c r="AC153" i="4"/>
  <c r="C154" i="4"/>
  <c r="S153" i="4"/>
  <c r="P154" i="4" l="1"/>
  <c r="I154" i="4"/>
  <c r="D154" i="4"/>
  <c r="V154" i="4" s="1"/>
  <c r="W154" i="4" s="1"/>
  <c r="X154" i="4" l="1"/>
  <c r="Z154" i="4" s="1"/>
  <c r="Y154" i="4"/>
  <c r="AA154" i="4"/>
  <c r="R154" i="4"/>
  <c r="J154" i="4"/>
  <c r="Q154" i="4"/>
  <c r="O154" i="4"/>
  <c r="AB154" i="4" l="1"/>
  <c r="AC154" i="4"/>
  <c r="C155" i="4"/>
  <c r="S154" i="4"/>
  <c r="D155" i="4" l="1"/>
  <c r="V155" i="4" s="1"/>
  <c r="W155" i="4" s="1"/>
  <c r="P155" i="4"/>
  <c r="I155" i="4"/>
  <c r="AA155" i="4" l="1"/>
  <c r="Y155" i="4"/>
  <c r="X155" i="4"/>
  <c r="Z155" i="4"/>
  <c r="Q155" i="4"/>
  <c r="J155" i="4"/>
  <c r="O155" i="4"/>
  <c r="R155" i="4"/>
  <c r="AB155" i="4" l="1"/>
  <c r="AC155" i="4"/>
  <c r="S155" i="4"/>
  <c r="C156" i="4"/>
  <c r="D156" i="4" l="1"/>
  <c r="V156" i="4" s="1"/>
  <c r="W156" i="4" s="1"/>
  <c r="I156" i="4"/>
  <c r="P156" i="4"/>
  <c r="AA156" i="4" l="1"/>
  <c r="X156" i="4"/>
  <c r="Z156" i="4"/>
  <c r="Y156" i="4"/>
  <c r="J156" i="4"/>
  <c r="Q156" i="4"/>
  <c r="O156" i="4"/>
  <c r="R156" i="4"/>
  <c r="AB156" i="4" l="1"/>
  <c r="AC156" i="4"/>
  <c r="S156" i="4"/>
  <c r="C157" i="4"/>
  <c r="D157" i="4" l="1"/>
  <c r="V157" i="4" s="1"/>
  <c r="W157" i="4" s="1"/>
  <c r="P157" i="4"/>
  <c r="I157" i="4"/>
  <c r="Y157" i="4" l="1"/>
  <c r="Z157" i="4"/>
  <c r="X157" i="4"/>
  <c r="AA157" i="4"/>
  <c r="J157" i="4"/>
  <c r="Q157" i="4"/>
  <c r="O157" i="4"/>
  <c r="R157" i="4"/>
  <c r="AC157" i="4" l="1"/>
  <c r="AB157" i="4"/>
  <c r="S157" i="4"/>
  <c r="C158" i="4"/>
  <c r="D158" i="4" l="1"/>
  <c r="V158" i="4" s="1"/>
  <c r="W158" i="4" s="1"/>
  <c r="P158" i="4"/>
  <c r="I158" i="4"/>
  <c r="AA158" i="4" l="1"/>
  <c r="Z158" i="4"/>
  <c r="X158" i="4"/>
  <c r="Y158" i="4"/>
  <c r="Q158" i="4"/>
  <c r="J158" i="4"/>
  <c r="O158" i="4"/>
  <c r="R158" i="4"/>
  <c r="AC158" i="4" l="1"/>
  <c r="AB158" i="4"/>
  <c r="S158" i="4"/>
  <c r="C159" i="4"/>
  <c r="P159" i="4" l="1"/>
  <c r="I159" i="4"/>
  <c r="D159" i="4"/>
  <c r="V159" i="4" s="1"/>
  <c r="W159" i="4" s="1"/>
  <c r="Y159" i="4" l="1"/>
  <c r="X159" i="4"/>
  <c r="AA159" i="4"/>
  <c r="Z159" i="4"/>
  <c r="R159" i="4"/>
  <c r="O159" i="4"/>
  <c r="J159" i="4"/>
  <c r="Q159" i="4"/>
  <c r="AB159" i="4" l="1"/>
  <c r="AC159" i="4"/>
  <c r="C160" i="4"/>
  <c r="S159" i="4"/>
  <c r="P160" i="4" l="1"/>
  <c r="I160" i="4"/>
  <c r="D160" i="4"/>
  <c r="V160" i="4" s="1"/>
  <c r="W160" i="4" s="1"/>
  <c r="Z160" i="4" l="1"/>
  <c r="AA160" i="4"/>
  <c r="X160" i="4"/>
  <c r="Y160" i="4"/>
  <c r="R160" i="4"/>
  <c r="Q160" i="4"/>
  <c r="J160" i="4"/>
  <c r="O160" i="4"/>
  <c r="AB160" i="4" l="1"/>
  <c r="AC160" i="4"/>
  <c r="C161" i="4"/>
  <c r="S160" i="4"/>
  <c r="D161" i="4" l="1"/>
  <c r="V161" i="4" s="1"/>
  <c r="W161" i="4" s="1"/>
  <c r="P161" i="4"/>
  <c r="I161" i="4"/>
  <c r="X161" i="4" l="1"/>
  <c r="Z161" i="4"/>
  <c r="Y161" i="4"/>
  <c r="AA161" i="4"/>
  <c r="O161" i="4"/>
  <c r="J161" i="4"/>
  <c r="Q161" i="4"/>
  <c r="R161" i="4"/>
  <c r="AB161" i="4" l="1"/>
  <c r="AC161" i="4"/>
  <c r="S161" i="4"/>
  <c r="C162" i="4"/>
  <c r="D162" i="4" l="1"/>
  <c r="V162" i="4" s="1"/>
  <c r="W162" i="4" s="1"/>
  <c r="P162" i="4"/>
  <c r="I162" i="4"/>
  <c r="AA162" i="4" l="1"/>
  <c r="Y162" i="4"/>
  <c r="X162" i="4"/>
  <c r="Z162" i="4" s="1"/>
  <c r="J162" i="4"/>
  <c r="Q162" i="4"/>
  <c r="O162" i="4"/>
  <c r="R162" i="4"/>
  <c r="AB162" i="4" l="1"/>
  <c r="AC162" i="4"/>
  <c r="S162" i="4"/>
  <c r="C163" i="4"/>
  <c r="P163" i="4" l="1"/>
  <c r="I163" i="4"/>
  <c r="D163" i="4"/>
  <c r="V163" i="4" s="1"/>
  <c r="W163" i="4" s="1"/>
  <c r="X163" i="4" l="1"/>
  <c r="Y163" i="4"/>
  <c r="AA163" i="4"/>
  <c r="Z163" i="4"/>
  <c r="R163" i="4"/>
  <c r="O163" i="4"/>
  <c r="Q163" i="4"/>
  <c r="J163" i="4"/>
  <c r="AC163" i="4" l="1"/>
  <c r="AB163" i="4"/>
  <c r="C164" i="4"/>
  <c r="S163" i="4"/>
  <c r="I164" i="4" l="1"/>
  <c r="P164" i="4"/>
  <c r="D164" i="4"/>
  <c r="V164" i="4" s="1"/>
  <c r="W164" i="4" s="1"/>
  <c r="AA164" i="4" l="1"/>
  <c r="Y164" i="4"/>
  <c r="X164" i="4"/>
  <c r="Z164" i="4"/>
  <c r="R164" i="4"/>
  <c r="J164" i="4"/>
  <c r="Q164" i="4"/>
  <c r="O164" i="4"/>
  <c r="AC164" i="4" l="1"/>
  <c r="AB164" i="4"/>
  <c r="C165" i="4"/>
  <c r="S164" i="4"/>
  <c r="I165" i="4" l="1"/>
  <c r="P165" i="4"/>
  <c r="D165" i="4"/>
  <c r="V165" i="4" s="1"/>
  <c r="W165" i="4" s="1"/>
  <c r="Y165" i="4" l="1"/>
  <c r="X165" i="4"/>
  <c r="Z165" i="4"/>
  <c r="AA165" i="4"/>
  <c r="R165" i="4"/>
  <c r="J165" i="4"/>
  <c r="O165" i="4"/>
  <c r="Q165" i="4"/>
  <c r="AB165" i="4" l="1"/>
  <c r="AC165" i="4"/>
  <c r="C166" i="4"/>
  <c r="S165" i="4"/>
  <c r="I166" i="4" l="1"/>
  <c r="P166" i="4"/>
  <c r="D166" i="4"/>
  <c r="V166" i="4" s="1"/>
  <c r="W166" i="4" s="1"/>
  <c r="Z166" i="4" l="1"/>
  <c r="AA166" i="4"/>
  <c r="X166" i="4"/>
  <c r="Y166" i="4"/>
  <c r="R166" i="4"/>
  <c r="J166" i="4"/>
  <c r="Q166" i="4"/>
  <c r="O166" i="4"/>
  <c r="AC166" i="4" l="1"/>
  <c r="AB166" i="4"/>
  <c r="C167" i="4"/>
  <c r="S166" i="4"/>
  <c r="I167" i="4" l="1"/>
  <c r="P167" i="4"/>
  <c r="D167" i="4"/>
  <c r="V167" i="4" s="1"/>
  <c r="W167" i="4" s="1"/>
  <c r="Y167" i="4" l="1"/>
  <c r="X167" i="4"/>
  <c r="Z167" i="4"/>
  <c r="AA167" i="4"/>
  <c r="R167" i="4"/>
  <c r="J167" i="4"/>
  <c r="Q167" i="4"/>
  <c r="O167" i="4"/>
  <c r="AB167" i="4" l="1"/>
  <c r="AC167" i="4"/>
  <c r="C168" i="4"/>
  <c r="S167" i="4"/>
  <c r="P168" i="4" l="1"/>
  <c r="I168" i="4"/>
  <c r="D168" i="4"/>
  <c r="V168" i="4" s="1"/>
  <c r="W168" i="4" s="1"/>
  <c r="AA168" i="4" l="1"/>
  <c r="Y168" i="4"/>
  <c r="Z168" i="4"/>
  <c r="X168" i="4"/>
  <c r="R168" i="4"/>
  <c r="J168" i="4"/>
  <c r="Q168" i="4"/>
  <c r="O168" i="4"/>
  <c r="AB168" i="4" l="1"/>
  <c r="AC168" i="4"/>
  <c r="C169" i="4"/>
  <c r="S168" i="4"/>
  <c r="I169" i="4" l="1"/>
  <c r="P169" i="4"/>
  <c r="D169" i="4"/>
  <c r="V169" i="4" s="1"/>
  <c r="W169" i="4" s="1"/>
  <c r="AA169" i="4" l="1"/>
  <c r="X169" i="4"/>
  <c r="Y169" i="4"/>
  <c r="Z169" i="4"/>
  <c r="R169" i="4"/>
  <c r="J169" i="4"/>
  <c r="Q169" i="4"/>
  <c r="O169" i="4"/>
  <c r="AC169" i="4" l="1"/>
  <c r="AB169" i="4"/>
  <c r="C170" i="4"/>
  <c r="S169" i="4"/>
  <c r="P170" i="4" l="1"/>
  <c r="I170" i="4"/>
  <c r="D170" i="4"/>
  <c r="V170" i="4" s="1"/>
  <c r="W170" i="4" s="1"/>
  <c r="X170" i="4" l="1"/>
  <c r="Z170" i="4" s="1"/>
  <c r="AA170" i="4"/>
  <c r="Y170" i="4"/>
  <c r="R170" i="4"/>
  <c r="Q170" i="4"/>
  <c r="J170" i="4"/>
  <c r="O170" i="4"/>
  <c r="AC170" i="4" l="1"/>
  <c r="AB170" i="4"/>
  <c r="C171" i="4"/>
  <c r="S170" i="4"/>
  <c r="P171" i="4" l="1"/>
  <c r="I171" i="4"/>
  <c r="D171" i="4"/>
  <c r="V171" i="4" s="1"/>
  <c r="W171" i="4" s="1"/>
  <c r="AA171" i="4" l="1"/>
  <c r="Y171" i="4"/>
  <c r="X171" i="4"/>
  <c r="Z171" i="4"/>
  <c r="R171" i="4"/>
  <c r="J171" i="4"/>
  <c r="Q171" i="4"/>
  <c r="O171" i="4"/>
  <c r="AC171" i="4" l="1"/>
  <c r="AB171" i="4"/>
  <c r="C172" i="4"/>
  <c r="S171" i="4"/>
  <c r="P172" i="4" l="1"/>
  <c r="I172" i="4"/>
  <c r="D172" i="4"/>
  <c r="V172" i="4" s="1"/>
  <c r="W172" i="4" s="1"/>
  <c r="Y172" i="4" l="1"/>
  <c r="AA172" i="4"/>
  <c r="Z172" i="4"/>
  <c r="X172" i="4"/>
  <c r="R172" i="4"/>
  <c r="J172" i="4"/>
  <c r="Q172" i="4"/>
  <c r="O172" i="4"/>
  <c r="AB172" i="4" l="1"/>
  <c r="AC172" i="4"/>
  <c r="C173" i="4"/>
  <c r="S172" i="4"/>
  <c r="P173" i="4" l="1"/>
  <c r="I173" i="4"/>
  <c r="D173" i="4"/>
  <c r="V173" i="4" s="1"/>
  <c r="W173" i="4" s="1"/>
  <c r="Y173" i="4" l="1"/>
  <c r="X173" i="4"/>
  <c r="Z173" i="4" s="1"/>
  <c r="AA173" i="4"/>
  <c r="R173" i="4"/>
  <c r="J173" i="4"/>
  <c r="Q173" i="4"/>
  <c r="O173" i="4"/>
  <c r="AC173" i="4" l="1"/>
  <c r="AB173" i="4"/>
  <c r="C174" i="4"/>
  <c r="S173" i="4"/>
  <c r="P174" i="4" l="1"/>
  <c r="I174" i="4"/>
  <c r="D174" i="4"/>
  <c r="V174" i="4" s="1"/>
  <c r="W174" i="4" s="1"/>
  <c r="Z174" i="4" l="1"/>
  <c r="Y174" i="4"/>
  <c r="X174" i="4"/>
  <c r="AA174" i="4"/>
  <c r="R174" i="4"/>
  <c r="J174" i="4"/>
  <c r="Q174" i="4"/>
  <c r="O174" i="4"/>
  <c r="AB174" i="4" l="1"/>
  <c r="AC174" i="4"/>
  <c r="C175" i="4"/>
  <c r="S174" i="4"/>
  <c r="P175" i="4" l="1"/>
  <c r="I175" i="4"/>
  <c r="D175" i="4"/>
  <c r="V175" i="4" s="1"/>
  <c r="W175" i="4" s="1"/>
  <c r="Y175" i="4" l="1"/>
  <c r="X175" i="4"/>
  <c r="AA175" i="4"/>
  <c r="Z175" i="4"/>
  <c r="R175" i="4"/>
  <c r="O175" i="4"/>
  <c r="Q175" i="4"/>
  <c r="J175" i="4"/>
  <c r="AG20" i="4"/>
  <c r="AF20" i="4"/>
  <c r="AC175" i="4" l="1"/>
  <c r="AB175" i="4"/>
  <c r="C176" i="4"/>
  <c r="S175" i="4"/>
  <c r="AI20" i="4"/>
  <c r="P176" i="4" l="1"/>
  <c r="I176" i="4"/>
  <c r="D176" i="4"/>
  <c r="V176" i="4" s="1"/>
  <c r="W176" i="4" s="1"/>
  <c r="X176" i="4" l="1"/>
  <c r="Z176" i="4" s="1"/>
  <c r="AA176" i="4"/>
  <c r="Y176" i="4"/>
  <c r="R176" i="4"/>
  <c r="J176" i="4"/>
  <c r="O176" i="4"/>
  <c r="Q176" i="4"/>
  <c r="AB176" i="4" l="1"/>
  <c r="AC176" i="4"/>
  <c r="C177" i="4"/>
  <c r="S176" i="4"/>
  <c r="P177" i="4" l="1"/>
  <c r="I177" i="4"/>
  <c r="D177" i="4"/>
  <c r="V177" i="4" s="1"/>
  <c r="W177" i="4" s="1"/>
  <c r="Y177" i="4" l="1"/>
  <c r="Z177" i="4"/>
  <c r="X177" i="4"/>
  <c r="AA177" i="4"/>
  <c r="R177" i="4"/>
  <c r="Q177" i="4"/>
  <c r="J177" i="4"/>
  <c r="O177" i="4"/>
  <c r="AC177" i="4" l="1"/>
  <c r="AB177" i="4"/>
  <c r="C178" i="4"/>
  <c r="S177" i="4"/>
  <c r="P178" i="4" l="1"/>
  <c r="I178" i="4"/>
  <c r="D178" i="4"/>
  <c r="V178" i="4" s="1"/>
  <c r="W178" i="4" s="1"/>
  <c r="Y178" i="4" l="1"/>
  <c r="X178" i="4"/>
  <c r="Z178" i="4" s="1"/>
  <c r="AA178" i="4"/>
  <c r="R178" i="4"/>
  <c r="Q178" i="4"/>
  <c r="O178" i="4"/>
  <c r="J178" i="4"/>
  <c r="AB178" i="4" l="1"/>
  <c r="AC178" i="4"/>
  <c r="C179" i="4"/>
  <c r="S178" i="4"/>
  <c r="I179" i="4" l="1"/>
  <c r="P179" i="4"/>
  <c r="D179" i="4"/>
  <c r="V179" i="4" s="1"/>
  <c r="W179" i="4" s="1"/>
  <c r="Y179" i="4" l="1"/>
  <c r="AA179" i="4"/>
  <c r="Z179" i="4"/>
  <c r="X179" i="4"/>
  <c r="R179" i="4"/>
  <c r="Q179" i="4"/>
  <c r="O179" i="4"/>
  <c r="J179" i="4"/>
  <c r="AB179" i="4" l="1"/>
  <c r="AC179" i="4"/>
  <c r="C180" i="4"/>
  <c r="S179" i="4"/>
  <c r="D180" i="4" l="1"/>
  <c r="V180" i="4" s="1"/>
  <c r="W180" i="4" s="1"/>
  <c r="I180" i="4"/>
  <c r="P180" i="4"/>
  <c r="X180" i="4" l="1"/>
  <c r="AA180" i="4"/>
  <c r="Y180" i="4"/>
  <c r="Z180" i="4"/>
  <c r="O180" i="4"/>
  <c r="J180" i="4"/>
  <c r="Q180" i="4"/>
  <c r="R180" i="4"/>
  <c r="AC180" i="4" l="1"/>
  <c r="AB180" i="4"/>
  <c r="S180" i="4"/>
  <c r="C181" i="4"/>
  <c r="I181" i="4" l="1"/>
  <c r="P181" i="4"/>
  <c r="D181" i="4"/>
  <c r="V181" i="4" s="1"/>
  <c r="W181" i="4" s="1"/>
  <c r="Y181" i="4" l="1"/>
  <c r="Z181" i="4"/>
  <c r="X181" i="4"/>
  <c r="AA181" i="4"/>
  <c r="R181" i="4"/>
  <c r="J181" i="4"/>
  <c r="Q181" i="4"/>
  <c r="O181" i="4"/>
  <c r="AB181" i="4" l="1"/>
  <c r="AC181" i="4"/>
  <c r="C182" i="4"/>
  <c r="S181" i="4"/>
  <c r="I182" i="4" l="1"/>
  <c r="P182" i="4"/>
  <c r="D182" i="4"/>
  <c r="V182" i="4" s="1"/>
  <c r="W182" i="4" s="1"/>
  <c r="X182" i="4" l="1"/>
  <c r="Z182" i="4" s="1"/>
  <c r="AA182" i="4"/>
  <c r="Y182" i="4"/>
  <c r="R182" i="4"/>
  <c r="Q182" i="4"/>
  <c r="O182" i="4"/>
  <c r="J182" i="4"/>
  <c r="AC182" i="4" l="1"/>
  <c r="AB182" i="4"/>
  <c r="C183" i="4"/>
  <c r="S182" i="4"/>
  <c r="P183" i="4" l="1"/>
  <c r="I183" i="4"/>
  <c r="D183" i="4"/>
  <c r="V183" i="4" s="1"/>
  <c r="W183" i="4" s="1"/>
  <c r="AA183" i="4" l="1"/>
  <c r="X183" i="4"/>
  <c r="Z183" i="4"/>
  <c r="Y183" i="4"/>
  <c r="R183" i="4"/>
  <c r="Q183" i="4"/>
  <c r="J183" i="4"/>
  <c r="O183" i="4"/>
  <c r="AC183" i="4" l="1"/>
  <c r="AB183" i="4"/>
  <c r="C184" i="4"/>
  <c r="S183" i="4"/>
  <c r="P184" i="4" l="1"/>
  <c r="I184" i="4"/>
  <c r="D184" i="4"/>
  <c r="V184" i="4" s="1"/>
  <c r="W184" i="4" s="1"/>
  <c r="X184" i="4" l="1"/>
  <c r="Z184" i="4"/>
  <c r="AA184" i="4"/>
  <c r="Y184" i="4"/>
  <c r="R184" i="4"/>
  <c r="O184" i="4"/>
  <c r="J184" i="4"/>
  <c r="Q184" i="4"/>
  <c r="AC184" i="4" l="1"/>
  <c r="AB184" i="4"/>
  <c r="C185" i="4"/>
  <c r="S184" i="4"/>
  <c r="I185" i="4" l="1"/>
  <c r="P185" i="4"/>
  <c r="D185" i="4"/>
  <c r="V185" i="4" s="1"/>
  <c r="W185" i="4" s="1"/>
  <c r="Y185" i="4" l="1"/>
  <c r="AA185" i="4"/>
  <c r="X185" i="4"/>
  <c r="Z185" i="4"/>
  <c r="R185" i="4"/>
  <c r="J185" i="4"/>
  <c r="Q185" i="4"/>
  <c r="O185" i="4"/>
  <c r="AC185" i="4" l="1"/>
  <c r="AB185" i="4"/>
  <c r="C186" i="4"/>
  <c r="S185" i="4"/>
  <c r="P186" i="4" l="1"/>
  <c r="I186" i="4"/>
  <c r="D186" i="4"/>
  <c r="V186" i="4" s="1"/>
  <c r="W186" i="4" s="1"/>
  <c r="AA186" i="4" l="1"/>
  <c r="Z186" i="4"/>
  <c r="Y186" i="4"/>
  <c r="X186" i="4"/>
  <c r="R186" i="4"/>
  <c r="O186" i="4"/>
  <c r="J186" i="4"/>
  <c r="Q186" i="4"/>
  <c r="AB186" i="4" l="1"/>
  <c r="AC186" i="4"/>
  <c r="C187" i="4"/>
  <c r="S186" i="4"/>
  <c r="P187" i="4" l="1"/>
  <c r="I187" i="4"/>
  <c r="D187" i="4"/>
  <c r="V187" i="4" s="1"/>
  <c r="W187" i="4" s="1"/>
  <c r="Y187" i="4" l="1"/>
  <c r="Z187" i="4"/>
  <c r="AA187" i="4"/>
  <c r="X187" i="4"/>
  <c r="R187" i="4"/>
  <c r="Q187" i="4"/>
  <c r="O187" i="4"/>
  <c r="J187" i="4"/>
  <c r="AB187" i="4" l="1"/>
  <c r="AC187" i="4"/>
  <c r="C188" i="4"/>
  <c r="S187" i="4"/>
  <c r="I188" i="4" l="1"/>
  <c r="P188" i="4"/>
  <c r="D188" i="4"/>
  <c r="V188" i="4" s="1"/>
  <c r="W188" i="4" s="1"/>
  <c r="AA188" i="4" l="1"/>
  <c r="Z188" i="4"/>
  <c r="X188" i="4"/>
  <c r="Y188" i="4"/>
  <c r="R188" i="4"/>
  <c r="J188" i="4"/>
  <c r="O188" i="4"/>
  <c r="Q188" i="4"/>
  <c r="AB188" i="4" l="1"/>
  <c r="AC188" i="4"/>
  <c r="C189" i="4"/>
  <c r="S188" i="4"/>
  <c r="D189" i="4" l="1"/>
  <c r="V189" i="4" s="1"/>
  <c r="W189" i="4" s="1"/>
  <c r="P189" i="4"/>
  <c r="I189" i="4"/>
  <c r="X189" i="4" l="1"/>
  <c r="Z189" i="4" s="1"/>
  <c r="AA189" i="4"/>
  <c r="Y189" i="4"/>
  <c r="J189" i="4"/>
  <c r="O189" i="4"/>
  <c r="Q189" i="4"/>
  <c r="R189" i="4"/>
  <c r="AC189" i="4" l="1"/>
  <c r="AB189" i="4"/>
  <c r="S189" i="4"/>
  <c r="C190" i="4"/>
  <c r="D190" i="4" l="1"/>
  <c r="V190" i="4" s="1"/>
  <c r="W190" i="4" s="1"/>
  <c r="I190" i="4"/>
  <c r="P190" i="4"/>
  <c r="AA190" i="4" l="1"/>
  <c r="Y190" i="4"/>
  <c r="X190" i="4"/>
  <c r="Z190" i="4" s="1"/>
  <c r="O190" i="4"/>
  <c r="J190" i="4"/>
  <c r="Q190" i="4"/>
  <c r="R190" i="4"/>
  <c r="AB190" i="4" l="1"/>
  <c r="AC190" i="4"/>
  <c r="S190" i="4"/>
  <c r="C191" i="4"/>
  <c r="D191" i="4" l="1"/>
  <c r="V191" i="4" s="1"/>
  <c r="W191" i="4" s="1"/>
  <c r="P191" i="4"/>
  <c r="I191" i="4"/>
  <c r="Z191" i="4" l="1"/>
  <c r="X191" i="4"/>
  <c r="AA191" i="4"/>
  <c r="Y191" i="4"/>
  <c r="Q191" i="4"/>
  <c r="J191" i="4"/>
  <c r="O191" i="4"/>
  <c r="R191" i="4"/>
  <c r="AC191" i="4" l="1"/>
  <c r="AB191" i="4"/>
  <c r="S191" i="4"/>
  <c r="C192" i="4"/>
  <c r="D192" i="4" l="1"/>
  <c r="V192" i="4" s="1"/>
  <c r="W192" i="4" s="1"/>
  <c r="P192" i="4"/>
  <c r="I192" i="4"/>
  <c r="Y192" i="4" l="1"/>
  <c r="AA192" i="4"/>
  <c r="X192" i="4"/>
  <c r="Z192" i="4"/>
  <c r="J192" i="4"/>
  <c r="Q192" i="4"/>
  <c r="O192" i="4"/>
  <c r="R192" i="4"/>
  <c r="AB192" i="4" l="1"/>
  <c r="AC192" i="4"/>
  <c r="S192" i="4"/>
  <c r="C193" i="4"/>
  <c r="I193" i="4" l="1"/>
  <c r="P193" i="4"/>
  <c r="D193" i="4"/>
  <c r="V193" i="4" s="1"/>
  <c r="W193" i="4" s="1"/>
  <c r="AA193" i="4" l="1"/>
  <c r="X193" i="4"/>
  <c r="Z193" i="4"/>
  <c r="Y193" i="4"/>
  <c r="R193" i="4"/>
  <c r="J193" i="4"/>
  <c r="Q193" i="4"/>
  <c r="O193" i="4"/>
  <c r="AB193" i="4" l="1"/>
  <c r="AC193" i="4"/>
  <c r="C194" i="4"/>
  <c r="S193" i="4"/>
  <c r="P194" i="4" l="1"/>
  <c r="I194" i="4"/>
  <c r="D194" i="4"/>
  <c r="V194" i="4" s="1"/>
  <c r="W194" i="4" s="1"/>
  <c r="AA194" i="4" l="1"/>
  <c r="Z194" i="4"/>
  <c r="X194" i="4"/>
  <c r="Y194" i="4"/>
  <c r="R194" i="4"/>
  <c r="J194" i="4"/>
  <c r="Q194" i="4"/>
  <c r="O194" i="4"/>
  <c r="AB194" i="4" l="1"/>
  <c r="AC194" i="4"/>
  <c r="C195" i="4"/>
  <c r="S194" i="4"/>
  <c r="P195" i="4" l="1"/>
  <c r="I195" i="4"/>
  <c r="D195" i="4"/>
  <c r="V195" i="4" s="1"/>
  <c r="W195" i="4" s="1"/>
  <c r="Y195" i="4" l="1"/>
  <c r="X195" i="4"/>
  <c r="Z195" i="4" s="1"/>
  <c r="AA195" i="4"/>
  <c r="R195" i="4"/>
  <c r="O195" i="4"/>
  <c r="J195" i="4"/>
  <c r="Q195" i="4"/>
  <c r="AB195" i="4" l="1"/>
  <c r="AC195" i="4"/>
  <c r="C196" i="4"/>
  <c r="S195" i="4"/>
  <c r="I196" i="4" l="1"/>
  <c r="P196" i="4"/>
  <c r="D196" i="4"/>
  <c r="V196" i="4" s="1"/>
  <c r="W196" i="4" s="1"/>
  <c r="AA196" i="4" l="1"/>
  <c r="Y196" i="4"/>
  <c r="X196" i="4"/>
  <c r="Z196" i="4"/>
  <c r="R196" i="4"/>
  <c r="O196" i="4"/>
  <c r="J196" i="4"/>
  <c r="Q196" i="4"/>
  <c r="AC196" i="4" l="1"/>
  <c r="AB196" i="4"/>
  <c r="C197" i="4"/>
  <c r="S196" i="4"/>
  <c r="P197" i="4" l="1"/>
  <c r="I197" i="4"/>
  <c r="D197" i="4"/>
  <c r="V197" i="4" s="1"/>
  <c r="W197" i="4" s="1"/>
  <c r="Y197" i="4" l="1"/>
  <c r="X197" i="4"/>
  <c r="Z197" i="4"/>
  <c r="AB197" i="4" s="1"/>
  <c r="AA197" i="4"/>
  <c r="R197" i="4"/>
  <c r="O197" i="4"/>
  <c r="Q197" i="4"/>
  <c r="J197" i="4"/>
  <c r="AG21" i="4" l="1"/>
  <c r="AG27" i="4"/>
  <c r="AF27" i="4"/>
  <c r="AG22" i="4"/>
  <c r="AH20" i="4"/>
  <c r="AF24" i="4"/>
  <c r="AG26" i="4"/>
  <c r="AF21" i="4"/>
  <c r="AF26" i="4"/>
  <c r="AG24" i="4"/>
  <c r="AG25" i="4"/>
  <c r="AF22" i="4"/>
  <c r="AF25" i="4"/>
  <c r="AG23" i="4"/>
  <c r="AF23" i="4"/>
  <c r="AH19" i="4"/>
  <c r="S197" i="4"/>
  <c r="AI27" i="4" l="1"/>
  <c r="AH27" i="4"/>
  <c r="AI21" i="4"/>
  <c r="AH21" i="4"/>
  <c r="AI24" i="4"/>
  <c r="AH24" i="4"/>
  <c r="AI26" i="4"/>
  <c r="AH26" i="4"/>
  <c r="AI22" i="4"/>
  <c r="AH22" i="4"/>
  <c r="AI25" i="4"/>
  <c r="AH25" i="4"/>
  <c r="AI23" i="4"/>
  <c r="AH2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<sst xmlns="http://schemas.openxmlformats.org/spreadsheetml/2006/main" count="72" uniqueCount="51">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</sst>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ncanal-my.sharepoint.com/personal/jfrodriguez_pancanal_com/Documents/Documents/Doc%20Doctorado/Articulo%201/Borrador%20Articulo/nuevo/MareasTest/DATA/TuRepo/GLR_Diario_LP_Plantilla_Julio_P95%25agosto%2010%20-%2040.xlsx" TargetMode="External"/><Relationship Id="rId1" Type="http://schemas.openxmlformats.org/officeDocument/2006/relationships/externalLinkPath" Target="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V37">
            <v>25.345874414850002</v>
          </cell>
        </row>
        <row r="38">
          <cell r="A38">
            <v>46230</v>
          </cell>
          <cell r="B38">
            <v>226.54</v>
          </cell>
          <cell r="C38">
            <v>226.54</v>
          </cell>
          <cell r="D38">
            <v>361.34738379743999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L38">
            <v>30.341580444430733</v>
          </cell>
          <cell r="M38">
            <v>53</v>
          </cell>
          <cell r="N38">
            <v>759.1415804444307</v>
          </cell>
          <cell r="O38">
            <v>6.8248139023106988E-2</v>
          </cell>
          <cell r="P38">
            <v>361.41563193646311</v>
          </cell>
          <cell r="Q38">
            <v>226.54599999999999</v>
          </cell>
          <cell r="R38">
            <v>251.85</v>
          </cell>
          <cell r="S38">
            <v>1.37613183359058E-2</v>
          </cell>
          <cell r="V38">
            <v>22.286408673450001</v>
          </cell>
        </row>
        <row r="39">
          <cell r="A39">
            <v>46231</v>
          </cell>
          <cell r="B39">
            <v>226.69</v>
          </cell>
          <cell r="C39">
            <v>226.69</v>
          </cell>
          <cell r="D39">
            <v>362.86330604784001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L39">
            <v>23.3719224807685</v>
          </cell>
          <cell r="M39">
            <v>53</v>
          </cell>
          <cell r="N39">
            <v>752.17192248076844</v>
          </cell>
          <cell r="O39">
            <v>6.9751943691544221E-2</v>
          </cell>
          <cell r="P39">
            <v>362.93305799153154</v>
          </cell>
          <cell r="Q39">
            <v>226.696</v>
          </cell>
          <cell r="R39">
            <v>251.85</v>
          </cell>
          <cell r="S39">
            <v>1.37613183359058E-2</v>
          </cell>
          <cell r="V39">
            <v>22.106455091700003</v>
          </cell>
        </row>
        <row r="40">
          <cell r="A40">
            <v>46232</v>
          </cell>
          <cell r="B40">
            <v>226.75</v>
          </cell>
          <cell r="C40">
            <v>226.75</v>
          </cell>
          <cell r="D40">
            <v>363.46967494799998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L40">
            <v>42.410016000069611</v>
          </cell>
          <cell r="M40">
            <v>53</v>
          </cell>
          <cell r="N40">
            <v>771.21001600006957</v>
          </cell>
          <cell r="O40">
            <v>3.9260328515708456</v>
          </cell>
          <cell r="P40">
            <v>367.3957077995708</v>
          </cell>
          <cell r="Q40">
            <v>227.13800000000001</v>
          </cell>
          <cell r="R40">
            <v>251.85</v>
          </cell>
          <cell r="S40">
            <v>1.37613183359058E-2</v>
          </cell>
          <cell r="V40">
            <v>67.278513618300011</v>
          </cell>
        </row>
        <row r="41">
          <cell r="A41">
            <v>46233</v>
          </cell>
          <cell r="B41">
            <v>226.78</v>
          </cell>
          <cell r="C41">
            <v>226.78</v>
          </cell>
          <cell r="D41">
            <v>363.77285939808002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L41">
            <v>38.564652816729676</v>
          </cell>
          <cell r="M41">
            <v>53</v>
          </cell>
          <cell r="N41">
            <v>767.36465281672963</v>
          </cell>
          <cell r="O41">
            <v>0.71674844190790155</v>
          </cell>
          <cell r="P41">
            <v>364.48960783998791</v>
          </cell>
          <cell r="Q41">
            <v>226.85</v>
          </cell>
          <cell r="R41">
            <v>251.85</v>
          </cell>
          <cell r="S41">
            <v>1.37613183359058E-2</v>
          </cell>
          <cell r="V41">
            <v>30.025063976250003</v>
          </cell>
        </row>
        <row r="42">
          <cell r="A42">
            <v>46234</v>
          </cell>
          <cell r="B42">
            <v>226.84</v>
          </cell>
          <cell r="C42">
            <v>226.84</v>
          </cell>
          <cell r="D42">
            <v>364.37922829823998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0</v>
          </cell>
          <cell r="J42" t="str">
            <v>0</v>
          </cell>
          <cell r="L42">
            <v>57.637874283594222</v>
          </cell>
          <cell r="M42">
            <v>53</v>
          </cell>
          <cell r="N42">
            <v>490.43787428359423</v>
          </cell>
          <cell r="O42">
            <v>0.95888997655081798</v>
          </cell>
          <cell r="P42">
            <v>365.33811827479082</v>
          </cell>
          <cell r="Q42">
            <v>226.934</v>
          </cell>
          <cell r="R42">
            <v>251.85</v>
          </cell>
          <cell r="S42">
            <v>2.0929388252833997E-3</v>
          </cell>
          <cell r="V42">
            <v>24.985938934500002</v>
          </cell>
        </row>
        <row r="43">
          <cell r="A43">
            <v>46235</v>
          </cell>
          <cell r="B43">
            <v>226.98</v>
          </cell>
          <cell r="C43">
            <v>226.98</v>
          </cell>
          <cell r="D43">
            <v>365.79408906527999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0</v>
          </cell>
          <cell r="J43" t="str">
            <v>0</v>
          </cell>
          <cell r="L43">
            <v>54.311214824143683</v>
          </cell>
          <cell r="M43">
            <v>53</v>
          </cell>
          <cell r="N43">
            <v>487.1112148241437</v>
          </cell>
          <cell r="O43">
            <v>3.7055424466080877</v>
          </cell>
          <cell r="P43">
            <v>369.49963151188808</v>
          </cell>
          <cell r="Q43">
            <v>227.346</v>
          </cell>
          <cell r="R43">
            <v>251.85</v>
          </cell>
          <cell r="S43">
            <v>2.0929388252833997E-3</v>
          </cell>
          <cell r="V43">
            <v>56.681753694450002</v>
          </cell>
        </row>
        <row r="44">
          <cell r="A44">
            <v>46236</v>
          </cell>
          <cell r="B44">
            <v>227.1</v>
          </cell>
          <cell r="C44">
            <v>227.1</v>
          </cell>
          <cell r="D44">
            <v>367.00682686559998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0</v>
          </cell>
          <cell r="J44" t="str">
            <v>0</v>
          </cell>
          <cell r="L44">
            <v>54.65976796811816</v>
          </cell>
          <cell r="M44">
            <v>53</v>
          </cell>
          <cell r="N44">
            <v>487.45976796811817</v>
          </cell>
          <cell r="O44">
            <v>2.9207249879731529</v>
          </cell>
          <cell r="P44">
            <v>369.92755185357311</v>
          </cell>
          <cell r="Q44">
            <v>227.38900000000001</v>
          </cell>
          <cell r="R44">
            <v>251.85</v>
          </cell>
          <cell r="S44">
            <v>2.0929388252833997E-3</v>
          </cell>
          <cell r="V44">
            <v>47.60807218155</v>
          </cell>
        </row>
        <row r="45">
          <cell r="A45">
            <v>46237</v>
          </cell>
          <cell r="B45">
            <v>227.23</v>
          </cell>
          <cell r="C45">
            <v>227.23</v>
          </cell>
          <cell r="D45">
            <v>368.32062614927997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0</v>
          </cell>
          <cell r="J45" t="str">
            <v>0</v>
          </cell>
          <cell r="L45">
            <v>50.629029113108096</v>
          </cell>
          <cell r="M45">
            <v>53</v>
          </cell>
          <cell r="N45">
            <v>483.42902911310813</v>
          </cell>
          <cell r="O45">
            <v>2.3631580393698188</v>
          </cell>
          <cell r="P45">
            <v>370.68378418864978</v>
          </cell>
          <cell r="Q45">
            <v>227.46299999999999</v>
          </cell>
          <cell r="R45">
            <v>251.85</v>
          </cell>
          <cell r="S45">
            <v>2.0929388252833997E-3</v>
          </cell>
          <cell r="V45">
            <v>41.040601794750003</v>
          </cell>
        </row>
        <row r="46">
          <cell r="A46">
            <v>46238</v>
          </cell>
          <cell r="B46">
            <v>227.34</v>
          </cell>
          <cell r="C46">
            <v>227.34</v>
          </cell>
          <cell r="D46">
            <v>369.43230246624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0</v>
          </cell>
          <cell r="J46" t="str">
            <v>0</v>
          </cell>
          <cell r="L46">
            <v>47.740217771326094</v>
          </cell>
          <cell r="M46">
            <v>53</v>
          </cell>
          <cell r="N46">
            <v>480.54021777132613</v>
          </cell>
          <cell r="O46">
            <v>2.0118494801041558</v>
          </cell>
          <cell r="P46">
            <v>371.44415194634416</v>
          </cell>
          <cell r="Q46">
            <v>227.53899999999999</v>
          </cell>
          <cell r="R46">
            <v>251.85</v>
          </cell>
          <cell r="S46">
            <v>2.0929388252833997E-3</v>
          </cell>
          <cell r="V46">
            <v>36.892721289900003</v>
          </cell>
        </row>
        <row r="47">
          <cell r="A47">
            <v>46239</v>
          </cell>
          <cell r="B47">
            <v>228.11</v>
          </cell>
          <cell r="C47">
            <v>228.11</v>
          </cell>
          <cell r="D47">
            <v>377.21403668495998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0</v>
          </cell>
          <cell r="J47" t="str">
            <v>0</v>
          </cell>
          <cell r="L47">
            <v>67.985305903055988</v>
          </cell>
          <cell r="M47">
            <v>53</v>
          </cell>
          <cell r="N47">
            <v>500.78530590305598</v>
          </cell>
          <cell r="O47">
            <v>1.803039278394615</v>
          </cell>
          <cell r="P47">
            <v>379.01707596335461</v>
          </cell>
          <cell r="Q47">
            <v>228.28800000000001</v>
          </cell>
          <cell r="R47">
            <v>251.85</v>
          </cell>
          <cell r="S47">
            <v>2.0929388252833997E-3</v>
          </cell>
          <cell r="V47">
            <v>35.049209404350002</v>
          </cell>
        </row>
        <row r="48">
          <cell r="A48">
            <v>46240</v>
          </cell>
          <cell r="B48">
            <v>228.67</v>
          </cell>
          <cell r="C48">
            <v>228.67</v>
          </cell>
          <cell r="D48">
            <v>382.87347975312002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0</v>
          </cell>
          <cell r="J48" t="str">
            <v>0</v>
          </cell>
          <cell r="L48">
            <v>62.37067522469556</v>
          </cell>
          <cell r="M48">
            <v>53</v>
          </cell>
          <cell r="N48">
            <v>495.17067522469557</v>
          </cell>
          <cell r="O48">
            <v>1.6475440752976902</v>
          </cell>
          <cell r="P48">
            <v>384.5210238284177</v>
          </cell>
          <cell r="Q48">
            <v>228.833</v>
          </cell>
          <cell r="R48">
            <v>251.85</v>
          </cell>
          <cell r="S48">
            <v>2.0929388252833997E-3</v>
          </cell>
          <cell r="V48">
            <v>33.090504572999997</v>
          </cell>
        </row>
        <row r="49">
          <cell r="A49">
            <v>46241</v>
          </cell>
          <cell r="B49">
            <v>228.85</v>
          </cell>
          <cell r="C49">
            <v>228.85</v>
          </cell>
          <cell r="D49">
            <v>384.69258645359997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0</v>
          </cell>
          <cell r="J49" t="str">
            <v>0</v>
          </cell>
          <cell r="L49">
            <v>51.222417892418939</v>
          </cell>
          <cell r="M49">
            <v>53</v>
          </cell>
          <cell r="N49">
            <v>484.02241789241896</v>
          </cell>
          <cell r="O49">
            <v>1.5354501375476692</v>
          </cell>
          <cell r="P49">
            <v>386.22803659114766</v>
          </cell>
          <cell r="Q49">
            <v>229.001</v>
          </cell>
          <cell r="R49">
            <v>251.85</v>
          </cell>
          <cell r="S49">
            <v>2.0929388252833997E-3</v>
          </cell>
          <cell r="V49">
            <v>31.477435212750002</v>
          </cell>
        </row>
        <row r="50">
          <cell r="A50">
            <v>46242</v>
          </cell>
          <cell r="B50">
            <v>228.97</v>
          </cell>
          <cell r="C50">
            <v>228.97</v>
          </cell>
          <cell r="D50">
            <v>385.90532425392001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0</v>
          </cell>
          <cell r="J50" t="str">
            <v>0</v>
          </cell>
          <cell r="L50">
            <v>69.333238058036116</v>
          </cell>
          <cell r="M50">
            <v>53</v>
          </cell>
          <cell r="N50">
            <v>502.13323805803611</v>
          </cell>
          <cell r="O50">
            <v>1.9303443468539889</v>
          </cell>
          <cell r="P50">
            <v>387.835668600774</v>
          </cell>
          <cell r="Q50">
            <v>229.161</v>
          </cell>
          <cell r="R50">
            <v>251.85</v>
          </cell>
          <cell r="S50">
            <v>2.0929388252833997E-3</v>
          </cell>
          <cell r="V50">
            <v>36.560819491050005</v>
          </cell>
        </row>
        <row r="51">
          <cell r="A51">
            <v>46243</v>
          </cell>
          <cell r="B51">
            <v>229.15</v>
          </cell>
          <cell r="C51">
            <v>229.15</v>
          </cell>
          <cell r="D51">
            <v>387.72443095440002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0</v>
          </cell>
          <cell r="J51" t="str">
            <v>0</v>
          </cell>
          <cell r="L51">
            <v>56.730415147329218</v>
          </cell>
          <cell r="M51">
            <v>53</v>
          </cell>
          <cell r="N51">
            <v>489.53041514732922</v>
          </cell>
          <cell r="O51">
            <v>4.379247016250928</v>
          </cell>
          <cell r="P51">
            <v>392.10367797065095</v>
          </cell>
          <cell r="Q51">
            <v>229.583</v>
          </cell>
          <cell r="R51">
            <v>251.85</v>
          </cell>
          <cell r="S51">
            <v>2.0929388252833997E-3</v>
          </cell>
          <cell r="V51">
            <v>64.547778188550012</v>
          </cell>
        </row>
        <row r="52">
          <cell r="A52">
            <v>46244</v>
          </cell>
          <cell r="B52">
            <v>229.26</v>
          </cell>
          <cell r="C52">
            <v>229.26</v>
          </cell>
          <cell r="D52">
            <v>388.83610727135999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0</v>
          </cell>
          <cell r="J52" t="str">
            <v>0</v>
          </cell>
          <cell r="L52">
            <v>50.227811126182772</v>
          </cell>
          <cell r="M52">
            <v>53</v>
          </cell>
          <cell r="N52">
            <v>483.02781112618277</v>
          </cell>
          <cell r="O52">
            <v>8.5678205279877027</v>
          </cell>
          <cell r="P52">
            <v>397.40392779934768</v>
          </cell>
          <cell r="Q52">
            <v>230.09800000000001</v>
          </cell>
          <cell r="R52">
            <v>251.85</v>
          </cell>
          <cell r="S52">
            <v>2.0929388252833997E-3</v>
          </cell>
          <cell r="V52">
            <v>112.8425906163</v>
          </cell>
        </row>
        <row r="53">
          <cell r="A53">
            <v>46245</v>
          </cell>
          <cell r="B53">
            <v>229.35</v>
          </cell>
          <cell r="C53">
            <v>229.35</v>
          </cell>
          <cell r="D53">
            <v>389.7456606216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0</v>
          </cell>
          <cell r="J53" t="str">
            <v>0</v>
          </cell>
          <cell r="L53">
            <v>52.749343613177402</v>
          </cell>
          <cell r="M53">
            <v>53</v>
          </cell>
          <cell r="N53">
            <v>485.54934361317743</v>
          </cell>
          <cell r="O53">
            <v>3.8004006024899466</v>
          </cell>
          <cell r="P53">
            <v>393.54606122408995</v>
          </cell>
          <cell r="Q53">
            <v>229.726</v>
          </cell>
          <cell r="R53">
            <v>251.85</v>
          </cell>
          <cell r="S53">
            <v>2.0929388252833997E-3</v>
          </cell>
          <cell r="V53">
            <v>57.73542368295</v>
          </cell>
        </row>
        <row r="54">
          <cell r="A54">
            <v>46246</v>
          </cell>
          <cell r="B54">
            <v>229.45</v>
          </cell>
          <cell r="C54">
            <v>229.45</v>
          </cell>
          <cell r="D54">
            <v>390.75627545520001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0</v>
          </cell>
          <cell r="J54" t="str">
            <v>0</v>
          </cell>
          <cell r="L54">
            <v>63.326146977344905</v>
          </cell>
          <cell r="M54">
            <v>53</v>
          </cell>
          <cell r="N54">
            <v>496.12614697734489</v>
          </cell>
          <cell r="O54">
            <v>2.8180683662922936</v>
          </cell>
          <cell r="P54">
            <v>393.57434382149228</v>
          </cell>
          <cell r="Q54">
            <v>229.72800000000001</v>
          </cell>
          <cell r="R54">
            <v>251.85</v>
          </cell>
          <cell r="S54">
            <v>2.0929388252833997E-3</v>
          </cell>
          <cell r="V54">
            <v>46.665319294500001</v>
          </cell>
        </row>
        <row r="55">
          <cell r="A55">
            <v>46247</v>
          </cell>
          <cell r="B55">
            <v>229.51</v>
          </cell>
          <cell r="C55">
            <v>229.51</v>
          </cell>
          <cell r="D55">
            <v>391.36264435535998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0</v>
          </cell>
          <cell r="J55" t="str">
            <v>0</v>
          </cell>
          <cell r="L55">
            <v>84.522129387860673</v>
          </cell>
          <cell r="M55">
            <v>53</v>
          </cell>
          <cell r="N55">
            <v>517.32212938786074</v>
          </cell>
          <cell r="O55">
            <v>3.638582439703185</v>
          </cell>
          <cell r="P55">
            <v>395.00122679506313</v>
          </cell>
          <cell r="Q55">
            <v>229.87</v>
          </cell>
          <cell r="R55">
            <v>251.85</v>
          </cell>
          <cell r="S55">
            <v>2.0929388252833997E-3</v>
          </cell>
          <cell r="V55">
            <v>56.762230182149999</v>
          </cell>
        </row>
        <row r="56">
          <cell r="A56">
            <v>46248</v>
          </cell>
          <cell r="B56">
            <v>229.58</v>
          </cell>
          <cell r="C56">
            <v>229.58</v>
          </cell>
          <cell r="D56">
            <v>392.07007473888001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0</v>
          </cell>
          <cell r="J56" t="str">
            <v>0</v>
          </cell>
          <cell r="L56">
            <v>80.655761061266162</v>
          </cell>
          <cell r="M56">
            <v>53</v>
          </cell>
          <cell r="N56">
            <v>513.45576106126623</v>
          </cell>
          <cell r="O56">
            <v>2.3552513760251812</v>
          </cell>
          <cell r="P56">
            <v>394.4253261149052</v>
          </cell>
          <cell r="Q56">
            <v>229.81299999999999</v>
          </cell>
          <cell r="R56">
            <v>251.85</v>
          </cell>
          <cell r="S56">
            <v>2.0929388252833997E-3</v>
          </cell>
          <cell r="V56">
            <v>41.799351790500005</v>
          </cell>
        </row>
        <row r="57">
          <cell r="A57">
            <v>46249</v>
          </cell>
          <cell r="B57">
            <v>229.67</v>
          </cell>
          <cell r="C57">
            <v>229.67</v>
          </cell>
          <cell r="D57">
            <v>392.97962808912001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0</v>
          </cell>
          <cell r="J57" t="str">
            <v>0</v>
          </cell>
          <cell r="L57">
            <v>70.936071513566844</v>
          </cell>
          <cell r="M57">
            <v>53</v>
          </cell>
          <cell r="N57">
            <v>503.73607151356686</v>
          </cell>
          <cell r="O57">
            <v>2.5770470041985436</v>
          </cell>
          <cell r="P57">
            <v>395.55667509331857</v>
          </cell>
          <cell r="Q57">
            <v>229.92400000000001</v>
          </cell>
          <cell r="R57">
            <v>251.85</v>
          </cell>
          <cell r="S57">
            <v>2.0929388252833997E-3</v>
          </cell>
          <cell r="V57">
            <v>44.091204362100001</v>
          </cell>
        </row>
        <row r="58">
          <cell r="A58">
            <v>46250</v>
          </cell>
          <cell r="B58">
            <v>229.9</v>
          </cell>
          <cell r="C58">
            <v>229.9</v>
          </cell>
          <cell r="D58">
            <v>395.30404220640003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0</v>
          </cell>
          <cell r="J58" t="str">
            <v>0</v>
          </cell>
          <cell r="L58">
            <v>76.84173866406077</v>
          </cell>
          <cell r="M58">
            <v>53</v>
          </cell>
          <cell r="N58">
            <v>509.64173866406077</v>
          </cell>
          <cell r="O58">
            <v>2.0338012919517858</v>
          </cell>
          <cell r="P58">
            <v>397.33784349835179</v>
          </cell>
          <cell r="Q58">
            <v>230.09200000000001</v>
          </cell>
          <cell r="R58">
            <v>251.85</v>
          </cell>
          <cell r="S58">
            <v>2.0929388252833997E-3</v>
          </cell>
          <cell r="V58">
            <v>37.970857036800005</v>
          </cell>
        </row>
        <row r="59">
          <cell r="A59">
            <v>46251</v>
          </cell>
          <cell r="B59">
            <v>230.11</v>
          </cell>
          <cell r="C59">
            <v>230.11</v>
          </cell>
          <cell r="D59">
            <v>397.53289862807998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0</v>
          </cell>
          <cell r="J59" t="str">
            <v>0</v>
          </cell>
          <cell r="L59">
            <v>59.532316028021171</v>
          </cell>
          <cell r="M59">
            <v>53</v>
          </cell>
          <cell r="N59">
            <v>492.33231602802118</v>
          </cell>
          <cell r="O59">
            <v>3.2679141649370838</v>
          </cell>
          <cell r="P59">
            <v>400.80081279301709</v>
          </cell>
          <cell r="Q59">
            <v>230.405</v>
          </cell>
          <cell r="R59">
            <v>251.85</v>
          </cell>
          <cell r="S59">
            <v>2.0929388252833997E-3</v>
          </cell>
          <cell r="V59">
            <v>51.764447741400005</v>
          </cell>
        </row>
        <row r="60">
          <cell r="A60">
            <v>46252</v>
          </cell>
          <cell r="B60">
            <v>230.23</v>
          </cell>
          <cell r="C60">
            <v>230.23</v>
          </cell>
          <cell r="D60">
            <v>398.86188945143999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0</v>
          </cell>
          <cell r="J60" t="str">
            <v>0</v>
          </cell>
          <cell r="L60">
            <v>33.815692965045905</v>
          </cell>
          <cell r="M60">
            <v>53</v>
          </cell>
          <cell r="N60">
            <v>466.61569296504592</v>
          </cell>
          <cell r="O60">
            <v>8.3274158063791326</v>
          </cell>
          <cell r="P60">
            <v>407.18930525781911</v>
          </cell>
          <cell r="Q60">
            <v>230.98099999999999</v>
          </cell>
          <cell r="R60">
            <v>251.85</v>
          </cell>
          <cell r="S60">
            <v>2.0929388252833997E-3</v>
          </cell>
          <cell r="V60">
            <v>109.59538415940001</v>
          </cell>
        </row>
        <row r="61">
          <cell r="A61">
            <v>46253</v>
          </cell>
          <cell r="B61">
            <v>230.33</v>
          </cell>
          <cell r="C61">
            <v>230.33</v>
          </cell>
          <cell r="D61">
            <v>399.96938180424002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0</v>
          </cell>
          <cell r="J61" t="str">
            <v>0</v>
          </cell>
          <cell r="L61">
            <v>66.934645447013736</v>
          </cell>
          <cell r="M61">
            <v>53</v>
          </cell>
          <cell r="N61">
            <v>499.73464544701375</v>
          </cell>
          <cell r="O61">
            <v>2.6759922920126789</v>
          </cell>
          <cell r="P61">
            <v>402.64537409625268</v>
          </cell>
          <cell r="Q61">
            <v>230.571</v>
          </cell>
          <cell r="R61">
            <v>251.85</v>
          </cell>
          <cell r="S61">
            <v>2.0929388252833997E-3</v>
          </cell>
          <cell r="V61">
            <v>45.123098692950002</v>
          </cell>
        </row>
        <row r="62">
          <cell r="A62">
            <v>46254</v>
          </cell>
          <cell r="B62">
            <v>230.44</v>
          </cell>
          <cell r="C62">
            <v>230.44</v>
          </cell>
          <cell r="D62">
            <v>401.18762339232001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0</v>
          </cell>
          <cell r="J62" t="str">
            <v>0</v>
          </cell>
          <cell r="L62">
            <v>92.536416301830059</v>
          </cell>
          <cell r="M62">
            <v>53</v>
          </cell>
          <cell r="N62">
            <v>525.33641630183001</v>
          </cell>
          <cell r="O62">
            <v>1.9247804071313186</v>
          </cell>
          <cell r="P62">
            <v>403.11240379945133</v>
          </cell>
          <cell r="Q62">
            <v>230.613</v>
          </cell>
          <cell r="R62">
            <v>251.85</v>
          </cell>
          <cell r="S62">
            <v>2.0929388252833997E-3</v>
          </cell>
          <cell r="V62">
            <v>37.153462844700002</v>
          </cell>
        </row>
        <row r="63">
          <cell r="A63">
            <v>46255</v>
          </cell>
          <cell r="B63">
            <v>230.58</v>
          </cell>
          <cell r="C63">
            <v>230.58</v>
          </cell>
          <cell r="D63">
            <v>402.73811268624002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300</v>
          </cell>
          <cell r="J63" t="str">
            <v>0</v>
          </cell>
          <cell r="L63">
            <v>80.795818918825859</v>
          </cell>
          <cell r="M63">
            <v>53</v>
          </cell>
          <cell r="N63">
            <v>813.59581891882578</v>
          </cell>
          <cell r="O63">
            <v>0.92821255171540362</v>
          </cell>
          <cell r="P63">
            <v>403.66632523795539</v>
          </cell>
          <cell r="Q63">
            <v>230.66300000000001</v>
          </cell>
          <cell r="R63">
            <v>251.85</v>
          </cell>
          <cell r="S63">
            <v>1.3918762945303399E-2</v>
          </cell>
          <cell r="V63">
            <v>33.781690564649999</v>
          </cell>
        </row>
        <row r="64">
          <cell r="A64">
            <v>46256</v>
          </cell>
          <cell r="B64">
            <v>230.79</v>
          </cell>
          <cell r="C64">
            <v>230.79</v>
          </cell>
          <cell r="D64">
            <v>405.06384662711997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300</v>
          </cell>
          <cell r="J64" t="str">
            <v>0</v>
          </cell>
          <cell r="L64">
            <v>83.289565114817066</v>
          </cell>
          <cell r="M64">
            <v>53</v>
          </cell>
          <cell r="N64">
            <v>816.08956511481699</v>
          </cell>
          <cell r="O64">
            <v>2.1809899057671434</v>
          </cell>
          <cell r="P64">
            <v>407.24483653288712</v>
          </cell>
          <cell r="Q64">
            <v>230.98599999999999</v>
          </cell>
          <cell r="R64">
            <v>251.85</v>
          </cell>
          <cell r="S64">
            <v>1.3918762945303399E-2</v>
          </cell>
          <cell r="V64">
            <v>48.352069098450002</v>
          </cell>
        </row>
        <row r="65">
          <cell r="A65">
            <v>46257</v>
          </cell>
          <cell r="B65">
            <v>231.52</v>
          </cell>
          <cell r="C65">
            <v>231.52</v>
          </cell>
          <cell r="D65">
            <v>413.14854080255998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300</v>
          </cell>
          <cell r="J65" t="str">
            <v>0</v>
          </cell>
          <cell r="L65">
            <v>74.9943809413368</v>
          </cell>
          <cell r="M65">
            <v>53</v>
          </cell>
          <cell r="N65">
            <v>807.79438094133673</v>
          </cell>
          <cell r="O65">
            <v>1.2354614144548146</v>
          </cell>
          <cell r="P65">
            <v>414.38400221701477</v>
          </cell>
          <cell r="Q65">
            <v>231.631</v>
          </cell>
          <cell r="R65">
            <v>251.85</v>
          </cell>
          <cell r="S65">
            <v>1.3918762945303399E-2</v>
          </cell>
          <cell r="V65">
            <v>37.173539491349999</v>
          </cell>
        </row>
        <row r="66">
          <cell r="A66">
            <v>46258</v>
          </cell>
          <cell r="B66">
            <v>231.75</v>
          </cell>
          <cell r="C66">
            <v>231.75</v>
          </cell>
          <cell r="D66">
            <v>415.69577321399998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300</v>
          </cell>
          <cell r="J66" t="str">
            <v>0</v>
          </cell>
          <cell r="L66">
            <v>67.072446896029362</v>
          </cell>
          <cell r="M66">
            <v>53</v>
          </cell>
          <cell r="N66">
            <v>799.87244689602926</v>
          </cell>
          <cell r="O66">
            <v>0.86053884708106243</v>
          </cell>
          <cell r="P66">
            <v>416.55631206108103</v>
          </cell>
          <cell r="Q66">
            <v>231.827</v>
          </cell>
          <cell r="R66">
            <v>251.85</v>
          </cell>
          <cell r="S66">
            <v>1.3918762945303399E-2</v>
          </cell>
          <cell r="V66">
            <v>32.609826044249999</v>
          </cell>
        </row>
        <row r="67">
          <cell r="A67">
            <v>46259</v>
          </cell>
          <cell r="B67">
            <v>231.88</v>
          </cell>
          <cell r="C67">
            <v>231.88</v>
          </cell>
          <cell r="D67">
            <v>417.13551327264003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300</v>
          </cell>
          <cell r="J67" t="str">
            <v>0</v>
          </cell>
          <cell r="L67">
            <v>52.969120209127361</v>
          </cell>
          <cell r="M67">
            <v>53</v>
          </cell>
          <cell r="N67">
            <v>785.76912020912732</v>
          </cell>
          <cell r="O67">
            <v>0.87184769990937272</v>
          </cell>
          <cell r="P67">
            <v>418.00736097254941</v>
          </cell>
          <cell r="Q67">
            <v>231.958</v>
          </cell>
          <cell r="R67">
            <v>251.85</v>
          </cell>
          <cell r="S67">
            <v>1.3918762945303399E-2</v>
          </cell>
          <cell r="V67">
            <v>32.341353989400005</v>
          </cell>
        </row>
        <row r="68">
          <cell r="A68">
            <v>46260</v>
          </cell>
          <cell r="B68">
            <v>232.04</v>
          </cell>
          <cell r="C68">
            <v>232.04</v>
          </cell>
          <cell r="D68">
            <v>418.90750103712003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300</v>
          </cell>
          <cell r="J68" t="str">
            <v>0</v>
          </cell>
          <cell r="L68">
            <v>21.770624093398997</v>
          </cell>
          <cell r="M68">
            <v>53</v>
          </cell>
          <cell r="N68">
            <v>754.57062409339892</v>
          </cell>
          <cell r="O68">
            <v>6.769982369819985</v>
          </cell>
          <cell r="P68">
            <v>425.67748340694004</v>
          </cell>
          <cell r="Q68">
            <v>232.65100000000001</v>
          </cell>
          <cell r="R68">
            <v>251.85</v>
          </cell>
          <cell r="S68">
            <v>1.3918762945303399E-2</v>
          </cell>
          <cell r="V68">
            <v>99.723478961850006</v>
          </cell>
        </row>
        <row r="69">
          <cell r="A69">
            <v>46261</v>
          </cell>
          <cell r="B69">
            <v>232.27</v>
          </cell>
          <cell r="C69">
            <v>232.27</v>
          </cell>
          <cell r="D69">
            <v>421.45473344855998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300</v>
          </cell>
          <cell r="J69" t="str">
            <v>0</v>
          </cell>
          <cell r="L69">
            <v>18.140678006867088</v>
          </cell>
          <cell r="M69">
            <v>53</v>
          </cell>
          <cell r="N69">
            <v>750.94067800686707</v>
          </cell>
          <cell r="O69">
            <v>1.9776134788256288</v>
          </cell>
          <cell r="P69">
            <v>423.43234692738559</v>
          </cell>
          <cell r="Q69">
            <v>232.44800000000001</v>
          </cell>
          <cell r="R69">
            <v>251.85</v>
          </cell>
          <cell r="S69">
            <v>1.3918762945303399E-2</v>
          </cell>
          <cell r="V69">
            <v>44.153359847849998</v>
          </cell>
        </row>
        <row r="70">
          <cell r="A70">
            <v>46262</v>
          </cell>
          <cell r="B70">
            <v>232.97</v>
          </cell>
          <cell r="C70">
            <v>232.97</v>
          </cell>
          <cell r="D70">
            <v>429.20717991816002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300</v>
          </cell>
          <cell r="J70" t="str">
            <v>0</v>
          </cell>
          <cell r="L70">
            <v>50.986617482320916</v>
          </cell>
          <cell r="M70">
            <v>53</v>
          </cell>
          <cell r="N70">
            <v>783.78661748232082</v>
          </cell>
          <cell r="O70">
            <v>1.2478086822018195</v>
          </cell>
          <cell r="P70">
            <v>430.45498860036184</v>
          </cell>
          <cell r="Q70">
            <v>233.08199999999999</v>
          </cell>
          <cell r="R70">
            <v>251.85</v>
          </cell>
          <cell r="S70">
            <v>1.3918762945303399E-2</v>
          </cell>
          <cell r="V70">
            <v>36.636623698500003</v>
          </cell>
        </row>
        <row r="71">
          <cell r="A71">
            <v>46263</v>
          </cell>
          <cell r="B71">
            <v>233.24</v>
          </cell>
          <cell r="C71">
            <v>233.24</v>
          </cell>
          <cell r="D71">
            <v>432.19740927072002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300</v>
          </cell>
          <cell r="J71" t="str">
            <v>0</v>
          </cell>
          <cell r="L71">
            <v>46.184028565272463</v>
          </cell>
          <cell r="M71">
            <v>53</v>
          </cell>
          <cell r="N71">
            <v>778.98402856527241</v>
          </cell>
          <cell r="O71">
            <v>3.602503096167418</v>
          </cell>
          <cell r="P71">
            <v>435.79991236688744</v>
          </cell>
          <cell r="Q71">
            <v>233.565</v>
          </cell>
          <cell r="R71">
            <v>251.85</v>
          </cell>
          <cell r="S71">
            <v>1.3918762945303399E-2</v>
          </cell>
          <cell r="V71">
            <v>63.754085199900004</v>
          </cell>
        </row>
        <row r="72">
          <cell r="A72">
            <v>46264</v>
          </cell>
          <cell r="B72">
            <v>236.1</v>
          </cell>
          <cell r="C72">
            <v>236.1</v>
          </cell>
          <cell r="D72">
            <v>464.82201289199998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300</v>
          </cell>
          <cell r="J72" t="str">
            <v>0</v>
          </cell>
          <cell r="L72">
            <v>43.838175055721187</v>
          </cell>
          <cell r="M72">
            <v>53</v>
          </cell>
          <cell r="N72">
            <v>776.63817505572115</v>
          </cell>
          <cell r="O72">
            <v>2.6743077550813381</v>
          </cell>
          <cell r="P72">
            <v>467.49632064708129</v>
          </cell>
          <cell r="Q72">
            <v>236.32400000000001</v>
          </cell>
          <cell r="R72">
            <v>251.85</v>
          </cell>
          <cell r="S72">
            <v>1.3918762945303399E-2</v>
          </cell>
          <cell r="V72">
            <v>52.944637415700001</v>
          </cell>
        </row>
        <row r="73">
          <cell r="A73">
            <v>46265</v>
          </cell>
          <cell r="B73">
            <v>236.59</v>
          </cell>
          <cell r="C73">
            <v>236.59</v>
          </cell>
          <cell r="D73">
            <v>470.67205082279997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300</v>
          </cell>
          <cell r="J73" t="str">
            <v>0</v>
          </cell>
          <cell r="L73">
            <v>45.248097168991983</v>
          </cell>
          <cell r="M73">
            <v>53</v>
          </cell>
          <cell r="N73">
            <v>778.04809716899194</v>
          </cell>
          <cell r="O73">
            <v>2.0380525561455913</v>
          </cell>
          <cell r="P73">
            <v>472.71010337894558</v>
          </cell>
          <cell r="Q73">
            <v>236.76</v>
          </cell>
          <cell r="R73">
            <v>251.85</v>
          </cell>
          <cell r="S73">
            <v>1.3918762945303399E-2</v>
          </cell>
          <cell r="V73">
            <v>45.620484163199997</v>
          </cell>
        </row>
        <row r="74">
          <cell r="A74">
            <v>46266</v>
          </cell>
          <cell r="B74">
            <v>236.87</v>
          </cell>
          <cell r="C74">
            <v>236.87</v>
          </cell>
          <cell r="D74">
            <v>474.0149296404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300</v>
          </cell>
          <cell r="J74" t="str">
            <v>0</v>
          </cell>
          <cell r="L74">
            <v>72.834121520696286</v>
          </cell>
          <cell r="M74">
            <v>53</v>
          </cell>
          <cell r="N74">
            <v>805.63412152069623</v>
          </cell>
          <cell r="O74">
            <v>1.5708943442525256</v>
          </cell>
          <cell r="P74">
            <v>475.58582398465251</v>
          </cell>
          <cell r="Q74">
            <v>237.001</v>
          </cell>
          <cell r="R74">
            <v>251.85</v>
          </cell>
          <cell r="S74">
            <v>1.3918762945303399E-2</v>
          </cell>
          <cell r="V74">
            <v>40.994700180899997</v>
          </cell>
        </row>
        <row r="75">
          <cell r="A75">
            <v>46267</v>
          </cell>
          <cell r="B75">
            <v>237.06</v>
          </cell>
          <cell r="C75">
            <v>237.06</v>
          </cell>
          <cell r="D75">
            <v>476.28331169519998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300</v>
          </cell>
          <cell r="J75" t="str">
            <v>0</v>
          </cell>
          <cell r="L75">
            <v>79.838915823252705</v>
          </cell>
          <cell r="M75">
            <v>53</v>
          </cell>
          <cell r="N75">
            <v>812.63891582325266</v>
          </cell>
          <cell r="O75">
            <v>1.3761281819418729</v>
          </cell>
          <cell r="P75">
            <v>477.65943987714184</v>
          </cell>
          <cell r="Q75">
            <v>237.17500000000001</v>
          </cell>
          <cell r="R75">
            <v>251.85</v>
          </cell>
          <cell r="S75">
            <v>1.3918762945303399E-2</v>
          </cell>
          <cell r="V75">
            <v>38.938811920350005</v>
          </cell>
        </row>
        <row r="76">
          <cell r="A76">
            <v>46268</v>
          </cell>
          <cell r="B76">
            <v>237.24</v>
          </cell>
          <cell r="C76">
            <v>237.24</v>
          </cell>
          <cell r="D76">
            <v>478.4323052208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300</v>
          </cell>
          <cell r="J76" t="str">
            <v>0</v>
          </cell>
          <cell r="L76">
            <v>46.79138841413365</v>
          </cell>
          <cell r="M76">
            <v>53</v>
          </cell>
          <cell r="N76">
            <v>779.59138841413358</v>
          </cell>
          <cell r="O76">
            <v>1.2682479011116028</v>
          </cell>
          <cell r="P76">
            <v>479.70055312191158</v>
          </cell>
          <cell r="Q76">
            <v>237.346</v>
          </cell>
          <cell r="R76">
            <v>251.85</v>
          </cell>
          <cell r="S76">
            <v>1.3918762945303399E-2</v>
          </cell>
          <cell r="V76">
            <v>36.754393477650005</v>
          </cell>
        </row>
        <row r="77">
          <cell r="A77">
            <v>46269</v>
          </cell>
          <cell r="B77">
            <v>237.54</v>
          </cell>
          <cell r="C77">
            <v>237.54</v>
          </cell>
          <cell r="D77">
            <v>482.01396109680002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300</v>
          </cell>
          <cell r="J77" t="str">
            <v>0</v>
          </cell>
          <cell r="L77">
            <v>57.403172346482137</v>
          </cell>
          <cell r="M77">
            <v>53</v>
          </cell>
          <cell r="N77">
            <v>790.20317234648212</v>
          </cell>
          <cell r="O77">
            <v>1.0868596172437655</v>
          </cell>
          <cell r="P77">
            <v>483.10082071404378</v>
          </cell>
          <cell r="Q77">
            <v>237.631</v>
          </cell>
          <cell r="R77">
            <v>251.85</v>
          </cell>
          <cell r="S77">
            <v>1.3918762945303399E-2</v>
          </cell>
          <cell r="V77">
            <v>34.955480630850005</v>
          </cell>
        </row>
        <row r="78">
          <cell r="A78">
            <v>46270</v>
          </cell>
          <cell r="B78">
            <v>237.64</v>
          </cell>
          <cell r="C78">
            <v>237.64</v>
          </cell>
          <cell r="D78">
            <v>483.20784638880002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300</v>
          </cell>
          <cell r="J78" t="str">
            <v>0</v>
          </cell>
          <cell r="L78">
            <v>47.177206975970904</v>
          </cell>
          <cell r="M78">
            <v>53</v>
          </cell>
          <cell r="N78">
            <v>779.97720697597083</v>
          </cell>
          <cell r="O78">
            <v>0.91728521389752427</v>
          </cell>
          <cell r="P78">
            <v>484.12513160269754</v>
          </cell>
          <cell r="Q78">
            <v>237.71600000000001</v>
          </cell>
          <cell r="R78">
            <v>251.85</v>
          </cell>
          <cell r="S78">
            <v>1.3918762945303399E-2</v>
          </cell>
          <cell r="V78">
            <v>32.7032433324</v>
          </cell>
        </row>
        <row r="79">
          <cell r="A79">
            <v>46271</v>
          </cell>
          <cell r="B79">
            <v>238.33</v>
          </cell>
          <cell r="C79">
            <v>238.33</v>
          </cell>
          <cell r="D79">
            <v>491.44565490359997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300</v>
          </cell>
          <cell r="J79" t="str">
            <v>0</v>
          </cell>
          <cell r="L79">
            <v>29.766872272947268</v>
          </cell>
          <cell r="M79">
            <v>53</v>
          </cell>
          <cell r="N79">
            <v>762.56687227294719</v>
          </cell>
          <cell r="O79">
            <v>3.0776258109330499</v>
          </cell>
          <cell r="P79">
            <v>494.52328071453303</v>
          </cell>
          <cell r="Q79">
            <v>238.58699999999999</v>
          </cell>
          <cell r="R79">
            <v>251.85</v>
          </cell>
          <cell r="S79">
            <v>1.3918762945303399E-2</v>
          </cell>
          <cell r="V79">
            <v>57.214223741849999</v>
          </cell>
        </row>
        <row r="80">
          <cell r="A80">
            <v>46272</v>
          </cell>
          <cell r="B80">
            <v>238.52</v>
          </cell>
          <cell r="C80">
            <v>238.52</v>
          </cell>
          <cell r="D80">
            <v>493.71403695840002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300</v>
          </cell>
          <cell r="J80" t="str">
            <v>0</v>
          </cell>
          <cell r="L80">
            <v>32.783551337512399</v>
          </cell>
          <cell r="M80">
            <v>53</v>
          </cell>
          <cell r="N80">
            <v>765.5835513375124</v>
          </cell>
          <cell r="O80">
            <v>6.7591662551325449</v>
          </cell>
          <cell r="P80">
            <v>500.47320321353254</v>
          </cell>
          <cell r="Q80">
            <v>239.08600000000001</v>
          </cell>
          <cell r="R80">
            <v>251.85</v>
          </cell>
          <cell r="S80">
            <v>1.3918762945303399E-2</v>
          </cell>
          <cell r="V80">
            <v>99.910143637050012</v>
          </cell>
        </row>
        <row r="81">
          <cell r="A81">
            <v>46273</v>
          </cell>
          <cell r="B81">
            <v>238.59</v>
          </cell>
          <cell r="C81">
            <v>238.59</v>
          </cell>
          <cell r="D81">
            <v>494.54975666280001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300</v>
          </cell>
          <cell r="J81" t="str">
            <v>0</v>
          </cell>
          <cell r="L81">
            <v>31.285612465685194</v>
          </cell>
          <cell r="M81">
            <v>53</v>
          </cell>
          <cell r="N81">
            <v>764.08561246568513</v>
          </cell>
          <cell r="O81">
            <v>2.5535585941284973</v>
          </cell>
          <cell r="P81">
            <v>497.10331525692851</v>
          </cell>
          <cell r="Q81">
            <v>238.803</v>
          </cell>
          <cell r="R81">
            <v>251.85</v>
          </cell>
          <cell r="S81">
            <v>1.3918762945303399E-2</v>
          </cell>
          <cell r="V81">
            <v>51.191626182750007</v>
          </cell>
        </row>
        <row r="82">
          <cell r="A82">
            <v>46274</v>
          </cell>
          <cell r="B82">
            <v>238.71</v>
          </cell>
          <cell r="C82">
            <v>238.71</v>
          </cell>
          <cell r="D82">
            <v>495.9824190132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300</v>
          </cell>
          <cell r="J82" t="str">
            <v>0</v>
          </cell>
          <cell r="L82">
            <v>47.994142724485314</v>
          </cell>
          <cell r="M82">
            <v>53</v>
          </cell>
          <cell r="N82">
            <v>780.79414272448525</v>
          </cell>
          <cell r="O82">
            <v>1.6671081639714591</v>
          </cell>
          <cell r="P82">
            <v>497.64952717717148</v>
          </cell>
          <cell r="Q82">
            <v>238.84899999999999</v>
          </cell>
          <cell r="R82">
            <v>251.85</v>
          </cell>
          <cell r="S82">
            <v>1.3918762945303399E-2</v>
          </cell>
          <cell r="V82">
            <v>41.404898070000002</v>
          </cell>
        </row>
        <row r="83">
          <cell r="A83">
            <v>46275</v>
          </cell>
          <cell r="B83">
            <v>238.92</v>
          </cell>
          <cell r="C83">
            <v>238.92</v>
          </cell>
          <cell r="D83">
            <v>498.48957812639998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300</v>
          </cell>
          <cell r="J83" t="str">
            <v>0</v>
          </cell>
          <cell r="L83">
            <v>36.191173977878293</v>
          </cell>
          <cell r="M83">
            <v>53</v>
          </cell>
          <cell r="N83">
            <v>768.99117397787825</v>
          </cell>
          <cell r="O83">
            <v>2.4672201579794781</v>
          </cell>
          <cell r="P83">
            <v>500.95679828437943</v>
          </cell>
          <cell r="Q83">
            <v>239.126</v>
          </cell>
          <cell r="R83">
            <v>251.85</v>
          </cell>
          <cell r="S83">
            <v>1.3918762945303399E-2</v>
          </cell>
          <cell r="V83">
            <v>50.331247012350005</v>
          </cell>
        </row>
        <row r="84">
          <cell r="A84">
            <v>46276</v>
          </cell>
          <cell r="B84">
            <v>238.96</v>
          </cell>
          <cell r="C84">
            <v>238.96</v>
          </cell>
          <cell r="D84">
            <v>498.96713224320001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300</v>
          </cell>
          <cell r="J84" t="str">
            <v>0</v>
          </cell>
          <cell r="L84">
            <v>27.506898347814758</v>
          </cell>
          <cell r="M84">
            <v>53</v>
          </cell>
          <cell r="N84">
            <v>760.30689834781469</v>
          </cell>
          <cell r="O84">
            <v>1.3455534204113411</v>
          </cell>
          <cell r="P84">
            <v>500.31268566361138</v>
          </cell>
          <cell r="Q84">
            <v>239.072</v>
          </cell>
          <cell r="R84">
            <v>251.85</v>
          </cell>
          <cell r="S84">
            <v>1.3918762945303399E-2</v>
          </cell>
          <cell r="V84">
            <v>37.103058851699998</v>
          </cell>
        </row>
        <row r="85">
          <cell r="A85">
            <v>46277</v>
          </cell>
          <cell r="B85">
            <v>239.04</v>
          </cell>
          <cell r="C85">
            <v>239.04</v>
          </cell>
          <cell r="D85">
            <v>499.92224047680003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300</v>
          </cell>
          <cell r="J85" t="str">
            <v>0</v>
          </cell>
          <cell r="L85">
            <v>78.263003227802869</v>
          </cell>
          <cell r="M85">
            <v>53</v>
          </cell>
          <cell r="N85">
            <v>811.06300322780282</v>
          </cell>
          <cell r="O85">
            <v>1.4142382126674298</v>
          </cell>
          <cell r="P85">
            <v>501.33647868946747</v>
          </cell>
          <cell r="Q85">
            <v>239.15799999999999</v>
          </cell>
          <cell r="R85">
            <v>251.85</v>
          </cell>
          <cell r="S85">
            <v>1.3918762945303399E-2</v>
          </cell>
          <cell r="V85">
            <v>39.335276137200005</v>
          </cell>
        </row>
        <row r="86">
          <cell r="A86">
            <v>46278</v>
          </cell>
          <cell r="B86">
            <v>239.54</v>
          </cell>
          <cell r="C86">
            <v>239.54</v>
          </cell>
          <cell r="D86">
            <v>505.89166693679999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300</v>
          </cell>
          <cell r="J86" t="str">
            <v>0</v>
          </cell>
          <cell r="L86">
            <v>94.009969069536268</v>
          </cell>
          <cell r="M86">
            <v>53</v>
          </cell>
          <cell r="N86">
            <v>826.80996906953624</v>
          </cell>
          <cell r="O86">
            <v>0.92531544368127183</v>
          </cell>
          <cell r="P86">
            <v>506.81698238048125</v>
          </cell>
          <cell r="Q86">
            <v>239.61699999999999</v>
          </cell>
          <cell r="R86">
            <v>251.85</v>
          </cell>
          <cell r="S86">
            <v>1.3918762945303399E-2</v>
          </cell>
          <cell r="V86">
            <v>34.12234227015</v>
          </cell>
        </row>
        <row r="87">
          <cell r="A87">
            <v>46279</v>
          </cell>
          <cell r="B87">
            <v>239.62</v>
          </cell>
          <cell r="C87">
            <v>239.62</v>
          </cell>
          <cell r="D87">
            <v>506.84677517040001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300</v>
          </cell>
          <cell r="J87" t="str">
            <v>0</v>
          </cell>
          <cell r="L87">
            <v>88.7622125192825</v>
          </cell>
          <cell r="M87">
            <v>53</v>
          </cell>
          <cell r="N87">
            <v>821.56221251928241</v>
          </cell>
          <cell r="O87">
            <v>2.0048816572646961</v>
          </cell>
          <cell r="P87">
            <v>508.85165682766473</v>
          </cell>
          <cell r="Q87">
            <v>239.78700000000001</v>
          </cell>
          <cell r="R87">
            <v>251.85</v>
          </cell>
          <cell r="S87">
            <v>1.3918762945303399E-2</v>
          </cell>
          <cell r="V87">
            <v>46.468743721800003</v>
          </cell>
        </row>
        <row r="88">
          <cell r="A88">
            <v>46280</v>
          </cell>
          <cell r="B88">
            <v>239.65</v>
          </cell>
          <cell r="C88">
            <v>239.65</v>
          </cell>
          <cell r="D88">
            <v>507.20494075800002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300</v>
          </cell>
          <cell r="J88" t="str">
            <v>0</v>
          </cell>
          <cell r="L88">
            <v>87.971211883005907</v>
          </cell>
          <cell r="M88">
            <v>53</v>
          </cell>
          <cell r="N88">
            <v>820.77121188300589</v>
          </cell>
          <cell r="O88">
            <v>6.4791618683113121</v>
          </cell>
          <cell r="P88">
            <v>513.6841026263113</v>
          </cell>
          <cell r="Q88">
            <v>240.17699999999999</v>
          </cell>
          <cell r="R88">
            <v>251.85</v>
          </cell>
          <cell r="S88">
            <v>1.3918762945303399E-2</v>
          </cell>
          <cell r="V88">
            <v>98.232087106050002</v>
          </cell>
        </row>
        <row r="89">
          <cell r="A89">
            <v>46281</v>
          </cell>
          <cell r="B89">
            <v>240.15</v>
          </cell>
          <cell r="C89">
            <v>240.15</v>
          </cell>
          <cell r="D89">
            <v>513.3319689576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300</v>
          </cell>
          <cell r="J89" t="str">
            <v>0</v>
          </cell>
          <cell r="L89">
            <v>85.699285129169397</v>
          </cell>
          <cell r="M89">
            <v>53</v>
          </cell>
          <cell r="N89">
            <v>818.49928512916938</v>
          </cell>
          <cell r="O89">
            <v>1.4987665689915746</v>
          </cell>
          <cell r="P89">
            <v>514.83073552659152</v>
          </cell>
          <cell r="Q89">
            <v>240.26499999999999</v>
          </cell>
          <cell r="R89">
            <v>251.85</v>
          </cell>
          <cell r="S89">
            <v>1.3918762945303399E-2</v>
          </cell>
          <cell r="V89">
            <v>40.524187401299997</v>
          </cell>
        </row>
        <row r="90">
          <cell r="A90">
            <v>46282</v>
          </cell>
          <cell r="B90">
            <v>240.41</v>
          </cell>
          <cell r="C90">
            <v>240.41</v>
          </cell>
          <cell r="D90">
            <v>516.70924706543997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300</v>
          </cell>
          <cell r="J90" t="str">
            <v>0</v>
          </cell>
          <cell r="L90">
            <v>52.612765259426418</v>
          </cell>
          <cell r="M90">
            <v>53</v>
          </cell>
          <cell r="N90">
            <v>785.41276525942635</v>
          </cell>
          <cell r="O90">
            <v>0.96338459516848207</v>
          </cell>
          <cell r="P90">
            <v>517.67263166060843</v>
          </cell>
          <cell r="Q90">
            <v>240.48400000000001</v>
          </cell>
          <cell r="R90">
            <v>251.85</v>
          </cell>
          <cell r="S90">
            <v>1.3918762945303399E-2</v>
          </cell>
          <cell r="V90">
            <v>33.390719816699999</v>
          </cell>
        </row>
        <row r="91">
          <cell r="A91">
            <v>46283</v>
          </cell>
          <cell r="B91">
            <v>240.66</v>
          </cell>
          <cell r="C91">
            <v>240.66</v>
          </cell>
          <cell r="D91">
            <v>519.95662986143998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300</v>
          </cell>
          <cell r="J91" t="str">
            <v>0</v>
          </cell>
          <cell r="L91">
            <v>38.609445744788196</v>
          </cell>
          <cell r="M91">
            <v>53</v>
          </cell>
          <cell r="N91">
            <v>771.40944574478817</v>
          </cell>
          <cell r="O91">
            <v>0.73688912527685635</v>
          </cell>
          <cell r="P91">
            <v>520.69351898671687</v>
          </cell>
          <cell r="Q91">
            <v>240.71600000000001</v>
          </cell>
          <cell r="R91">
            <v>251.85</v>
          </cell>
          <cell r="S91">
            <v>1.3918762945303399E-2</v>
          </cell>
          <cell r="V91">
            <v>30.372709943700002</v>
          </cell>
        </row>
        <row r="92">
          <cell r="A92">
            <v>46284</v>
          </cell>
          <cell r="B92">
            <v>240.9</v>
          </cell>
          <cell r="C92">
            <v>240.9</v>
          </cell>
          <cell r="D92">
            <v>523.07411734560003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300</v>
          </cell>
          <cell r="J92" t="str">
            <v>0</v>
          </cell>
          <cell r="L92">
            <v>71.324056855181794</v>
          </cell>
          <cell r="M92">
            <v>53</v>
          </cell>
          <cell r="N92">
            <v>804.12405685518172</v>
          </cell>
          <cell r="O92">
            <v>1.1025522095307718</v>
          </cell>
          <cell r="P92">
            <v>524.17666955513084</v>
          </cell>
          <cell r="Q92">
            <v>240.98400000000001</v>
          </cell>
          <cell r="R92">
            <v>251.85</v>
          </cell>
          <cell r="S92">
            <v>1.3918762945303399E-2</v>
          </cell>
          <cell r="V92">
            <v>35.531303775600001</v>
          </cell>
        </row>
        <row r="93">
          <cell r="A93">
            <v>46285</v>
          </cell>
          <cell r="B93">
            <v>241.06</v>
          </cell>
          <cell r="C93">
            <v>241.06</v>
          </cell>
          <cell r="D93">
            <v>525.15244233503995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300</v>
          </cell>
          <cell r="J93" t="str">
            <v>0</v>
          </cell>
          <cell r="L93">
            <v>69.882496331244198</v>
          </cell>
          <cell r="M93">
            <v>53</v>
          </cell>
          <cell r="N93">
            <v>802.68249633124412</v>
          </cell>
          <cell r="O93">
            <v>0.4116368905016336</v>
          </cell>
          <cell r="P93">
            <v>525.5640792255416</v>
          </cell>
          <cell r="Q93">
            <v>241.09100000000001</v>
          </cell>
          <cell r="R93">
            <v>251.85</v>
          </cell>
          <cell r="S93">
            <v>1.3918762945303399E-2</v>
          </cell>
          <cell r="V93">
            <v>27.493764121050003</v>
          </cell>
        </row>
        <row r="94">
          <cell r="A94">
            <v>46286</v>
          </cell>
          <cell r="B94">
            <v>241.17</v>
          </cell>
          <cell r="C94">
            <v>241.17</v>
          </cell>
          <cell r="D94">
            <v>526.58129076527996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I94">
            <v>300</v>
          </cell>
          <cell r="J94" t="str">
            <v>0</v>
          </cell>
          <cell r="L94">
            <v>48.058045847677953</v>
          </cell>
          <cell r="M94">
            <v>53</v>
          </cell>
          <cell r="N94">
            <v>780.85804584767789</v>
          </cell>
          <cell r="O94">
            <v>0.17709252073405693</v>
          </cell>
          <cell r="P94">
            <v>526.75838328601401</v>
          </cell>
          <cell r="Q94">
            <v>241.18299999999999</v>
          </cell>
          <cell r="R94">
            <v>251.85</v>
          </cell>
          <cell r="S94">
            <v>1.3918762945303399E-2</v>
          </cell>
          <cell r="V94">
            <v>24.1611257277</v>
          </cell>
        </row>
        <row r="95">
          <cell r="A95">
            <v>46287</v>
          </cell>
          <cell r="B95">
            <v>241.57</v>
          </cell>
          <cell r="C95">
            <v>241.57</v>
          </cell>
          <cell r="D95">
            <v>531.77710323888004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I95">
            <v>300</v>
          </cell>
          <cell r="J95" t="str">
            <v>0</v>
          </cell>
          <cell r="L95">
            <v>84.00171590983193</v>
          </cell>
          <cell r="M95">
            <v>53</v>
          </cell>
          <cell r="N95">
            <v>816.80171590983184</v>
          </cell>
          <cell r="O95">
            <v>7.2216146602754425E-2</v>
          </cell>
          <cell r="P95">
            <v>531.84931938548277</v>
          </cell>
          <cell r="Q95">
            <v>241.57499999999999</v>
          </cell>
          <cell r="R95">
            <v>251.85</v>
          </cell>
          <cell r="S95">
            <v>1.3918762945303399E-2</v>
          </cell>
          <cell r="V95">
            <v>23.965088175150001</v>
          </cell>
        </row>
        <row r="96">
          <cell r="A96">
            <v>46288</v>
          </cell>
          <cell r="B96">
            <v>241.85</v>
          </cell>
          <cell r="C96">
            <v>241.85</v>
          </cell>
          <cell r="D96">
            <v>535.41417197040005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I96">
            <v>300</v>
          </cell>
          <cell r="J96" t="str">
            <v>0</v>
          </cell>
          <cell r="L96">
            <v>86.065909551064934</v>
          </cell>
          <cell r="M96">
            <v>53</v>
          </cell>
          <cell r="N96">
            <v>818.86590955106487</v>
          </cell>
          <cell r="O96">
            <v>4.3185023289582682</v>
          </cell>
          <cell r="P96">
            <v>539.73267429935834</v>
          </cell>
          <cell r="Q96">
            <v>242.18199999999999</v>
          </cell>
          <cell r="R96">
            <v>251.85</v>
          </cell>
          <cell r="S96">
            <v>1.3918762945303399E-2</v>
          </cell>
          <cell r="V96">
            <v>73.170457231499995</v>
          </cell>
        </row>
        <row r="97">
          <cell r="A97">
            <v>46289</v>
          </cell>
          <cell r="B97">
            <v>242.76</v>
          </cell>
          <cell r="C97">
            <v>242.76</v>
          </cell>
          <cell r="D97">
            <v>547.23464534784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I97">
            <v>300</v>
          </cell>
          <cell r="J97" t="str">
            <v>0</v>
          </cell>
          <cell r="L97">
            <v>67.619654465974577</v>
          </cell>
          <cell r="M97">
            <v>53</v>
          </cell>
          <cell r="N97">
            <v>800.41965446597453</v>
          </cell>
          <cell r="O97">
            <v>0.85755107542042586</v>
          </cell>
          <cell r="P97">
            <v>548.09219642326048</v>
          </cell>
          <cell r="Q97">
            <v>242.82599999999999</v>
          </cell>
          <cell r="R97">
            <v>251.85</v>
          </cell>
          <cell r="S97">
            <v>1.3918762945303399E-2</v>
          </cell>
          <cell r="V97">
            <v>32.590740487350004</v>
          </cell>
        </row>
        <row r="98">
          <cell r="A98">
            <v>46290</v>
          </cell>
          <cell r="B98">
            <v>243.13</v>
          </cell>
          <cell r="C98">
            <v>243.13</v>
          </cell>
          <cell r="D98">
            <v>552.04077188591998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I98">
            <v>300</v>
          </cell>
          <cell r="J98" t="str">
            <v>0</v>
          </cell>
          <cell r="L98">
            <v>92.852702544344282</v>
          </cell>
          <cell r="M98">
            <v>53</v>
          </cell>
          <cell r="N98">
            <v>825.65270254434427</v>
          </cell>
          <cell r="O98">
            <v>0.32156340890621571</v>
          </cell>
          <cell r="P98">
            <v>552.36233529482615</v>
          </cell>
          <cell r="Q98">
            <v>243.154</v>
          </cell>
          <cell r="R98">
            <v>251.85</v>
          </cell>
          <cell r="S98">
            <v>1.3918762945303399E-2</v>
          </cell>
          <cell r="V98">
            <v>27.101689015950001</v>
          </cell>
        </row>
        <row r="99">
          <cell r="A99">
            <v>46291</v>
          </cell>
          <cell r="B99">
            <v>243.58</v>
          </cell>
          <cell r="C99">
            <v>243.58</v>
          </cell>
          <cell r="D99">
            <v>557.88606091871998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I99">
            <v>300</v>
          </cell>
          <cell r="J99" t="str">
            <v>0</v>
          </cell>
          <cell r="L99">
            <v>86.411241160760795</v>
          </cell>
          <cell r="M99">
            <v>53</v>
          </cell>
          <cell r="N99">
            <v>819.21124116076078</v>
          </cell>
          <cell r="O99">
            <v>2.8706938892610303</v>
          </cell>
          <cell r="P99">
            <v>560.756754807981</v>
          </cell>
          <cell r="Q99">
            <v>243.80099999999999</v>
          </cell>
          <cell r="R99">
            <v>251.85</v>
          </cell>
          <cell r="S99">
            <v>1.3918762945303399E-2</v>
          </cell>
          <cell r="V99">
            <v>56.423164220250001</v>
          </cell>
        </row>
        <row r="100">
          <cell r="A100">
            <v>46292</v>
          </cell>
          <cell r="B100">
            <v>243.89</v>
          </cell>
          <cell r="C100">
            <v>243.89</v>
          </cell>
          <cell r="D100">
            <v>561.91281558575997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I100">
            <v>300</v>
          </cell>
          <cell r="J100" t="str">
            <v>0</v>
          </cell>
          <cell r="L100">
            <v>55.163017262352938</v>
          </cell>
          <cell r="M100">
            <v>53</v>
          </cell>
          <cell r="N100">
            <v>787.96301726235288</v>
          </cell>
          <cell r="O100">
            <v>2.1319497200089792</v>
          </cell>
          <cell r="P100">
            <v>564.04476530576892</v>
          </cell>
          <cell r="Q100">
            <v>244.054</v>
          </cell>
          <cell r="R100">
            <v>251.85</v>
          </cell>
          <cell r="S100">
            <v>1.3918762945303399E-2</v>
          </cell>
          <cell r="V100">
            <v>46.988018117100005</v>
          </cell>
        </row>
        <row r="101">
          <cell r="A101">
            <v>46293</v>
          </cell>
          <cell r="B101">
            <v>244.18</v>
          </cell>
          <cell r="C101">
            <v>244.18</v>
          </cell>
          <cell r="D101">
            <v>565.67977962912005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I101">
            <v>300</v>
          </cell>
          <cell r="J101" t="str">
            <v>0</v>
          </cell>
          <cell r="L101">
            <v>48.35440746136554</v>
          </cell>
          <cell r="M101">
            <v>53</v>
          </cell>
          <cell r="N101">
            <v>781.15440746136551</v>
          </cell>
          <cell r="O101">
            <v>1.5887756359179073</v>
          </cell>
          <cell r="P101">
            <v>567.268555265038</v>
          </cell>
          <cell r="Q101">
            <v>244.30199999999999</v>
          </cell>
          <cell r="R101">
            <v>251.85</v>
          </cell>
          <cell r="S101">
            <v>1.3918762945303399E-2</v>
          </cell>
          <cell r="V101">
            <v>40.508471549549995</v>
          </cell>
        </row>
        <row r="102">
          <cell r="A102">
            <v>46294</v>
          </cell>
          <cell r="B102">
            <v>243.32</v>
          </cell>
          <cell r="C102">
            <v>243.32</v>
          </cell>
          <cell r="D102">
            <v>554.50878281088001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I102">
            <v>300</v>
          </cell>
          <cell r="J102" t="str">
            <v>0</v>
          </cell>
          <cell r="L102">
            <v>41.598889776156057</v>
          </cell>
          <cell r="M102">
            <v>53</v>
          </cell>
          <cell r="N102">
            <v>774.39888977615601</v>
          </cell>
          <cell r="O102">
            <v>1.2517249770189973</v>
          </cell>
          <cell r="P102">
            <v>555.76050778789897</v>
          </cell>
          <cell r="Q102">
            <v>243.416</v>
          </cell>
          <cell r="R102">
            <v>251.85</v>
          </cell>
          <cell r="S102">
            <v>1.3918762945303399E-2</v>
          </cell>
          <cell r="V102">
            <v>36.416120387550002</v>
          </cell>
        </row>
        <row r="103">
          <cell r="A103">
            <v>46295</v>
          </cell>
          <cell r="B103">
            <v>242.66</v>
          </cell>
          <cell r="C103">
            <v>242.66</v>
          </cell>
          <cell r="D103">
            <v>545.93569222943995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I103">
            <v>300</v>
          </cell>
          <cell r="J103" t="str">
            <v>0</v>
          </cell>
          <cell r="L103">
            <v>43.248996189026919</v>
          </cell>
          <cell r="M103">
            <v>53</v>
          </cell>
          <cell r="N103">
            <v>776.04899618902687</v>
          </cell>
          <cell r="O103">
            <v>1.0905421383631781</v>
          </cell>
          <cell r="P103">
            <v>547.02623436780311</v>
          </cell>
          <cell r="Q103">
            <v>242.74299999999999</v>
          </cell>
          <cell r="R103">
            <v>251.85</v>
          </cell>
          <cell r="S103">
            <v>1.3918762945303399E-2</v>
          </cell>
          <cell r="V103">
            <v>34.597300795199999</v>
          </cell>
        </row>
        <row r="104">
          <cell r="A104">
            <v>46296</v>
          </cell>
          <cell r="B104">
            <v>242.64</v>
          </cell>
          <cell r="C104">
            <v>242.64</v>
          </cell>
          <cell r="D104">
            <v>545.67590160576003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I104">
            <v>300</v>
          </cell>
          <cell r="J104" t="str">
            <v>0</v>
          </cell>
          <cell r="L104">
            <v>71.946858850933211</v>
          </cell>
          <cell r="M104">
            <v>53</v>
          </cell>
          <cell r="N104">
            <v>804.74685885093322</v>
          </cell>
          <cell r="O104">
            <v>0.85336204493576684</v>
          </cell>
          <cell r="P104">
            <v>546.52926365069584</v>
          </cell>
          <cell r="Q104">
            <v>242.70500000000001</v>
          </cell>
          <cell r="R104">
            <v>251.85</v>
          </cell>
          <cell r="S104">
            <v>1.3918762945303399E-2</v>
          </cell>
          <cell r="V104">
            <v>32.664789050100005</v>
          </cell>
        </row>
        <row r="105">
          <cell r="A105">
            <v>46297</v>
          </cell>
          <cell r="B105">
            <v>242.66</v>
          </cell>
          <cell r="C105">
            <v>242.66</v>
          </cell>
          <cell r="D105">
            <v>545.93569222943995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I105">
            <v>300</v>
          </cell>
          <cell r="J105" t="str">
            <v>0</v>
          </cell>
          <cell r="L105">
            <v>65.21618576807532</v>
          </cell>
          <cell r="M105">
            <v>53</v>
          </cell>
          <cell r="N105">
            <v>798.01618576807527</v>
          </cell>
          <cell r="O105">
            <v>0.73232690544367784</v>
          </cell>
          <cell r="P105">
            <v>546.66801913488359</v>
          </cell>
          <cell r="Q105">
            <v>242.71600000000001</v>
          </cell>
          <cell r="R105">
            <v>251.85</v>
          </cell>
          <cell r="S105">
            <v>1.3918762945303399E-2</v>
          </cell>
          <cell r="V105">
            <v>31.073325446400002</v>
          </cell>
        </row>
        <row r="106">
          <cell r="A106">
            <v>46298</v>
          </cell>
          <cell r="B106">
            <v>242.62</v>
          </cell>
          <cell r="C106">
            <v>242.62</v>
          </cell>
          <cell r="D106">
            <v>545.41611098208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I106">
            <v>300</v>
          </cell>
          <cell r="J106" t="str">
            <v>0</v>
          </cell>
          <cell r="L106">
            <v>17.782602704079554</v>
          </cell>
          <cell r="M106">
            <v>53</v>
          </cell>
          <cell r="N106">
            <v>750.58260270407948</v>
          </cell>
          <cell r="O106">
            <v>7.875121609864405E-2</v>
          </cell>
          <cell r="P106">
            <v>545.49486219817868</v>
          </cell>
          <cell r="Q106">
            <v>242.626</v>
          </cell>
          <cell r="R106">
            <v>251.85</v>
          </cell>
          <cell r="S106">
            <v>1.3918762945303399E-2</v>
          </cell>
          <cell r="V106">
            <v>22.165608991349998</v>
          </cell>
        </row>
        <row r="107">
          <cell r="A107">
            <v>46299</v>
          </cell>
          <cell r="B107">
            <v>242.61</v>
          </cell>
          <cell r="C107">
            <v>242.61</v>
          </cell>
          <cell r="D107">
            <v>545.28621567024004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I107">
            <v>300</v>
          </cell>
          <cell r="J107" t="str">
            <v>0</v>
          </cell>
          <cell r="L107">
            <v>37.725231435631756</v>
          </cell>
          <cell r="M107">
            <v>53</v>
          </cell>
          <cell r="N107">
            <v>770.52523143563167</v>
          </cell>
          <cell r="O107">
            <v>1.4164297824225749</v>
          </cell>
          <cell r="P107">
            <v>546.70264545266264</v>
          </cell>
          <cell r="Q107">
            <v>242.71899999999999</v>
          </cell>
          <cell r="R107">
            <v>251.85</v>
          </cell>
          <cell r="S107">
            <v>1.3918762945303399E-2</v>
          </cell>
          <cell r="V107">
            <v>38.212739569500002</v>
          </cell>
        </row>
        <row r="108">
          <cell r="A108">
            <v>46300</v>
          </cell>
          <cell r="B108">
            <v>242.71899999999999</v>
          </cell>
          <cell r="D108">
            <v>546.70207456929597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I108">
            <v>300</v>
          </cell>
          <cell r="J108" t="str">
            <v>0</v>
          </cell>
          <cell r="L108">
            <v>43.829260629125422</v>
          </cell>
          <cell r="M108">
            <v>53</v>
          </cell>
          <cell r="N108">
            <v>776.62926062912538</v>
          </cell>
          <cell r="O108">
            <v>3.8370235345992452</v>
          </cell>
          <cell r="P108">
            <v>550.53909810389518</v>
          </cell>
          <cell r="Q108">
            <v>243.01400000000001</v>
          </cell>
          <cell r="R108">
            <v>251.85</v>
          </cell>
          <cell r="S108">
            <v>1.3918762945303399E-2</v>
          </cell>
          <cell r="V108">
            <v>66.4017673086</v>
          </cell>
        </row>
        <row r="109">
          <cell r="A109">
            <v>46301</v>
          </cell>
          <cell r="B109">
            <v>243.01400000000001</v>
          </cell>
          <cell r="C109" t="str">
            <v/>
          </cell>
          <cell r="D109">
            <v>550.53398626857597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I109">
            <v>300</v>
          </cell>
          <cell r="J109" t="str">
            <v>0</v>
          </cell>
          <cell r="L109">
            <v>39.651098491990616</v>
          </cell>
          <cell r="M109">
            <v>53</v>
          </cell>
          <cell r="N109">
            <v>772.45109849199059</v>
          </cell>
          <cell r="O109">
            <v>1.068167991521261</v>
          </cell>
          <cell r="P109">
            <v>551.60215426009722</v>
          </cell>
          <cell r="Q109">
            <v>243.096</v>
          </cell>
          <cell r="R109">
            <v>251.85</v>
          </cell>
          <cell r="S109">
            <v>1.3918762945303399E-2</v>
          </cell>
          <cell r="V109">
            <v>34.236459175649998</v>
          </cell>
        </row>
        <row r="110">
          <cell r="A110">
            <v>46302</v>
          </cell>
          <cell r="B110">
            <v>243.096</v>
          </cell>
          <cell r="C110" t="str">
            <v/>
          </cell>
          <cell r="D110">
            <v>551.59912782566403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I110">
            <v>300</v>
          </cell>
          <cell r="J110" t="str">
            <v>0</v>
          </cell>
          <cell r="L110">
            <v>84.021961162566967</v>
          </cell>
          <cell r="M110">
            <v>53</v>
          </cell>
          <cell r="N110">
            <v>816.82196116256694</v>
          </cell>
          <cell r="O110">
            <v>0.40134302687391765</v>
          </cell>
          <cell r="P110">
            <v>552.000470852538</v>
          </cell>
          <cell r="Q110">
            <v>243.126</v>
          </cell>
          <cell r="R110">
            <v>251.85</v>
          </cell>
          <cell r="S110">
            <v>1.3918762945303399E-2</v>
          </cell>
          <cell r="V110">
            <v>27.775007075250002</v>
          </cell>
        </row>
        <row r="111">
          <cell r="A111">
            <v>46303</v>
          </cell>
          <cell r="B111">
            <v>243.126</v>
          </cell>
          <cell r="C111" t="str">
            <v/>
          </cell>
          <cell r="D111">
            <v>551.98881376118402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I111">
            <v>300</v>
          </cell>
          <cell r="J111" t="str">
            <v>0</v>
          </cell>
          <cell r="L111">
            <v>95.503746218151093</v>
          </cell>
          <cell r="M111">
            <v>53</v>
          </cell>
          <cell r="N111">
            <v>828.30374621815099</v>
          </cell>
          <cell r="O111">
            <v>0.88244226958664407</v>
          </cell>
          <cell r="P111">
            <v>552.87125603077061</v>
          </cell>
          <cell r="Q111">
            <v>243.19300000000001</v>
          </cell>
          <cell r="R111">
            <v>251.85</v>
          </cell>
          <cell r="S111">
            <v>1.3918762945303399E-2</v>
          </cell>
          <cell r="V111">
            <v>33.668423164650001</v>
          </cell>
        </row>
        <row r="112">
          <cell r="A112">
            <v>46304</v>
          </cell>
          <cell r="B112">
            <v>243.19300000000001</v>
          </cell>
          <cell r="C112" t="str">
            <v/>
          </cell>
          <cell r="D112">
            <v>552.85911235051196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I112">
            <v>300</v>
          </cell>
          <cell r="J112" t="str">
            <v>0</v>
          </cell>
          <cell r="L112">
            <v>50.08544591755539</v>
          </cell>
          <cell r="M112">
            <v>53</v>
          </cell>
          <cell r="N112">
            <v>782.88544591755533</v>
          </cell>
          <cell r="O112">
            <v>0.23897756853288876</v>
          </cell>
          <cell r="P112">
            <v>553.09808991904481</v>
          </cell>
          <cell r="Q112">
            <v>243.21100000000001</v>
          </cell>
          <cell r="R112">
            <v>251.85</v>
          </cell>
          <cell r="S112">
            <v>1.3918762945303399E-2</v>
          </cell>
          <cell r="V112">
            <v>24.934798703399998</v>
          </cell>
        </row>
        <row r="113">
          <cell r="A113">
            <v>46305</v>
          </cell>
          <cell r="B113">
            <v>243.21100000000001</v>
          </cell>
          <cell r="C113" t="str">
            <v/>
          </cell>
          <cell r="D113">
            <v>553.09292391182396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I113">
            <v>300</v>
          </cell>
          <cell r="J113" t="str">
            <v>0</v>
          </cell>
          <cell r="L113">
            <v>32.962365724157316</v>
          </cell>
          <cell r="M113">
            <v>53</v>
          </cell>
          <cell r="N113">
            <v>765.76236572415723</v>
          </cell>
          <cell r="O113">
            <v>0.52886468442201273</v>
          </cell>
          <cell r="P113">
            <v>553.62178859624601</v>
          </cell>
          <cell r="Q113">
            <v>243.251</v>
          </cell>
          <cell r="R113">
            <v>251.85</v>
          </cell>
          <cell r="S113">
            <v>1.3918762945303399E-2</v>
          </cell>
          <cell r="V113">
            <v>27.805107886800002</v>
          </cell>
        </row>
        <row r="114">
          <cell r="A114">
            <v>46306</v>
          </cell>
          <cell r="B114">
            <v>243.251</v>
          </cell>
          <cell r="C114" t="str">
            <v/>
          </cell>
          <cell r="D114">
            <v>553.61250515918402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I114">
            <v>300</v>
          </cell>
          <cell r="J114" t="str">
            <v>0</v>
          </cell>
          <cell r="L114">
            <v>37.886760908857909</v>
          </cell>
          <cell r="M114">
            <v>53</v>
          </cell>
          <cell r="N114">
            <v>770.68676090885788</v>
          </cell>
          <cell r="O114">
            <v>0.2029192268223789</v>
          </cell>
          <cell r="P114">
            <v>553.81542438600638</v>
          </cell>
          <cell r="Q114">
            <v>243.26599999999999</v>
          </cell>
          <cell r="R114">
            <v>251.85</v>
          </cell>
          <cell r="S114">
            <v>1.3918762945303399E-2</v>
          </cell>
          <cell r="V114">
            <v>24.172027714949998</v>
          </cell>
        </row>
        <row r="115">
          <cell r="A115">
            <v>46307</v>
          </cell>
          <cell r="B115">
            <v>243.26599999999999</v>
          </cell>
          <cell r="C115" t="str">
            <v/>
          </cell>
          <cell r="D115">
            <v>553.80734812694402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I115">
            <v>300</v>
          </cell>
          <cell r="J115" t="str">
            <v>0</v>
          </cell>
          <cell r="L115">
            <v>27.525270608601467</v>
          </cell>
          <cell r="M115">
            <v>53</v>
          </cell>
          <cell r="N115">
            <v>760.32527060860139</v>
          </cell>
          <cell r="O115">
            <v>0.97170904167814287</v>
          </cell>
          <cell r="P115">
            <v>554.77905716862222</v>
          </cell>
          <cell r="Q115">
            <v>243.34</v>
          </cell>
          <cell r="R115">
            <v>251.85</v>
          </cell>
          <cell r="S115">
            <v>1.3918762945303399E-2</v>
          </cell>
          <cell r="V115">
            <v>32.77666892445</v>
          </cell>
        </row>
        <row r="116">
          <cell r="A116">
            <v>46308</v>
          </cell>
          <cell r="B116">
            <v>243.34</v>
          </cell>
          <cell r="C116" t="str">
            <v/>
          </cell>
          <cell r="D116">
            <v>554.76857343456004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I116">
            <v>300</v>
          </cell>
          <cell r="J116" t="str">
            <v>0</v>
          </cell>
          <cell r="L116">
            <v>51.434159374811017</v>
          </cell>
          <cell r="M116">
            <v>53</v>
          </cell>
          <cell r="N116">
            <v>784.23415937481093</v>
          </cell>
          <cell r="O116">
            <v>4.0301487983994067</v>
          </cell>
          <cell r="P116">
            <v>558.79872223295945</v>
          </cell>
          <cell r="Q116">
            <v>243.65</v>
          </cell>
          <cell r="R116">
            <v>251.85</v>
          </cell>
          <cell r="S116">
            <v>1.3918762945303399E-2</v>
          </cell>
          <cell r="V116">
            <v>68.852364141300001</v>
          </cell>
        </row>
        <row r="117">
          <cell r="A117">
            <v>46309</v>
          </cell>
          <cell r="B117">
            <v>243.65</v>
          </cell>
          <cell r="C117" t="str">
            <v/>
          </cell>
          <cell r="D117">
            <v>558.79532810160003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I117">
            <v>300</v>
          </cell>
          <cell r="J117" t="str">
            <v>0</v>
          </cell>
          <cell r="L117">
            <v>93.472276973952191</v>
          </cell>
          <cell r="M117">
            <v>53</v>
          </cell>
          <cell r="N117">
            <v>826.2722769739521</v>
          </cell>
          <cell r="O117">
            <v>0.45241198812725691</v>
          </cell>
          <cell r="P117">
            <v>559.24774008972724</v>
          </cell>
          <cell r="Q117">
            <v>243.684</v>
          </cell>
          <cell r="R117">
            <v>251.85</v>
          </cell>
          <cell r="S117">
            <v>1.3918762945303399E-2</v>
          </cell>
          <cell r="V117">
            <v>28.633687234650001</v>
          </cell>
        </row>
        <row r="118">
          <cell r="A118">
            <v>46310</v>
          </cell>
          <cell r="B118">
            <v>243.684</v>
          </cell>
          <cell r="C118" t="str">
            <v/>
          </cell>
          <cell r="D118">
            <v>559.23697216185599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I118">
            <v>300</v>
          </cell>
          <cell r="J118" t="str">
            <v>0</v>
          </cell>
          <cell r="L118">
            <v>28.220941583115753</v>
          </cell>
          <cell r="M118">
            <v>53</v>
          </cell>
          <cell r="N118">
            <v>761.0209415831157</v>
          </cell>
          <cell r="O118">
            <v>0.18251193174156541</v>
          </cell>
          <cell r="P118">
            <v>559.41948409359759</v>
          </cell>
          <cell r="Q118">
            <v>243.69800000000001</v>
          </cell>
          <cell r="R118">
            <v>251.85</v>
          </cell>
          <cell r="S118">
            <v>1.3918762945303399E-2</v>
          </cell>
          <cell r="V118">
            <v>23.662126197000003</v>
          </cell>
        </row>
        <row r="119">
          <cell r="A119">
            <v>46311</v>
          </cell>
          <cell r="B119">
            <v>243.69800000000001</v>
          </cell>
          <cell r="C119" t="str">
            <v/>
          </cell>
          <cell r="D119">
            <v>559.41882559843202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I119">
            <v>300</v>
          </cell>
          <cell r="J119" t="str">
            <v>0</v>
          </cell>
          <cell r="L119">
            <v>40.148433269852767</v>
          </cell>
          <cell r="M119">
            <v>53</v>
          </cell>
          <cell r="N119">
            <v>772.94843326985267</v>
          </cell>
          <cell r="O119">
            <v>-2.8398415658322004E-2</v>
          </cell>
          <cell r="P119">
            <v>559.39042718277369</v>
          </cell>
          <cell r="Q119">
            <v>243.69499999999999</v>
          </cell>
          <cell r="R119">
            <v>251.85</v>
          </cell>
          <cell r="S119">
            <v>1.3918762945303399E-2</v>
          </cell>
          <cell r="V119">
            <v>21.558778895850001</v>
          </cell>
        </row>
        <row r="120">
          <cell r="A120">
            <v>46312</v>
          </cell>
          <cell r="B120">
            <v>243.69499999999999</v>
          </cell>
          <cell r="C120" t="str">
            <v/>
          </cell>
          <cell r="D120">
            <v>559.37985700488002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I120">
            <v>300</v>
          </cell>
          <cell r="J120" t="str">
            <v>0</v>
          </cell>
          <cell r="L120">
            <v>86.31298831471922</v>
          </cell>
          <cell r="M120">
            <v>53</v>
          </cell>
          <cell r="N120">
            <v>819.11298831471913</v>
          </cell>
          <cell r="O120">
            <v>1.4416814418931951</v>
          </cell>
          <cell r="P120">
            <v>560.82153844677327</v>
          </cell>
          <cell r="Q120">
            <v>243.80500000000001</v>
          </cell>
          <cell r="R120">
            <v>251.85</v>
          </cell>
          <cell r="S120">
            <v>1.3918762945303399E-2</v>
          </cell>
          <cell r="V120">
            <v>39.880856886149999</v>
          </cell>
        </row>
        <row r="121">
          <cell r="A121">
            <v>46313</v>
          </cell>
          <cell r="B121">
            <v>243.80500000000001</v>
          </cell>
          <cell r="C121" t="str">
            <v/>
          </cell>
          <cell r="D121">
            <v>560.80870543512003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I121">
            <v>300</v>
          </cell>
          <cell r="J121" t="str">
            <v>0</v>
          </cell>
          <cell r="L121">
            <v>36.734153869047098</v>
          </cell>
          <cell r="M121">
            <v>53</v>
          </cell>
          <cell r="N121">
            <v>769.53415386904703</v>
          </cell>
          <cell r="O121">
            <v>0.78032382356629193</v>
          </cell>
          <cell r="P121">
            <v>561.58902925868631</v>
          </cell>
          <cell r="Q121">
            <v>243.86500000000001</v>
          </cell>
          <cell r="R121">
            <v>251.85</v>
          </cell>
          <cell r="S121">
            <v>1.3918762945303399E-2</v>
          </cell>
          <cell r="V121">
            <v>30.822324888000001</v>
          </cell>
        </row>
        <row r="122">
          <cell r="A122">
            <v>46314</v>
          </cell>
          <cell r="B122">
            <v>243.86500000000001</v>
          </cell>
          <cell r="C122" t="str">
            <v/>
          </cell>
          <cell r="D122">
            <v>561.58807730616002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I122">
            <v>300</v>
          </cell>
          <cell r="J122" t="str">
            <v>0</v>
          </cell>
          <cell r="L122">
            <v>32.762012228309324</v>
          </cell>
          <cell r="M122">
            <v>53</v>
          </cell>
          <cell r="N122">
            <v>765.5620122283093</v>
          </cell>
          <cell r="O122">
            <v>0.46552870576512678</v>
          </cell>
          <cell r="P122">
            <v>562.05360601192513</v>
          </cell>
          <cell r="Q122">
            <v>243.9</v>
          </cell>
          <cell r="R122">
            <v>251.85</v>
          </cell>
          <cell r="S122">
            <v>1.3918762945303399E-2</v>
          </cell>
          <cell r="V122">
            <v>27.066377904000003</v>
          </cell>
        </row>
        <row r="123">
          <cell r="A123">
            <v>46315</v>
          </cell>
          <cell r="B123">
            <v>243.9</v>
          </cell>
          <cell r="C123" t="str">
            <v/>
          </cell>
          <cell r="D123">
            <v>562.04271089760005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I123">
            <v>300</v>
          </cell>
          <cell r="J123" t="str">
            <v>0</v>
          </cell>
          <cell r="L123">
            <v>82.065487198750105</v>
          </cell>
          <cell r="M123">
            <v>53</v>
          </cell>
          <cell r="N123">
            <v>814.86548719875009</v>
          </cell>
          <cell r="O123">
            <v>0.32581363049485351</v>
          </cell>
          <cell r="P123">
            <v>562.36852452809489</v>
          </cell>
          <cell r="Q123">
            <v>243.92500000000001</v>
          </cell>
          <cell r="R123">
            <v>251.85</v>
          </cell>
          <cell r="S123">
            <v>1.3918762945303399E-2</v>
          </cell>
          <cell r="V123">
            <v>26.845421523450003</v>
          </cell>
        </row>
        <row r="124">
          <cell r="A124">
            <v>46316</v>
          </cell>
          <cell r="B124">
            <v>243.92500000000001</v>
          </cell>
          <cell r="C124" t="str">
            <v/>
          </cell>
          <cell r="D124">
            <v>562.3674491772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I124">
            <v>300</v>
          </cell>
          <cell r="J124" t="str">
            <v>0</v>
          </cell>
          <cell r="L124">
            <v>36.468734437796272</v>
          </cell>
          <cell r="M124">
            <v>53</v>
          </cell>
          <cell r="N124">
            <v>769.26873443779618</v>
          </cell>
          <cell r="O124">
            <v>5.2287423516868454</v>
          </cell>
          <cell r="P124">
            <v>567.59619152888683</v>
          </cell>
          <cell r="Q124">
            <v>244.327</v>
          </cell>
          <cell r="R124">
            <v>251.85</v>
          </cell>
          <cell r="S124">
            <v>1.3918762945303399E-2</v>
          </cell>
          <cell r="V124">
            <v>82.301225514000009</v>
          </cell>
        </row>
        <row r="125">
          <cell r="A125">
            <v>46317</v>
          </cell>
          <cell r="B125">
            <v>244.327</v>
          </cell>
          <cell r="C125" t="str">
            <v/>
          </cell>
          <cell r="D125">
            <v>567.58924071316801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I125">
            <v>300</v>
          </cell>
          <cell r="J125" t="str">
            <v>0</v>
          </cell>
          <cell r="L125">
            <v>49.53321622063023</v>
          </cell>
          <cell r="M125">
            <v>53</v>
          </cell>
          <cell r="N125">
            <v>782.33321622063022</v>
          </cell>
          <cell r="O125">
            <v>1.2453288403959641</v>
          </cell>
          <cell r="P125">
            <v>568.83456955356394</v>
          </cell>
          <cell r="Q125">
            <v>244.422</v>
          </cell>
          <cell r="R125">
            <v>251.85</v>
          </cell>
          <cell r="S125">
            <v>1.3918762945303399E-2</v>
          </cell>
          <cell r="V125">
            <v>36.566766029550003</v>
          </cell>
        </row>
        <row r="126">
          <cell r="A126">
            <v>46318</v>
          </cell>
          <cell r="B126">
            <v>244.422</v>
          </cell>
          <cell r="C126" t="str">
            <v/>
          </cell>
          <cell r="D126">
            <v>568.82324617564802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I126">
            <v>300</v>
          </cell>
          <cell r="J126" t="str">
            <v>0</v>
          </cell>
          <cell r="L126">
            <v>47.159937675152413</v>
          </cell>
          <cell r="M126">
            <v>53</v>
          </cell>
          <cell r="N126">
            <v>779.95993767515233</v>
          </cell>
          <cell r="O126">
            <v>0.71664009583451715</v>
          </cell>
          <cell r="P126">
            <v>569.53988627148249</v>
          </cell>
          <cell r="Q126">
            <v>244.477</v>
          </cell>
          <cell r="R126">
            <v>251.85</v>
          </cell>
          <cell r="S126">
            <v>1.3918762945303399E-2</v>
          </cell>
          <cell r="V126">
            <v>30.380468760599999</v>
          </cell>
        </row>
        <row r="127">
          <cell r="A127">
            <v>46319</v>
          </cell>
          <cell r="B127">
            <v>244.477</v>
          </cell>
          <cell r="C127" t="str">
            <v/>
          </cell>
          <cell r="D127">
            <v>569.53767039076797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I127">
            <v>300</v>
          </cell>
          <cell r="J127" t="str">
            <v>0</v>
          </cell>
          <cell r="L127">
            <v>72.280965919789807</v>
          </cell>
          <cell r="M127">
            <v>53</v>
          </cell>
          <cell r="N127">
            <v>805.08096591978972</v>
          </cell>
          <cell r="O127">
            <v>4.9064426861623911</v>
          </cell>
          <cell r="P127">
            <v>574.44411307693031</v>
          </cell>
          <cell r="Q127">
            <v>244.85400000000001</v>
          </cell>
          <cell r="R127">
            <v>251.85</v>
          </cell>
          <cell r="S127">
            <v>1.3918762945303399E-2</v>
          </cell>
          <cell r="V127">
            <v>79.584988311450005</v>
          </cell>
        </row>
        <row r="128">
          <cell r="A128">
            <v>46320</v>
          </cell>
          <cell r="B128">
            <v>244.85400000000001</v>
          </cell>
          <cell r="C128" t="str">
            <v/>
          </cell>
          <cell r="D128">
            <v>574.43472364713602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I128">
            <v>300</v>
          </cell>
          <cell r="J128" t="str">
            <v>0</v>
          </cell>
          <cell r="L128">
            <v>25.539356262279505</v>
          </cell>
          <cell r="M128">
            <v>53</v>
          </cell>
          <cell r="N128">
            <v>758.33935626227947</v>
          </cell>
          <cell r="O128">
            <v>3.8631355584588531</v>
          </cell>
          <cell r="P128">
            <v>578.29785920559493</v>
          </cell>
          <cell r="Q128">
            <v>245.142</v>
          </cell>
          <cell r="R128">
            <v>251.85</v>
          </cell>
          <cell r="S128">
            <v>1.3918762945303399E-2</v>
          </cell>
          <cell r="V128">
            <v>66.18607786215</v>
          </cell>
        </row>
        <row r="129">
          <cell r="A129">
            <v>46321</v>
          </cell>
          <cell r="B129">
            <v>245.142</v>
          </cell>
          <cell r="C129" t="str">
            <v/>
          </cell>
          <cell r="D129">
            <v>578.29320203865598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I129">
            <v>300</v>
          </cell>
          <cell r="J129" t="str">
            <v>0</v>
          </cell>
          <cell r="L129">
            <v>23.86713983030122</v>
          </cell>
          <cell r="M129">
            <v>53</v>
          </cell>
          <cell r="N129">
            <v>756.66713983030115</v>
          </cell>
          <cell r="O129">
            <v>3.0722035538465269</v>
          </cell>
          <cell r="P129">
            <v>581.3654055925025</v>
          </cell>
          <cell r="Q129">
            <v>245.364</v>
          </cell>
          <cell r="R129">
            <v>251.85</v>
          </cell>
          <cell r="S129">
            <v>1.3918762945303399E-2</v>
          </cell>
          <cell r="V129">
            <v>56.98440418725</v>
          </cell>
        </row>
        <row r="130">
          <cell r="A130">
            <v>46322</v>
          </cell>
          <cell r="B130">
            <v>245.364</v>
          </cell>
          <cell r="C130" t="str">
            <v/>
          </cell>
          <cell r="D130">
            <v>581.36056484275196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I130">
            <v>300</v>
          </cell>
          <cell r="J130" t="str">
            <v>0</v>
          </cell>
          <cell r="L130">
            <v>21.854180883759593</v>
          </cell>
          <cell r="M130">
            <v>53</v>
          </cell>
          <cell r="N130">
            <v>754.65418088375952</v>
          </cell>
          <cell r="O130">
            <v>2.575008742540386</v>
          </cell>
          <cell r="P130">
            <v>583.93557358529233</v>
          </cell>
          <cell r="Q130">
            <v>245.55</v>
          </cell>
          <cell r="R130">
            <v>251.85</v>
          </cell>
          <cell r="S130">
            <v>1.3918762945303399E-2</v>
          </cell>
          <cell r="V130">
            <v>51.172823794350002</v>
          </cell>
        </row>
        <row r="131">
          <cell r="A131">
            <v>46323</v>
          </cell>
          <cell r="B131">
            <v>245.55</v>
          </cell>
          <cell r="C131" t="str">
            <v/>
          </cell>
          <cell r="D131">
            <v>583.93051746239996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I131">
            <v>300</v>
          </cell>
          <cell r="J131" t="str">
            <v>0</v>
          </cell>
          <cell r="L131">
            <v>45.098947944451069</v>
          </cell>
          <cell r="M131">
            <v>53</v>
          </cell>
          <cell r="N131">
            <v>777.89894794445104</v>
          </cell>
          <cell r="O131">
            <v>2.2949747362638631</v>
          </cell>
          <cell r="P131">
            <v>586.2254921986638</v>
          </cell>
          <cell r="Q131">
            <v>245.71600000000001</v>
          </cell>
          <cell r="R131">
            <v>251.85</v>
          </cell>
          <cell r="S131">
            <v>1.3918762945303399E-2</v>
          </cell>
          <cell r="V131">
            <v>48.5899023216</v>
          </cell>
        </row>
        <row r="132">
          <cell r="A132">
            <v>46324</v>
          </cell>
          <cell r="B132">
            <v>245.71600000000001</v>
          </cell>
          <cell r="C132" t="str">
            <v/>
          </cell>
          <cell r="D132">
            <v>586.22413109068805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I132">
            <v>300</v>
          </cell>
          <cell r="J132" t="str">
            <v>0</v>
          </cell>
          <cell r="L132">
            <v>41.409617613629599</v>
          </cell>
          <cell r="M132">
            <v>53</v>
          </cell>
          <cell r="N132">
            <v>774.20961761362958</v>
          </cell>
          <cell r="O132">
            <v>2.0668890213468032</v>
          </cell>
          <cell r="P132">
            <v>588.29102011203486</v>
          </cell>
          <cell r="Q132">
            <v>245.86500000000001</v>
          </cell>
          <cell r="R132">
            <v>251.85</v>
          </cell>
          <cell r="S132">
            <v>1.3918762945303399E-2</v>
          </cell>
          <cell r="V132">
            <v>45.845546487</v>
          </cell>
        </row>
        <row r="133">
          <cell r="A133">
            <v>46325</v>
          </cell>
          <cell r="B133">
            <v>245.86500000000001</v>
          </cell>
          <cell r="C133" t="str">
            <v/>
          </cell>
          <cell r="D133">
            <v>588.28285657632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I133">
            <v>300</v>
          </cell>
          <cell r="J133" t="str">
            <v>0</v>
          </cell>
          <cell r="L133">
            <v>33.026837557719134</v>
          </cell>
          <cell r="M133">
            <v>53</v>
          </cell>
          <cell r="N133">
            <v>765.82683755771905</v>
          </cell>
          <cell r="O133">
            <v>1.8921298795642583</v>
          </cell>
          <cell r="P133">
            <v>590.17498645588421</v>
          </cell>
          <cell r="Q133">
            <v>246.001</v>
          </cell>
          <cell r="R133">
            <v>251.85</v>
          </cell>
          <cell r="S133">
            <v>1.3918762945303399E-2</v>
          </cell>
          <cell r="V133">
            <v>43.585493737950003</v>
          </cell>
        </row>
        <row r="134">
          <cell r="A134">
            <v>46326</v>
          </cell>
          <cell r="B134">
            <v>246.001</v>
          </cell>
          <cell r="C134" t="str">
            <v/>
          </cell>
          <cell r="D134">
            <v>590.16196171756803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I134">
            <v>300</v>
          </cell>
          <cell r="J134" t="str">
            <v>0</v>
          </cell>
          <cell r="L134">
            <v>53.567251399874024</v>
          </cell>
          <cell r="M134">
            <v>53</v>
          </cell>
          <cell r="N134">
            <v>786.36725139987402</v>
          </cell>
          <cell r="O134">
            <v>1.2657160348035881</v>
          </cell>
          <cell r="P134">
            <v>591.42767775237166</v>
          </cell>
          <cell r="Q134">
            <v>246.09200000000001</v>
          </cell>
          <cell r="R134">
            <v>251.85</v>
          </cell>
          <cell r="S134">
            <v>1.3918762945303399E-2</v>
          </cell>
          <cell r="V134">
            <v>36.916960513500001</v>
          </cell>
        </row>
        <row r="135">
          <cell r="A135">
            <v>46327</v>
          </cell>
          <cell r="B135">
            <v>246.09200000000001</v>
          </cell>
          <cell r="C135" t="str">
            <v/>
          </cell>
          <cell r="D135">
            <v>591.41930412825604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I135">
            <v>300</v>
          </cell>
          <cell r="J135" t="str">
            <v>0</v>
          </cell>
          <cell r="L135">
            <v>52.684754094114744</v>
          </cell>
          <cell r="M135">
            <v>53</v>
          </cell>
          <cell r="N135">
            <v>785.48475409411469</v>
          </cell>
          <cell r="O135">
            <v>3.6340743265748157</v>
          </cell>
          <cell r="P135">
            <v>595.05337845483086</v>
          </cell>
          <cell r="Q135">
            <v>246.35499999999999</v>
          </cell>
          <cell r="R135">
            <v>251.85</v>
          </cell>
          <cell r="S135">
            <v>1.3918762945303399E-2</v>
          </cell>
          <cell r="V135">
            <v>64.303573674150002</v>
          </cell>
        </row>
        <row r="136">
          <cell r="A136">
            <v>46328</v>
          </cell>
          <cell r="B136">
            <v>246.35499999999999</v>
          </cell>
          <cell r="C136" t="str">
            <v/>
          </cell>
          <cell r="D136">
            <v>595.05316186463995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I136">
            <v>300</v>
          </cell>
          <cell r="J136" t="str">
            <v>0</v>
          </cell>
          <cell r="L136">
            <v>45.882877247185142</v>
          </cell>
          <cell r="M136">
            <v>53</v>
          </cell>
          <cell r="N136">
            <v>778.68287724718505</v>
          </cell>
          <cell r="O136">
            <v>7.8072693572246621</v>
          </cell>
          <cell r="P136">
            <v>602.86043122186459</v>
          </cell>
          <cell r="Q136">
            <v>246.92</v>
          </cell>
          <cell r="R136">
            <v>251.85</v>
          </cell>
          <cell r="S136">
            <v>1.3918762945303399E-2</v>
          </cell>
          <cell r="V136">
            <v>112.41191964465001</v>
          </cell>
        </row>
        <row r="137">
          <cell r="A137">
            <v>46329</v>
          </cell>
          <cell r="B137">
            <v>246.92</v>
          </cell>
          <cell r="C137" t="str">
            <v/>
          </cell>
          <cell r="D137">
            <v>602.85973837055997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I137">
            <v>300</v>
          </cell>
          <cell r="J137" t="str">
            <v>0</v>
          </cell>
          <cell r="L137">
            <v>63.583347110707912</v>
          </cell>
          <cell r="M137">
            <v>53</v>
          </cell>
          <cell r="N137">
            <v>796.38334711070786</v>
          </cell>
          <cell r="O137">
            <v>3.0210941676673873</v>
          </cell>
          <cell r="P137">
            <v>605.88083253822731</v>
          </cell>
          <cell r="Q137">
            <v>247.13800000000001</v>
          </cell>
          <cell r="R137">
            <v>251.85</v>
          </cell>
          <cell r="S137">
            <v>1.3918762945303399E-2</v>
          </cell>
          <cell r="V137">
            <v>57.517497205350004</v>
          </cell>
        </row>
        <row r="138">
          <cell r="A138">
            <v>46330</v>
          </cell>
          <cell r="B138">
            <v>247.13800000000001</v>
          </cell>
          <cell r="C138" t="str">
            <v/>
          </cell>
          <cell r="D138">
            <v>605.87183337638396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I138">
            <v>300</v>
          </cell>
          <cell r="J138" t="str">
            <v>0</v>
          </cell>
          <cell r="L138">
            <v>77.582915638948791</v>
          </cell>
          <cell r="M138">
            <v>53</v>
          </cell>
          <cell r="N138">
            <v>810.3829156389487</v>
          </cell>
          <cell r="O138">
            <v>2.0340822146948656</v>
          </cell>
          <cell r="P138">
            <v>607.90591559107884</v>
          </cell>
          <cell r="Q138">
            <v>247.285</v>
          </cell>
          <cell r="R138">
            <v>251.85</v>
          </cell>
          <cell r="S138">
            <v>1.3918762945303399E-2</v>
          </cell>
          <cell r="V138">
            <v>46.490151260400005</v>
          </cell>
        </row>
        <row r="139">
          <cell r="A139">
            <v>46331</v>
          </cell>
          <cell r="B139">
            <v>247.285</v>
          </cell>
          <cell r="C139" t="str">
            <v/>
          </cell>
          <cell r="D139">
            <v>607.90292496287998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I139">
            <v>300</v>
          </cell>
          <cell r="J139" t="str">
            <v>0</v>
          </cell>
          <cell r="L139">
            <v>37.393423354626051</v>
          </cell>
          <cell r="M139">
            <v>53</v>
          </cell>
          <cell r="N139">
            <v>770.19342335462602</v>
          </cell>
          <cell r="O139">
            <v>3.0014113132527891</v>
          </cell>
          <cell r="P139">
            <v>610.90433627613277</v>
          </cell>
          <cell r="Q139">
            <v>247.50200000000001</v>
          </cell>
          <cell r="R139">
            <v>251.85</v>
          </cell>
          <cell r="S139">
            <v>1.3918762945303399E-2</v>
          </cell>
          <cell r="V139">
            <v>56.548069845600004</v>
          </cell>
        </row>
        <row r="140">
          <cell r="A140">
            <v>46332</v>
          </cell>
          <cell r="B140">
            <v>247.50200000000001</v>
          </cell>
          <cell r="C140" t="str">
            <v/>
          </cell>
          <cell r="D140">
            <v>610.90120301913601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I140">
            <v>300</v>
          </cell>
          <cell r="J140" t="str">
            <v>0</v>
          </cell>
          <cell r="L140">
            <v>65.841449277508772</v>
          </cell>
          <cell r="M140">
            <v>53</v>
          </cell>
          <cell r="N140">
            <v>798.64144927750874</v>
          </cell>
          <cell r="O140">
            <v>1.6440117788187625</v>
          </cell>
          <cell r="P140">
            <v>612.54521479795471</v>
          </cell>
          <cell r="Q140">
            <v>247.62</v>
          </cell>
          <cell r="R140">
            <v>251.85</v>
          </cell>
          <cell r="S140">
            <v>1.3918762945303399E-2</v>
          </cell>
          <cell r="V140">
            <v>41.642957827949999</v>
          </cell>
        </row>
        <row r="141">
          <cell r="A141">
            <v>46333</v>
          </cell>
          <cell r="B141">
            <v>247.62</v>
          </cell>
          <cell r="C141" t="str">
            <v/>
          </cell>
          <cell r="D141">
            <v>612.53160306816005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I141">
            <v>300</v>
          </cell>
          <cell r="J141" t="str">
            <v>0</v>
          </cell>
          <cell r="L141">
            <v>63.561593296210418</v>
          </cell>
          <cell r="M141">
            <v>53</v>
          </cell>
          <cell r="N141">
            <v>796.36159329621034</v>
          </cell>
          <cell r="O141">
            <v>2.2830143157748686</v>
          </cell>
          <cell r="P141">
            <v>614.81461738393489</v>
          </cell>
          <cell r="Q141">
            <v>247.785</v>
          </cell>
          <cell r="R141">
            <v>251.85</v>
          </cell>
          <cell r="S141">
            <v>1.3918762945303399E-2</v>
          </cell>
          <cell r="V141">
            <v>48.974275243500003</v>
          </cell>
        </row>
        <row r="142">
          <cell r="A142">
            <v>46334</v>
          </cell>
          <cell r="B142">
            <v>247.785</v>
          </cell>
          <cell r="C142" t="str">
            <v/>
          </cell>
          <cell r="D142">
            <v>614.81139974688006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I142">
            <v>300</v>
          </cell>
          <cell r="J142" t="str">
            <v>0</v>
          </cell>
          <cell r="L142">
            <v>41.569483716522434</v>
          </cell>
          <cell r="M142">
            <v>53</v>
          </cell>
          <cell r="N142">
            <v>774.36948371652238</v>
          </cell>
          <cell r="O142">
            <v>1.7723123516415726</v>
          </cell>
          <cell r="P142">
            <v>616.58371209852157</v>
          </cell>
          <cell r="Q142">
            <v>247.91300000000001</v>
          </cell>
          <cell r="R142">
            <v>251.85</v>
          </cell>
          <cell r="S142">
            <v>1.3918762945303399E-2</v>
          </cell>
          <cell r="V142">
            <v>42.440615175600001</v>
          </cell>
        </row>
        <row r="143">
          <cell r="A143">
            <v>46335</v>
          </cell>
          <cell r="B143">
            <v>247.91300000000001</v>
          </cell>
          <cell r="C143" t="str">
            <v/>
          </cell>
          <cell r="D143">
            <v>616.57996929158401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I143">
            <v>300</v>
          </cell>
          <cell r="J143" t="str">
            <v>0</v>
          </cell>
          <cell r="L143">
            <v>27.187527918732727</v>
          </cell>
          <cell r="M143">
            <v>53</v>
          </cell>
          <cell r="N143">
            <v>759.98752791873267</v>
          </cell>
          <cell r="O143">
            <v>3.1444865599188234</v>
          </cell>
          <cell r="P143">
            <v>619.72445585150285</v>
          </cell>
          <cell r="Q143">
            <v>248.14</v>
          </cell>
          <cell r="R143">
            <v>251.85</v>
          </cell>
          <cell r="S143">
            <v>1.3918762945303399E-2</v>
          </cell>
          <cell r="V143">
            <v>57.915037462500003</v>
          </cell>
        </row>
        <row r="144">
          <cell r="A144">
            <v>46336</v>
          </cell>
          <cell r="B144">
            <v>248.14</v>
          </cell>
          <cell r="C144" t="str">
            <v/>
          </cell>
          <cell r="D144">
            <v>619.71641684352005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I144">
            <v>300</v>
          </cell>
          <cell r="J144" t="str">
            <v>0</v>
          </cell>
          <cell r="L144">
            <v>48.061509238013784</v>
          </cell>
          <cell r="M144">
            <v>53</v>
          </cell>
          <cell r="N144">
            <v>780.8615092380137</v>
          </cell>
          <cell r="O144">
            <v>8.6988645303329388</v>
          </cell>
          <cell r="P144">
            <v>628.41528137385296</v>
          </cell>
          <cell r="Q144">
            <v>248.76900000000001</v>
          </cell>
          <cell r="R144">
            <v>251.85</v>
          </cell>
          <cell r="S144">
            <v>1.3918762945303399E-2</v>
          </cell>
          <cell r="V144">
            <v>122.79301843890001</v>
          </cell>
        </row>
        <row r="145">
          <cell r="A145">
            <v>46337</v>
          </cell>
          <cell r="B145">
            <v>248.76900000000001</v>
          </cell>
          <cell r="C145" t="str">
            <v/>
          </cell>
          <cell r="D145">
            <v>628.40727812179205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I145">
            <v>300</v>
          </cell>
          <cell r="J145" t="str">
            <v>0</v>
          </cell>
          <cell r="L145">
            <v>22.276666979812195</v>
          </cell>
          <cell r="M145">
            <v>53</v>
          </cell>
          <cell r="N145">
            <v>755.0766669798121</v>
          </cell>
          <cell r="O145">
            <v>2.5127667738028272</v>
          </cell>
          <cell r="P145">
            <v>630.92004489559486</v>
          </cell>
          <cell r="Q145">
            <v>248.95</v>
          </cell>
          <cell r="R145">
            <v>251.85</v>
          </cell>
          <cell r="S145">
            <v>1.3918762945303399E-2</v>
          </cell>
          <cell r="V145">
            <v>50.46439284105</v>
          </cell>
        </row>
        <row r="146">
          <cell r="A146">
            <v>46338</v>
          </cell>
          <cell r="B146">
            <v>248.95</v>
          </cell>
          <cell r="C146" t="str">
            <v/>
          </cell>
          <cell r="D146">
            <v>630.90814599359999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I146">
            <v>300</v>
          </cell>
          <cell r="J146" t="str">
            <v>0</v>
          </cell>
          <cell r="L146">
            <v>47.527218128227609</v>
          </cell>
          <cell r="M146">
            <v>53</v>
          </cell>
          <cell r="N146">
            <v>780.32721812822751</v>
          </cell>
          <cell r="O146">
            <v>1.6785090027740108</v>
          </cell>
          <cell r="P146">
            <v>632.58665499637402</v>
          </cell>
          <cell r="Q146">
            <v>249.071</v>
          </cell>
          <cell r="R146">
            <v>251.85</v>
          </cell>
          <cell r="S146">
            <v>1.3918762945303399E-2</v>
          </cell>
          <cell r="V146">
            <v>41.52363062205</v>
          </cell>
        </row>
        <row r="147">
          <cell r="A147">
            <v>46339</v>
          </cell>
          <cell r="B147">
            <v>249.071</v>
          </cell>
          <cell r="C147" t="str">
            <v/>
          </cell>
          <cell r="D147">
            <v>632.57999689132805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I147">
            <v>300</v>
          </cell>
          <cell r="J147" t="str">
            <v>0</v>
          </cell>
          <cell r="L147">
            <v>33.85914368173448</v>
          </cell>
          <cell r="M147">
            <v>53</v>
          </cell>
          <cell r="N147">
            <v>766.65914368173446</v>
          </cell>
          <cell r="O147">
            <v>1.3851285610918804</v>
          </cell>
          <cell r="P147">
            <v>633.9651254524199</v>
          </cell>
          <cell r="Q147">
            <v>249.17099999999999</v>
          </cell>
          <cell r="R147">
            <v>251.85</v>
          </cell>
          <cell r="S147">
            <v>1.3918762945303399E-2</v>
          </cell>
          <cell r="V147">
            <v>37.740980848500001</v>
          </cell>
        </row>
        <row r="148">
          <cell r="A148">
            <v>46340</v>
          </cell>
          <cell r="B148">
            <v>249.17099999999999</v>
          </cell>
          <cell r="C148" t="str">
            <v/>
          </cell>
          <cell r="D148">
            <v>633.961691848128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I148">
            <v>300</v>
          </cell>
          <cell r="J148" t="str">
            <v>0</v>
          </cell>
          <cell r="L148">
            <v>70.481877338498876</v>
          </cell>
          <cell r="M148">
            <v>53</v>
          </cell>
          <cell r="N148">
            <v>803.28187733849882</v>
          </cell>
          <cell r="O148">
            <v>2.1630410932188555</v>
          </cell>
          <cell r="P148">
            <v>636.12473294134691</v>
          </cell>
          <cell r="Q148">
            <v>249.327</v>
          </cell>
          <cell r="R148">
            <v>251.85</v>
          </cell>
          <cell r="S148">
            <v>1.3918762945303399E-2</v>
          </cell>
          <cell r="V148">
            <v>47.78165447205</v>
          </cell>
        </row>
        <row r="149">
          <cell r="A149">
            <v>46341</v>
          </cell>
          <cell r="B149">
            <v>249.327</v>
          </cell>
          <cell r="C149" t="str">
            <v/>
          </cell>
          <cell r="D149">
            <v>636.11713598073595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I149">
            <v>300</v>
          </cell>
          <cell r="J149" t="str">
            <v>0</v>
          </cell>
          <cell r="L149">
            <v>36.815492271287326</v>
          </cell>
          <cell r="M149">
            <v>53</v>
          </cell>
          <cell r="N149">
            <v>769.61549227128728</v>
          </cell>
          <cell r="O149">
            <v>1.3025192208698084</v>
          </cell>
          <cell r="P149">
            <v>637.41965520160579</v>
          </cell>
          <cell r="Q149">
            <v>249.42099999999999</v>
          </cell>
          <cell r="R149">
            <v>251.85</v>
          </cell>
          <cell r="S149">
            <v>1.3918762945303399E-2</v>
          </cell>
          <cell r="V149">
            <v>36.868567016850001</v>
          </cell>
        </row>
        <row r="150">
          <cell r="A150">
            <v>46342</v>
          </cell>
          <cell r="B150">
            <v>249.42099999999999</v>
          </cell>
          <cell r="C150" t="str">
            <v/>
          </cell>
          <cell r="D150">
            <v>637.41592924012798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I150">
            <v>300</v>
          </cell>
          <cell r="J150" t="str">
            <v>0</v>
          </cell>
          <cell r="L150">
            <v>34.84888523410843</v>
          </cell>
          <cell r="M150">
            <v>53</v>
          </cell>
          <cell r="N150">
            <v>767.64888523410843</v>
          </cell>
          <cell r="O150">
            <v>0.91637587645656149</v>
          </cell>
          <cell r="P150">
            <v>638.33230511658451</v>
          </cell>
          <cell r="Q150">
            <v>249.48699999999999</v>
          </cell>
          <cell r="R150">
            <v>251.85</v>
          </cell>
          <cell r="S150">
            <v>1.3918762945303399E-2</v>
          </cell>
          <cell r="V150">
            <v>32.3436193374</v>
          </cell>
        </row>
        <row r="151">
          <cell r="A151">
            <v>46343</v>
          </cell>
          <cell r="B151">
            <v>249.48699999999999</v>
          </cell>
          <cell r="C151" t="str">
            <v/>
          </cell>
          <cell r="D151">
            <v>638.327847911616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I151">
            <v>300</v>
          </cell>
          <cell r="J151" t="str">
            <v>0</v>
          </cell>
          <cell r="L151">
            <v>51.461353074647498</v>
          </cell>
          <cell r="M151">
            <v>53</v>
          </cell>
          <cell r="N151">
            <v>784.26135307464745</v>
          </cell>
          <cell r="O151">
            <v>0.85273451347298324</v>
          </cell>
          <cell r="P151">
            <v>639.18058242508903</v>
          </cell>
          <cell r="Q151">
            <v>249.548</v>
          </cell>
          <cell r="R151">
            <v>251.85</v>
          </cell>
          <cell r="S151">
            <v>1.3918762945303399E-2</v>
          </cell>
          <cell r="V151">
            <v>32.077440947400007</v>
          </cell>
        </row>
        <row r="152">
          <cell r="A152">
            <v>46344</v>
          </cell>
          <cell r="B152">
            <v>249.548</v>
          </cell>
          <cell r="C152" t="str">
            <v/>
          </cell>
          <cell r="D152">
            <v>639.17068183526396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I152">
            <v>300</v>
          </cell>
          <cell r="J152" t="str">
            <v>0</v>
          </cell>
          <cell r="L152">
            <v>63.980193582004482</v>
          </cell>
          <cell r="M152">
            <v>53</v>
          </cell>
          <cell r="N152">
            <v>796.78019358200447</v>
          </cell>
          <cell r="O152">
            <v>6.5944296836793015</v>
          </cell>
          <cell r="P152">
            <v>645.76511151894329</v>
          </cell>
          <cell r="Q152">
            <v>250.023</v>
          </cell>
          <cell r="R152">
            <v>251.85</v>
          </cell>
          <cell r="S152">
            <v>1.3918762945303399E-2</v>
          </cell>
          <cell r="V152">
            <v>98.886857628599998</v>
          </cell>
        </row>
        <row r="153">
          <cell r="A153">
            <v>46345</v>
          </cell>
          <cell r="B153">
            <v>250.023</v>
          </cell>
          <cell r="C153" t="str">
            <v/>
          </cell>
          <cell r="D153">
            <v>645.75308124734397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I153">
            <v>300</v>
          </cell>
          <cell r="J153" t="str">
            <v>0</v>
          </cell>
          <cell r="L153">
            <v>62.660125009550029</v>
          </cell>
          <cell r="M153">
            <v>53</v>
          </cell>
          <cell r="N153">
            <v>795.46012500954998</v>
          </cell>
          <cell r="O153">
            <v>1.8372183250979148</v>
          </cell>
          <cell r="P153">
            <v>647.59029957244184</v>
          </cell>
          <cell r="Q153">
            <v>250.148</v>
          </cell>
          <cell r="R153">
            <v>251.85</v>
          </cell>
          <cell r="S153">
            <v>1.3918762945303399E-2</v>
          </cell>
          <cell r="V153">
            <v>43.7890635726</v>
          </cell>
        </row>
        <row r="154">
          <cell r="A154">
            <v>46346</v>
          </cell>
          <cell r="B154">
            <v>250.148</v>
          </cell>
          <cell r="C154" t="str">
            <v/>
          </cell>
          <cell r="D154">
            <v>647.58535411334401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I154">
            <v>300</v>
          </cell>
          <cell r="J154" t="str">
            <v>0</v>
          </cell>
          <cell r="L154">
            <v>82.107535708997219</v>
          </cell>
          <cell r="M154">
            <v>53</v>
          </cell>
          <cell r="N154">
            <v>814.90753570899722</v>
          </cell>
          <cell r="O154">
            <v>1.1457134527365045</v>
          </cell>
          <cell r="P154">
            <v>648.73106756608047</v>
          </cell>
          <cell r="Q154">
            <v>250.226</v>
          </cell>
          <cell r="R154">
            <v>251.85</v>
          </cell>
          <cell r="S154">
            <v>1.3918762945303399E-2</v>
          </cell>
          <cell r="V154">
            <v>36.33621023685</v>
          </cell>
        </row>
        <row r="155">
          <cell r="A155">
            <v>46347</v>
          </cell>
          <cell r="B155">
            <v>250.226</v>
          </cell>
          <cell r="C155" t="str">
            <v/>
          </cell>
          <cell r="D155">
            <v>648.72869238172802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I155">
            <v>300</v>
          </cell>
          <cell r="J155" t="str">
            <v>0</v>
          </cell>
          <cell r="L155">
            <v>81.7629309542871</v>
          </cell>
          <cell r="M155">
            <v>53</v>
          </cell>
          <cell r="N155">
            <v>814.56293095428703</v>
          </cell>
          <cell r="O155">
            <v>4.5356257127076756</v>
          </cell>
          <cell r="P155">
            <v>653.26431809443568</v>
          </cell>
          <cell r="Q155">
            <v>250.535</v>
          </cell>
          <cell r="R155">
            <v>251.85</v>
          </cell>
          <cell r="S155">
            <v>1.3918762945303399E-2</v>
          </cell>
          <cell r="V155">
            <v>75.561616996050006</v>
          </cell>
        </row>
        <row r="156">
          <cell r="A156">
            <v>46348</v>
          </cell>
          <cell r="B156">
            <v>250.535</v>
          </cell>
          <cell r="C156" t="str">
            <v/>
          </cell>
          <cell r="D156">
            <v>653.25807090648004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I156">
            <v>300</v>
          </cell>
          <cell r="J156" t="str">
            <v>0</v>
          </cell>
          <cell r="L156">
            <v>94.011732989145031</v>
          </cell>
          <cell r="M156">
            <v>53</v>
          </cell>
          <cell r="N156">
            <v>826.81173298914496</v>
          </cell>
          <cell r="O156">
            <v>3.4074851568848326</v>
          </cell>
          <cell r="P156">
            <v>656.66555606336487</v>
          </cell>
          <cell r="Q156">
            <v>250.767</v>
          </cell>
          <cell r="R156">
            <v>251.85</v>
          </cell>
          <cell r="S156">
            <v>1.3918762945303399E-2</v>
          </cell>
          <cell r="V156">
            <v>62.85125907135</v>
          </cell>
        </row>
        <row r="157">
          <cell r="A157">
            <v>46349</v>
          </cell>
          <cell r="B157">
            <v>250.767</v>
          </cell>
          <cell r="C157" t="str">
            <v/>
          </cell>
          <cell r="D157">
            <v>656.65876934577602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I157">
            <v>300</v>
          </cell>
          <cell r="J157" t="str">
            <v>0</v>
          </cell>
          <cell r="L157">
            <v>47.144034860339104</v>
          </cell>
          <cell r="M157">
            <v>53</v>
          </cell>
          <cell r="N157">
            <v>779.94403486033912</v>
          </cell>
          <cell r="O157">
            <v>2.7679799818656075</v>
          </cell>
          <cell r="P157">
            <v>659.42674932764157</v>
          </cell>
          <cell r="Q157">
            <v>250.95500000000001</v>
          </cell>
          <cell r="R157">
            <v>251.85</v>
          </cell>
          <cell r="S157">
            <v>1.3918762945303399E-2</v>
          </cell>
          <cell r="V157">
            <v>54.122420157750007</v>
          </cell>
        </row>
        <row r="158">
          <cell r="A158">
            <v>46350</v>
          </cell>
          <cell r="B158">
            <v>250.95500000000001</v>
          </cell>
          <cell r="C158" t="str">
            <v/>
          </cell>
          <cell r="D158">
            <v>659.41450773624001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I158">
            <v>300</v>
          </cell>
          <cell r="J158" t="str">
            <v>0</v>
          </cell>
          <cell r="L158">
            <v>79.224097238543493</v>
          </cell>
          <cell r="M158">
            <v>53</v>
          </cell>
          <cell r="N158">
            <v>812.02409723854339</v>
          </cell>
          <cell r="O158">
            <v>2.2131781453770292</v>
          </cell>
          <cell r="P158">
            <v>661.62768588161703</v>
          </cell>
          <cell r="Q158">
            <v>251.10499999999999</v>
          </cell>
          <cell r="R158">
            <v>251.85</v>
          </cell>
          <cell r="S158">
            <v>1.3918762945303399E-2</v>
          </cell>
          <cell r="V158">
            <v>48.609497581799999</v>
          </cell>
        </row>
        <row r="159">
          <cell r="A159">
            <v>46351</v>
          </cell>
          <cell r="B159">
            <v>251.10499999999999</v>
          </cell>
          <cell r="C159" t="str">
            <v/>
          </cell>
          <cell r="D159">
            <v>661.61323517543997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I159">
            <v>300</v>
          </cell>
          <cell r="J159" t="str">
            <v>0</v>
          </cell>
          <cell r="L159">
            <v>29.973481408867944</v>
          </cell>
          <cell r="M159">
            <v>53</v>
          </cell>
          <cell r="N159">
            <v>762.77348140886795</v>
          </cell>
          <cell r="O159">
            <v>2.1219763589258136</v>
          </cell>
          <cell r="P159">
            <v>663.73521153436582</v>
          </cell>
          <cell r="Q159">
            <v>251.249</v>
          </cell>
          <cell r="R159">
            <v>251.85</v>
          </cell>
          <cell r="S159">
            <v>1.3918762945303399E-2</v>
          </cell>
          <cell r="V159">
            <v>46.159297185</v>
          </cell>
        </row>
        <row r="160">
          <cell r="A160">
            <v>46352</v>
          </cell>
          <cell r="B160">
            <v>251.249</v>
          </cell>
          <cell r="C160" t="str">
            <v/>
          </cell>
          <cell r="D160">
            <v>663.72401351707197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I160">
            <v>300</v>
          </cell>
          <cell r="J160" t="str">
            <v>0</v>
          </cell>
          <cell r="L160">
            <v>37.592349364703715</v>
          </cell>
          <cell r="M160">
            <v>53</v>
          </cell>
          <cell r="N160">
            <v>770.3923493647037</v>
          </cell>
          <cell r="O160">
            <v>1.8784082543077059</v>
          </cell>
          <cell r="P160">
            <v>665.60242177137968</v>
          </cell>
          <cell r="Q160">
            <v>251.37700000000001</v>
          </cell>
          <cell r="R160">
            <v>251.85</v>
          </cell>
          <cell r="S160">
            <v>1.3918762945303399E-2</v>
          </cell>
          <cell r="V160">
            <v>43.555959263399998</v>
          </cell>
        </row>
        <row r="161">
          <cell r="A161">
            <v>46353</v>
          </cell>
          <cell r="B161">
            <v>251.37700000000001</v>
          </cell>
          <cell r="C161" t="str">
            <v/>
          </cell>
          <cell r="D161">
            <v>665.60026093185604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I161">
            <v>300</v>
          </cell>
          <cell r="J161" t="str">
            <v>0</v>
          </cell>
          <cell r="L161">
            <v>68.402381753692481</v>
          </cell>
          <cell r="M161">
            <v>53</v>
          </cell>
          <cell r="N161">
            <v>801.20238175369241</v>
          </cell>
          <cell r="O161">
            <v>1.6177944836122884</v>
          </cell>
          <cell r="P161">
            <v>667.21805541546837</v>
          </cell>
          <cell r="Q161">
            <v>251.48699999999999</v>
          </cell>
          <cell r="R161">
            <v>251.85</v>
          </cell>
          <cell r="S161">
            <v>1.3918762945303399E-2</v>
          </cell>
          <cell r="V161">
            <v>41.412033916200002</v>
          </cell>
        </row>
        <row r="162">
          <cell r="A162">
            <v>46354</v>
          </cell>
          <cell r="B162">
            <v>251.48699999999999</v>
          </cell>
          <cell r="C162" t="str">
            <v/>
          </cell>
          <cell r="D162">
            <v>667.21266105393602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I162">
            <v>300</v>
          </cell>
          <cell r="J162" t="str">
            <v>0</v>
          </cell>
          <cell r="L162">
            <v>34.758514119695391</v>
          </cell>
          <cell r="M162">
            <v>53</v>
          </cell>
          <cell r="N162">
            <v>767.55851411969536</v>
          </cell>
          <cell r="O162">
            <v>1.1115985122813952</v>
          </cell>
          <cell r="P162">
            <v>668.32425956621739</v>
          </cell>
          <cell r="Q162">
            <v>251.56200000000001</v>
          </cell>
          <cell r="R162">
            <v>251.85</v>
          </cell>
          <cell r="S162">
            <v>1.3918762945303399E-2</v>
          </cell>
          <cell r="V162">
            <v>34.600585549800002</v>
          </cell>
        </row>
        <row r="163">
          <cell r="A163">
            <v>46355</v>
          </cell>
          <cell r="B163">
            <v>251.56200000000001</v>
          </cell>
          <cell r="C163" t="str">
            <v/>
          </cell>
          <cell r="D163">
            <v>668.312024773536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I163">
            <v>300</v>
          </cell>
          <cell r="J163" t="str">
            <v>0</v>
          </cell>
          <cell r="L163">
            <v>37.4071584771416</v>
          </cell>
          <cell r="M163">
            <v>53</v>
          </cell>
          <cell r="N163">
            <v>770.20715847714155</v>
          </cell>
          <cell r="O163">
            <v>3.3174747496772183</v>
          </cell>
          <cell r="P163">
            <v>671.62949952321321</v>
          </cell>
          <cell r="Q163">
            <v>251.78800000000001</v>
          </cell>
          <cell r="R163">
            <v>251.85</v>
          </cell>
          <cell r="S163">
            <v>1.3918762945303399E-2</v>
          </cell>
          <cell r="V163">
            <v>60.206606865600001</v>
          </cell>
        </row>
        <row r="164">
          <cell r="A164">
            <v>46356</v>
          </cell>
          <cell r="B164">
            <v>251.78800000000001</v>
          </cell>
          <cell r="C164" t="str">
            <v/>
          </cell>
          <cell r="D164">
            <v>671.62477411526402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I164">
            <v>300</v>
          </cell>
          <cell r="J164" t="str">
            <v>0</v>
          </cell>
          <cell r="L164">
            <v>57.483100927015577</v>
          </cell>
          <cell r="M164">
            <v>53</v>
          </cell>
          <cell r="N164">
            <v>790.28310092701554</v>
          </cell>
          <cell r="O164">
            <v>7.1546629830165989</v>
          </cell>
          <cell r="P164">
            <v>678.7794370982806</v>
          </cell>
          <cell r="Q164">
            <v>252.27600000000001</v>
          </cell>
          <cell r="R164">
            <v>251.85</v>
          </cell>
          <cell r="S164">
            <v>1.3918762945303399E-2</v>
          </cell>
          <cell r="V164">
            <v>105.18707358510001</v>
          </cell>
        </row>
        <row r="165">
          <cell r="A165">
            <v>46357</v>
          </cell>
          <cell r="B165">
            <v>252.27600000000001</v>
          </cell>
          <cell r="C165" t="str">
            <v/>
          </cell>
          <cell r="D165">
            <v>678.77796738412803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I165">
            <v>300</v>
          </cell>
          <cell r="J165">
            <v>463.40370683481405</v>
          </cell>
          <cell r="L165">
            <v>92.798873619190715</v>
          </cell>
          <cell r="M165">
            <v>53</v>
          </cell>
          <cell r="N165">
            <v>1289.0025804540048</v>
          </cell>
          <cell r="O165">
            <v>1.5000111513619225</v>
          </cell>
          <cell r="P165">
            <v>680.27797853548998</v>
          </cell>
          <cell r="Q165">
            <v>252.37799999999999</v>
          </cell>
          <cell r="R165">
            <v>251.85</v>
          </cell>
          <cell r="S165">
            <v>3.2116928827841389E-2</v>
          </cell>
          <cell r="V165">
            <v>53.861763553499998</v>
          </cell>
        </row>
        <row r="166">
          <cell r="A166">
            <v>46358</v>
          </cell>
          <cell r="B166">
            <v>252.37799999999999</v>
          </cell>
          <cell r="C166" t="str">
            <v/>
          </cell>
          <cell r="D166">
            <v>680.27310204278399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I166">
            <v>300</v>
          </cell>
          <cell r="J166">
            <v>638.95957244714737</v>
          </cell>
          <cell r="L166">
            <v>53.199770608334916</v>
          </cell>
          <cell r="M166">
            <v>53</v>
          </cell>
          <cell r="N166">
            <v>1424.9593430554823</v>
          </cell>
          <cell r="O166">
            <v>0.27656694502558699</v>
          </cell>
          <cell r="P166">
            <v>680.54966898780958</v>
          </cell>
          <cell r="Q166">
            <v>252.39599999999999</v>
          </cell>
          <cell r="R166">
            <v>251.85</v>
          </cell>
          <cell r="S166">
            <v>3.8989705855988877E-2</v>
          </cell>
          <cell r="V166">
            <v>43.551371933699997</v>
          </cell>
        </row>
        <row r="167">
          <cell r="A167">
            <v>46359</v>
          </cell>
          <cell r="B167">
            <v>252.39599999999999</v>
          </cell>
          <cell r="C167" t="str">
            <v/>
          </cell>
          <cell r="D167">
            <v>680.53694933548798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I167">
            <v>300</v>
          </cell>
          <cell r="J167">
            <v>671.82268803238389</v>
          </cell>
          <cell r="L167">
            <v>36.451981274921614</v>
          </cell>
          <cell r="M167">
            <v>53</v>
          </cell>
          <cell r="N167">
            <v>1441.0746693073054</v>
          </cell>
          <cell r="O167">
            <v>1.0496411554313281</v>
          </cell>
          <cell r="P167">
            <v>681.58659049091932</v>
          </cell>
          <cell r="Q167">
            <v>252.46700000000001</v>
          </cell>
          <cell r="R167">
            <v>251.85</v>
          </cell>
          <cell r="S167">
            <v>4.027496446269533E-2</v>
          </cell>
          <cell r="V167">
            <v>52.955341185000002</v>
          </cell>
        </row>
        <row r="168">
          <cell r="A168">
            <v>46360</v>
          </cell>
          <cell r="B168">
            <v>252.46700000000001</v>
          </cell>
          <cell r="C168" t="str">
            <v/>
          </cell>
          <cell r="D168">
            <v>681.57768032337594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I168">
            <v>300</v>
          </cell>
          <cell r="J168">
            <v>806.62155362102487</v>
          </cell>
          <cell r="L168">
            <v>53.083532538606214</v>
          </cell>
          <cell r="M168">
            <v>53</v>
          </cell>
          <cell r="N168">
            <v>1592.5050861596312</v>
          </cell>
          <cell r="O168">
            <v>-0.52491457698322008</v>
          </cell>
          <cell r="P168">
            <v>681.05276574639277</v>
          </cell>
          <cell r="Q168">
            <v>252.43100000000001</v>
          </cell>
          <cell r="R168">
            <v>251.85</v>
          </cell>
          <cell r="S168">
            <v>4.5542656287407252E-2</v>
          </cell>
          <cell r="V168">
            <v>39.019316724900001</v>
          </cell>
        </row>
        <row r="169">
          <cell r="A169">
            <v>46361</v>
          </cell>
          <cell r="B169">
            <v>252.43100000000001</v>
          </cell>
          <cell r="C169" t="str">
            <v/>
          </cell>
          <cell r="D169">
            <v>681.04998573796797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I169">
            <v>300</v>
          </cell>
          <cell r="J169">
            <v>737.25815196150324</v>
          </cell>
          <cell r="L169">
            <v>45.200255320129756</v>
          </cell>
          <cell r="M169">
            <v>53</v>
          </cell>
          <cell r="N169">
            <v>1515.258407281633</v>
          </cell>
          <cell r="O169">
            <v>-1.267168463226364</v>
          </cell>
          <cell r="P169">
            <v>679.78281727474166</v>
          </cell>
          <cell r="Q169">
            <v>252.34399999999999</v>
          </cell>
          <cell r="R169">
            <v>251.85</v>
          </cell>
          <cell r="S169">
            <v>4.2832907422161372E-2</v>
          </cell>
          <cell r="V169">
            <v>28.241017475700001</v>
          </cell>
        </row>
        <row r="170">
          <cell r="A170">
            <v>46362</v>
          </cell>
          <cell r="B170">
            <v>252.34399999999999</v>
          </cell>
          <cell r="C170" t="str">
            <v/>
          </cell>
          <cell r="D170">
            <v>679.77472382323197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I170">
            <v>300</v>
          </cell>
          <cell r="J170">
            <v>578.38938097071866</v>
          </cell>
          <cell r="L170">
            <v>84.565135948686489</v>
          </cell>
          <cell r="M170">
            <v>53</v>
          </cell>
          <cell r="N170">
            <v>1395.754516919405</v>
          </cell>
          <cell r="O170">
            <v>-1.2938485938886142</v>
          </cell>
          <cell r="P170">
            <v>678.48087522934338</v>
          </cell>
          <cell r="Q170">
            <v>252.255</v>
          </cell>
          <cell r="R170">
            <v>251.85</v>
          </cell>
          <cell r="S170">
            <v>3.6619776775690414E-2</v>
          </cell>
          <cell r="V170">
            <v>24.548245384050002</v>
          </cell>
        </row>
        <row r="171">
          <cell r="A171">
            <v>46363</v>
          </cell>
          <cell r="B171">
            <v>252.255</v>
          </cell>
          <cell r="C171" t="str">
            <v/>
          </cell>
          <cell r="D171">
            <v>678.47014554264001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I171">
            <v>300</v>
          </cell>
          <cell r="J171">
            <v>429.62962588122184</v>
          </cell>
          <cell r="L171">
            <v>46.15783580131616</v>
          </cell>
          <cell r="M171">
            <v>53</v>
          </cell>
          <cell r="N171">
            <v>1208.5874616825381</v>
          </cell>
          <cell r="O171">
            <v>-8.0270694539028964E-2</v>
          </cell>
          <cell r="P171">
            <v>678.38987484810093</v>
          </cell>
          <cell r="Q171">
            <v>252.249</v>
          </cell>
          <cell r="R171">
            <v>251.85</v>
          </cell>
          <cell r="S171">
            <v>3.0793381740774461E-2</v>
          </cell>
          <cell r="V171">
            <v>33.2943292593</v>
          </cell>
        </row>
        <row r="172">
          <cell r="A172">
            <v>46364</v>
          </cell>
          <cell r="B172">
            <v>252.249</v>
          </cell>
          <cell r="C172" t="str">
            <v/>
          </cell>
          <cell r="D172">
            <v>678.38219644507205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I172">
            <v>300</v>
          </cell>
          <cell r="J172">
            <v>420.13616171970352</v>
          </cell>
          <cell r="L172">
            <v>64.715580101882395</v>
          </cell>
          <cell r="M172">
            <v>53</v>
          </cell>
          <cell r="N172">
            <v>1217.6517418215858</v>
          </cell>
          <cell r="O172">
            <v>3.065730899361395</v>
          </cell>
          <cell r="P172">
            <v>681.44792734443342</v>
          </cell>
          <cell r="Q172">
            <v>252.458</v>
          </cell>
          <cell r="R172">
            <v>251.85</v>
          </cell>
          <cell r="S172">
            <v>3.0421271445991802E-2</v>
          </cell>
          <cell r="V172">
            <v>69.96312089940001</v>
          </cell>
        </row>
        <row r="173">
          <cell r="A173">
            <v>46365</v>
          </cell>
          <cell r="B173">
            <v>252.458</v>
          </cell>
          <cell r="C173" t="str">
            <v/>
          </cell>
          <cell r="D173">
            <v>681.44575667702395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I173">
            <v>300</v>
          </cell>
          <cell r="J173">
            <v>789.08857815287615</v>
          </cell>
          <cell r="L173">
            <v>53.960061091127862</v>
          </cell>
          <cell r="M173">
            <v>53</v>
          </cell>
          <cell r="N173">
            <v>1575.8486392440041</v>
          </cell>
          <cell r="O173">
            <v>-1.3426384224163346</v>
          </cell>
          <cell r="P173">
            <v>680.10311825460758</v>
          </cell>
          <cell r="Q173">
            <v>252.36600000000001</v>
          </cell>
          <cell r="R173">
            <v>251.85</v>
          </cell>
          <cell r="S173">
            <v>4.4857882320849182E-2</v>
          </cell>
          <cell r="V173">
            <v>29.083245545250001</v>
          </cell>
        </row>
        <row r="174">
          <cell r="A174">
            <v>46366</v>
          </cell>
          <cell r="B174">
            <v>252.36600000000001</v>
          </cell>
          <cell r="C174" t="str">
            <v/>
          </cell>
          <cell r="D174">
            <v>680.09720384764796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I174">
            <v>300</v>
          </cell>
          <cell r="J174">
            <v>617.35495092595556</v>
          </cell>
          <cell r="L174">
            <v>25.899513093571944</v>
          </cell>
          <cell r="M174">
            <v>53</v>
          </cell>
          <cell r="N174">
            <v>1376.0544640195274</v>
          </cell>
          <cell r="O174">
            <v>-1.2904330506233603</v>
          </cell>
          <cell r="P174">
            <v>678.80677079702457</v>
          </cell>
          <cell r="Q174">
            <v>252.27699999999999</v>
          </cell>
          <cell r="R174">
            <v>251.85</v>
          </cell>
          <cell r="S174">
            <v>3.8144540251621888E-2</v>
          </cell>
          <cell r="V174">
            <v>24.029933761650003</v>
          </cell>
        </row>
        <row r="175">
          <cell r="A175">
            <v>46367</v>
          </cell>
          <cell r="B175">
            <v>252.27699999999999</v>
          </cell>
          <cell r="C175" t="str">
            <v/>
          </cell>
          <cell r="D175">
            <v>678.79262556705601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I175">
            <v>300</v>
          </cell>
          <cell r="J175">
            <v>465.03297373284693</v>
          </cell>
          <cell r="L175">
            <v>36.752407896555873</v>
          </cell>
          <cell r="M175">
            <v>53</v>
          </cell>
          <cell r="N175">
            <v>1234.5853816294027</v>
          </cell>
          <cell r="O175">
            <v>-1.1290349724471478</v>
          </cell>
          <cell r="P175">
            <v>677.66359059460888</v>
          </cell>
          <cell r="Q175">
            <v>252.19900000000001</v>
          </cell>
          <cell r="R175">
            <v>251.85</v>
          </cell>
          <cell r="S175">
            <v>3.2180765993650516E-2</v>
          </cell>
          <cell r="V175">
            <v>21.892011586650003</v>
          </cell>
        </row>
        <row r="176">
          <cell r="A176">
            <v>46368</v>
          </cell>
          <cell r="B176">
            <v>252.19900000000001</v>
          </cell>
          <cell r="C176" t="str">
            <v/>
          </cell>
          <cell r="D176">
            <v>677.64928729867199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I176">
            <v>300</v>
          </cell>
          <cell r="J176">
            <v>343.81723923769715</v>
          </cell>
          <cell r="L176">
            <v>52.045844739237488</v>
          </cell>
          <cell r="M176">
            <v>53</v>
          </cell>
          <cell r="N176">
            <v>1128.6630839769346</v>
          </cell>
          <cell r="O176">
            <v>0.20118381720554357</v>
          </cell>
          <cell r="P176">
            <v>677.85047111587755</v>
          </cell>
          <cell r="Q176">
            <v>252.21199999999999</v>
          </cell>
          <cell r="R176">
            <v>251.85</v>
          </cell>
          <cell r="S176">
            <v>2.7428591135755208E-2</v>
          </cell>
          <cell r="V176">
            <v>34.288703763900003</v>
          </cell>
        </row>
        <row r="177">
          <cell r="A177">
            <v>46369</v>
          </cell>
          <cell r="B177">
            <v>252.21199999999999</v>
          </cell>
          <cell r="C177" t="str">
            <v/>
          </cell>
          <cell r="D177">
            <v>677.839843676736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I177">
            <v>300</v>
          </cell>
          <cell r="J177">
            <v>363.17090556495691</v>
          </cell>
          <cell r="L177">
            <v>27.749739565195409</v>
          </cell>
          <cell r="M177">
            <v>53</v>
          </cell>
          <cell r="N177">
            <v>1123.7206451301522</v>
          </cell>
          <cell r="O177">
            <v>-0.45596421939641718</v>
          </cell>
          <cell r="P177">
            <v>677.38387945733962</v>
          </cell>
          <cell r="Q177">
            <v>252.18</v>
          </cell>
          <cell r="R177">
            <v>251.85</v>
          </cell>
          <cell r="S177">
            <v>2.8187713379965597E-2</v>
          </cell>
          <cell r="V177">
            <v>26.542855981199999</v>
          </cell>
        </row>
        <row r="178">
          <cell r="A178">
            <v>46370</v>
          </cell>
          <cell r="B178">
            <v>252.18</v>
          </cell>
          <cell r="C178" t="str">
            <v/>
          </cell>
          <cell r="D178">
            <v>677.37078182304003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I178">
            <v>300</v>
          </cell>
          <cell r="J178">
            <v>316.17013154269011</v>
          </cell>
          <cell r="L178">
            <v>84.22394015003897</v>
          </cell>
          <cell r="M178">
            <v>53</v>
          </cell>
          <cell r="N178">
            <v>1133.194071692729</v>
          </cell>
          <cell r="O178">
            <v>-0.7566317768196289</v>
          </cell>
          <cell r="P178">
            <v>676.6141500462204</v>
          </cell>
          <cell r="Q178">
            <v>252.12799999999999</v>
          </cell>
          <cell r="R178">
            <v>251.85</v>
          </cell>
          <cell r="S178">
            <v>2.6343920979505761E-2</v>
          </cell>
          <cell r="V178">
            <v>23.331158854200002</v>
          </cell>
        </row>
        <row r="179">
          <cell r="A179">
            <v>46371</v>
          </cell>
          <cell r="B179">
            <v>252.12799999999999</v>
          </cell>
          <cell r="C179" t="str">
            <v/>
          </cell>
          <cell r="D179">
            <v>676.60855631078402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I179">
            <v>300</v>
          </cell>
          <cell r="J179">
            <v>244.55847656369136</v>
          </cell>
          <cell r="L179">
            <v>69.223469699871472</v>
          </cell>
          <cell r="M179">
            <v>53</v>
          </cell>
          <cell r="N179">
            <v>1046.5819462635627</v>
          </cell>
          <cell r="O179">
            <v>-0.56105254263940296</v>
          </cell>
          <cell r="P179">
            <v>676.04750376814457</v>
          </cell>
          <cell r="Q179">
            <v>252.089</v>
          </cell>
          <cell r="R179">
            <v>251.85</v>
          </cell>
          <cell r="S179">
            <v>2.3533040767937188E-2</v>
          </cell>
          <cell r="V179">
            <v>23.142228831000001</v>
          </cell>
        </row>
        <row r="180">
          <cell r="A180">
            <v>46372</v>
          </cell>
          <cell r="B180">
            <v>252.089</v>
          </cell>
          <cell r="C180" t="str">
            <v/>
          </cell>
          <cell r="D180">
            <v>676.03688717659202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I180">
            <v>300</v>
          </cell>
          <cell r="J180">
            <v>195.00098156636693</v>
          </cell>
          <cell r="L180">
            <v>47.195205129419108</v>
          </cell>
          <cell r="M180">
            <v>53</v>
          </cell>
          <cell r="N180">
            <v>974.99618669578604</v>
          </cell>
          <cell r="O180">
            <v>3.7111476107784469</v>
          </cell>
          <cell r="P180">
            <v>679.74803478737044</v>
          </cell>
          <cell r="Q180">
            <v>252.34200000000001</v>
          </cell>
          <cell r="R180">
            <v>251.85</v>
          </cell>
          <cell r="S180">
            <v>2.1586668940112439E-2</v>
          </cell>
          <cell r="V180">
            <v>70.561993960050003</v>
          </cell>
        </row>
        <row r="181">
          <cell r="A181">
            <v>46373</v>
          </cell>
          <cell r="B181">
            <v>252.34200000000001</v>
          </cell>
          <cell r="C181" t="str">
            <v/>
          </cell>
          <cell r="D181">
            <v>679.74540745737602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I181">
            <v>300</v>
          </cell>
          <cell r="J181">
            <v>574.8888204593984</v>
          </cell>
          <cell r="L181">
            <v>36.001136249785311</v>
          </cell>
          <cell r="M181">
            <v>53</v>
          </cell>
          <cell r="N181">
            <v>1343.6899567091837</v>
          </cell>
          <cell r="O181">
            <v>-0.5697378970913618</v>
          </cell>
          <cell r="P181">
            <v>679.17566956028463</v>
          </cell>
          <cell r="Q181">
            <v>252.303</v>
          </cell>
          <cell r="R181">
            <v>251.85</v>
          </cell>
          <cell r="S181">
            <v>3.6482768220022332E-2</v>
          </cell>
          <cell r="V181">
            <v>31.454866683300001</v>
          </cell>
        </row>
        <row r="182">
          <cell r="A182">
            <v>46374</v>
          </cell>
          <cell r="B182">
            <v>252.303</v>
          </cell>
          <cell r="C182" t="str">
            <v/>
          </cell>
          <cell r="D182">
            <v>679.17373832318401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I182">
            <v>300</v>
          </cell>
          <cell r="J182">
            <v>508.05050135425518</v>
          </cell>
          <cell r="L182">
            <v>66.38357800621786</v>
          </cell>
          <cell r="M182">
            <v>53</v>
          </cell>
          <cell r="N182">
            <v>1307.2340793604731</v>
          </cell>
          <cell r="O182">
            <v>-0.93758756491307294</v>
          </cell>
          <cell r="P182">
            <v>678.23615075827092</v>
          </cell>
          <cell r="Q182">
            <v>252.239</v>
          </cell>
          <cell r="R182">
            <v>251.85</v>
          </cell>
          <cell r="S182">
            <v>3.3865894447059668E-2</v>
          </cell>
          <cell r="V182">
            <v>26.165024251650003</v>
          </cell>
        </row>
        <row r="183">
          <cell r="A183">
            <v>46375</v>
          </cell>
          <cell r="B183">
            <v>252.239</v>
          </cell>
          <cell r="C183" t="str">
            <v/>
          </cell>
          <cell r="D183">
            <v>678.23561461579197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I183">
            <v>300</v>
          </cell>
          <cell r="J183">
            <v>404.47050243476286</v>
          </cell>
          <cell r="L183">
            <v>36.129161955468888</v>
          </cell>
          <cell r="M183">
            <v>53</v>
          </cell>
          <cell r="N183">
            <v>1173.3996643902317</v>
          </cell>
          <cell r="O183">
            <v>0.95319731814290121</v>
          </cell>
          <cell r="P183">
            <v>679.18881193393486</v>
          </cell>
          <cell r="Q183">
            <v>252.304</v>
          </cell>
          <cell r="R183">
            <v>251.85</v>
          </cell>
          <cell r="S183">
            <v>2.9807157885087879E-2</v>
          </cell>
          <cell r="V183">
            <v>44.259378134250007</v>
          </cell>
        </row>
        <row r="184">
          <cell r="A184">
            <v>46376</v>
          </cell>
          <cell r="B184">
            <v>252.304</v>
          </cell>
          <cell r="C184" t="str">
            <v/>
          </cell>
          <cell r="D184">
            <v>679.18839650611199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I184">
            <v>300</v>
          </cell>
          <cell r="J184">
            <v>509.73000017795044</v>
          </cell>
          <cell r="L184">
            <v>40.770028691870642</v>
          </cell>
          <cell r="M184">
            <v>53</v>
          </cell>
          <cell r="N184">
            <v>1283.3000288698211</v>
          </cell>
          <cell r="O184">
            <v>4.8975398055277952E-2</v>
          </cell>
          <cell r="P184">
            <v>679.23737190416728</v>
          </cell>
          <cell r="Q184">
            <v>252.30699999999999</v>
          </cell>
          <cell r="R184">
            <v>251.85</v>
          </cell>
          <cell r="S184">
            <v>3.3931671353195185E-2</v>
          </cell>
          <cell r="V184">
            <v>36.905860308299999</v>
          </cell>
        </row>
        <row r="185">
          <cell r="A185">
            <v>46377</v>
          </cell>
          <cell r="B185">
            <v>252.30699999999999</v>
          </cell>
          <cell r="C185" t="str">
            <v/>
          </cell>
          <cell r="D185">
            <v>679.23237105489602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I185">
            <v>300</v>
          </cell>
          <cell r="J185">
            <v>514.77947069265042</v>
          </cell>
          <cell r="L185">
            <v>29.778943825159264</v>
          </cell>
          <cell r="M185">
            <v>53</v>
          </cell>
          <cell r="N185">
            <v>1277.3584145178097</v>
          </cell>
          <cell r="O185">
            <v>-0.37280713579354763</v>
          </cell>
          <cell r="P185">
            <v>678.85956391910247</v>
          </cell>
          <cell r="Q185">
            <v>252.28100000000001</v>
          </cell>
          <cell r="R185">
            <v>251.85</v>
          </cell>
          <cell r="S185">
            <v>3.4129425439958699E-2</v>
          </cell>
          <cell r="V185">
            <v>31.855861596150003</v>
          </cell>
        </row>
        <row r="186">
          <cell r="A186">
            <v>46378</v>
          </cell>
          <cell r="B186">
            <v>252.28100000000001</v>
          </cell>
          <cell r="C186" t="str">
            <v/>
          </cell>
          <cell r="D186">
            <v>678.85125829876802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I186">
            <v>300</v>
          </cell>
          <cell r="J186">
            <v>471.56891065748835</v>
          </cell>
          <cell r="L186">
            <v>61.390528314801514</v>
          </cell>
          <cell r="M186">
            <v>53</v>
          </cell>
          <cell r="N186">
            <v>1265.7594389722899</v>
          </cell>
          <cell r="O186">
            <v>-0.6199989957179024</v>
          </cell>
          <cell r="P186">
            <v>678.23125930305014</v>
          </cell>
          <cell r="Q186">
            <v>252.238</v>
          </cell>
          <cell r="R186">
            <v>251.85</v>
          </cell>
          <cell r="S186">
            <v>3.2436843863874354E-2</v>
          </cell>
          <cell r="V186">
            <v>28.666393196400001</v>
          </cell>
        </row>
        <row r="187">
          <cell r="A187">
            <v>46379</v>
          </cell>
          <cell r="B187">
            <v>252.238</v>
          </cell>
          <cell r="C187" t="str">
            <v/>
          </cell>
          <cell r="D187">
            <v>678.220956432864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I187">
            <v>300</v>
          </cell>
          <cell r="J187">
            <v>402.91479492390971</v>
          </cell>
          <cell r="L187">
            <v>70.451876768258828</v>
          </cell>
          <cell r="M187">
            <v>53</v>
          </cell>
          <cell r="N187">
            <v>1206.1666716921686</v>
          </cell>
          <cell r="O187">
            <v>-0.59667639878356993</v>
          </cell>
          <cell r="P187">
            <v>677.62428003408047</v>
          </cell>
          <cell r="Q187">
            <v>252.197</v>
          </cell>
          <cell r="R187">
            <v>251.85</v>
          </cell>
          <cell r="S187">
            <v>2.9746167091641934E-2</v>
          </cell>
          <cell r="V187">
            <v>27.248851685400002</v>
          </cell>
        </row>
        <row r="188">
          <cell r="A188">
            <v>46380</v>
          </cell>
          <cell r="B188">
            <v>252.197</v>
          </cell>
          <cell r="C188" t="str">
            <v/>
          </cell>
          <cell r="D188">
            <v>677.61997093281605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I188">
            <v>300</v>
          </cell>
          <cell r="J188">
            <v>340.87101871568836</v>
          </cell>
          <cell r="L188">
            <v>68.122559985990151</v>
          </cell>
          <cell r="M188">
            <v>53</v>
          </cell>
          <cell r="N188">
            <v>1141.7935787016784</v>
          </cell>
          <cell r="O188">
            <v>-0.56931371539600484</v>
          </cell>
          <cell r="P188">
            <v>677.05065721742005</v>
          </cell>
          <cell r="Q188">
            <v>252.15799999999999</v>
          </cell>
          <cell r="R188">
            <v>251.85</v>
          </cell>
          <cell r="S188">
            <v>2.731301693116767E-2</v>
          </cell>
          <cell r="V188">
            <v>25.742706750750003</v>
          </cell>
        </row>
        <row r="189">
          <cell r="A189">
            <v>46381</v>
          </cell>
          <cell r="B189">
            <v>252.15799999999999</v>
          </cell>
          <cell r="C189" t="str">
            <v/>
          </cell>
          <cell r="D189">
            <v>677.04830179862404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I189">
            <v>300</v>
          </cell>
          <cell r="J189">
            <v>285.1320414578542</v>
          </cell>
          <cell r="L189">
            <v>84.063169273928111</v>
          </cell>
          <cell r="M189">
            <v>53</v>
          </cell>
          <cell r="N189">
            <v>1101.9952107317822</v>
          </cell>
          <cell r="O189">
            <v>-0.57910888749741662</v>
          </cell>
          <cell r="P189">
            <v>676.46919291112658</v>
          </cell>
          <cell r="Q189">
            <v>252.11799999999999</v>
          </cell>
          <cell r="R189">
            <v>251.85</v>
          </cell>
          <cell r="S189">
            <v>2.5125864529568987E-2</v>
          </cell>
          <cell r="V189">
            <v>24.502372087050002</v>
          </cell>
        </row>
        <row r="190">
          <cell r="A190">
            <v>46382</v>
          </cell>
          <cell r="B190">
            <v>252.11799999999999</v>
          </cell>
          <cell r="C190" t="str">
            <v/>
          </cell>
          <cell r="D190">
            <v>676.46197448150394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I190">
            <v>300</v>
          </cell>
          <cell r="J190">
            <v>231.49925718141105</v>
          </cell>
          <cell r="L190">
            <v>24.433953382540185</v>
          </cell>
          <cell r="M190">
            <v>53</v>
          </cell>
          <cell r="N190">
            <v>988.73321056395116</v>
          </cell>
          <cell r="O190">
            <v>-0.96391299546696596</v>
          </cell>
          <cell r="P190">
            <v>675.49806148603693</v>
          </cell>
          <cell r="Q190">
            <v>252.05199999999999</v>
          </cell>
          <cell r="R190">
            <v>251.85</v>
          </cell>
          <cell r="S190">
            <v>2.3020231471788753E-2</v>
          </cell>
          <cell r="V190">
            <v>16.841389903800003</v>
          </cell>
        </row>
        <row r="191">
          <cell r="A191">
            <v>46383</v>
          </cell>
          <cell r="B191">
            <v>252.05199999999999</v>
          </cell>
          <cell r="C191" t="str">
            <v/>
          </cell>
          <cell r="D191">
            <v>675.49453440825596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I191">
            <v>300</v>
          </cell>
          <cell r="J191">
            <v>151.56021587416086</v>
          </cell>
          <cell r="L191">
            <v>52.72327562982256</v>
          </cell>
          <cell r="M191">
            <v>53</v>
          </cell>
          <cell r="N191">
            <v>937.08349150398328</v>
          </cell>
          <cell r="O191">
            <v>0.19530860194195254</v>
          </cell>
          <cell r="P191">
            <v>675.68984301019793</v>
          </cell>
          <cell r="Q191">
            <v>252.065</v>
          </cell>
          <cell r="R191">
            <v>251.85</v>
          </cell>
          <cell r="S191">
            <v>1.9879751820831144E-2</v>
          </cell>
          <cell r="V191">
            <v>28.795772884050002</v>
          </cell>
        </row>
        <row r="192">
          <cell r="A192">
            <v>46384</v>
          </cell>
          <cell r="B192">
            <v>252.065</v>
          </cell>
          <cell r="C192" t="str">
            <v/>
          </cell>
          <cell r="D192">
            <v>675.68509078631996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I192">
            <v>300</v>
          </cell>
          <cell r="J192">
            <v>166.40803655093663</v>
          </cell>
          <cell r="L192">
            <v>29.769963024642323</v>
          </cell>
          <cell r="M192">
            <v>53</v>
          </cell>
          <cell r="N192">
            <v>928.97799957557891</v>
          </cell>
          <cell r="O192">
            <v>2.0294922411663761</v>
          </cell>
          <cell r="P192">
            <v>677.71458302748636</v>
          </cell>
          <cell r="Q192">
            <v>252.203</v>
          </cell>
          <cell r="R192">
            <v>251.85</v>
          </cell>
          <cell r="S192">
            <v>2.0463249041127195E-2</v>
          </cell>
          <cell r="V192">
            <v>49.795265675549999</v>
          </cell>
        </row>
        <row r="193">
          <cell r="A193">
            <v>46385</v>
          </cell>
          <cell r="B193">
            <v>252.203</v>
          </cell>
          <cell r="C193" t="str">
            <v/>
          </cell>
          <cell r="D193">
            <v>677.707920030384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I193">
            <v>300</v>
          </cell>
          <cell r="J193">
            <v>349.73480263720165</v>
          </cell>
          <cell r="L193">
            <v>44.592358316279174</v>
          </cell>
          <cell r="M193">
            <v>53</v>
          </cell>
          <cell r="N193">
            <v>1127.1271609534808</v>
          </cell>
          <cell r="O193">
            <v>-0.52557533428212211</v>
          </cell>
          <cell r="P193">
            <v>677.18234469610184</v>
          </cell>
          <cell r="Q193">
            <v>252.167</v>
          </cell>
          <cell r="R193">
            <v>251.85</v>
          </cell>
          <cell r="S193">
            <v>2.7660715014325408E-2</v>
          </cell>
          <cell r="V193">
            <v>25.833632156100002</v>
          </cell>
        </row>
        <row r="194">
          <cell r="A194">
            <v>46386</v>
          </cell>
          <cell r="B194">
            <v>252.167</v>
          </cell>
          <cell r="C194" t="str">
            <v/>
          </cell>
          <cell r="D194">
            <v>677.18022544497603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I194">
            <v>300</v>
          </cell>
          <cell r="J194">
            <v>297.70092958526288</v>
          </cell>
          <cell r="L194">
            <v>34.634361119724801</v>
          </cell>
          <cell r="M194">
            <v>53</v>
          </cell>
          <cell r="N194">
            <v>1065.1352907049877</v>
          </cell>
          <cell r="O194">
            <v>-0.78979314303086379</v>
          </cell>
          <cell r="P194">
            <v>676.39043230194511</v>
          </cell>
          <cell r="Q194">
            <v>252.113</v>
          </cell>
          <cell r="R194">
            <v>251.85</v>
          </cell>
          <cell r="S194">
            <v>2.5619161539089122E-2</v>
          </cell>
          <cell r="V194">
            <v>21.020135775149999</v>
          </cell>
        </row>
        <row r="195">
          <cell r="A195">
            <v>46387</v>
          </cell>
          <cell r="B195">
            <v>252.113</v>
          </cell>
          <cell r="C195" t="str">
            <v/>
          </cell>
          <cell r="D195">
            <v>676.38868356686396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>
            <v>225.05930860400531</v>
          </cell>
          <cell r="L195">
            <v>55.810039684201541</v>
          </cell>
          <cell r="M195">
            <v>53</v>
          </cell>
          <cell r="N195">
            <v>713.66934828820683</v>
          </cell>
          <cell r="O195">
            <v>0.44941721011135233</v>
          </cell>
          <cell r="P195">
            <v>676.83810077697535</v>
          </cell>
          <cell r="Q195">
            <v>252.143</v>
          </cell>
          <cell r="R195">
            <v>251.85</v>
          </cell>
          <cell r="S195">
            <v>1.09679695886021E-2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D38">
            <v>30.384994337485846</v>
          </cell>
        </row>
        <row r="39">
          <cell r="A39">
            <v>46230</v>
          </cell>
          <cell r="B39">
            <v>84.864000000000004</v>
          </cell>
          <cell r="C39">
            <v>84.864000000000004</v>
          </cell>
          <cell r="D39">
            <v>181816.52235904001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3218.0946448749182</v>
          </cell>
          <cell r="O39">
            <v>333.53444781923503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3962.7900926941534</v>
          </cell>
          <cell r="Y39">
            <v>-244.28451680877484</v>
          </cell>
          <cell r="Z39">
            <v>181572.23784223123</v>
          </cell>
          <cell r="AA39">
            <v>84.810260785938823</v>
          </cell>
          <cell r="AD39">
            <v>23.766223103057758</v>
          </cell>
        </row>
        <row r="40">
          <cell r="A40">
            <v>46231</v>
          </cell>
          <cell r="B40">
            <v>84.811999999999998</v>
          </cell>
          <cell r="C40">
            <v>84.811999999999998</v>
          </cell>
          <cell r="D40">
            <v>181580.14129256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2960.6970832297652</v>
          </cell>
          <cell r="O40">
            <v>256.19455287680154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3628.0526361065668</v>
          </cell>
          <cell r="Y40">
            <v>-52.589574959607376</v>
          </cell>
          <cell r="Z40">
            <v>181527.55171760041</v>
          </cell>
          <cell r="AA40">
            <v>84.800426555580714</v>
          </cell>
          <cell r="AD40">
            <v>77.105804077010191</v>
          </cell>
        </row>
        <row r="41">
          <cell r="A41">
            <v>46232</v>
          </cell>
          <cell r="B41">
            <v>84.747</v>
          </cell>
          <cell r="C41">
            <v>84.747</v>
          </cell>
          <cell r="D41">
            <v>181284.88067528501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3206.919009385324</v>
          </cell>
          <cell r="O41">
            <v>464.09773206502507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4082.177741450349</v>
          </cell>
          <cell r="Y41">
            <v>-173.21279686131015</v>
          </cell>
          <cell r="Z41">
            <v>181111.6678784237</v>
          </cell>
          <cell r="AA41">
            <v>84.708843577551505</v>
          </cell>
          <cell r="AD41">
            <v>50.43601359003398</v>
          </cell>
        </row>
        <row r="42">
          <cell r="A42">
            <v>46233</v>
          </cell>
          <cell r="B42">
            <v>84.715999999999994</v>
          </cell>
          <cell r="C42">
            <v>84.715999999999994</v>
          </cell>
          <cell r="D42">
            <v>181144.14848743993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2952.3263567113372</v>
          </cell>
          <cell r="O42">
            <v>421.66878786881927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3785.1561445801567</v>
          </cell>
          <cell r="Y42">
            <v>-164.77794529172556</v>
          </cell>
          <cell r="Z42">
            <v>180979.37054214822</v>
          </cell>
          <cell r="AA42">
            <v>84.679688011731557</v>
          </cell>
          <cell r="AD42">
            <v>44.790600226500565</v>
          </cell>
        </row>
        <row r="43">
          <cell r="A43">
            <v>46234</v>
          </cell>
          <cell r="B43">
            <v>84.653000000000006</v>
          </cell>
          <cell r="C43">
            <v>84.653000000000006</v>
          </cell>
          <cell r="D43">
            <v>180858.312341285</v>
          </cell>
          <cell r="E43">
            <v>1351.6659999999999</v>
          </cell>
          <cell r="F43">
            <v>0</v>
          </cell>
          <cell r="G43">
            <v>0</v>
          </cell>
          <cell r="H43">
            <v>0</v>
          </cell>
          <cell r="I43">
            <v>1351.6659999999999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3197.9402936928304</v>
          </cell>
          <cell r="O43">
            <v>629.16772515601951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4238.2690188488505</v>
          </cell>
          <cell r="Y43">
            <v>-249.40250082854067</v>
          </cell>
          <cell r="Z43">
            <v>180608.90984045644</v>
          </cell>
          <cell r="AA43">
            <v>84.597989608298136</v>
          </cell>
          <cell r="AD43">
            <v>38.269139297848241</v>
          </cell>
        </row>
        <row r="44">
          <cell r="A44">
            <v>46235</v>
          </cell>
          <cell r="B44">
            <v>84.594999999999999</v>
          </cell>
          <cell r="C44">
            <v>84.594999999999999</v>
          </cell>
          <cell r="D44">
            <v>180595.36066912499</v>
          </cell>
          <cell r="E44">
            <v>2338.67</v>
          </cell>
          <cell r="F44">
            <v>0</v>
          </cell>
          <cell r="G44">
            <v>0</v>
          </cell>
          <cell r="H44">
            <v>0</v>
          </cell>
          <cell r="I44">
            <v>2338.67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2513.5436836868826</v>
          </cell>
          <cell r="O44">
            <v>591.22371249355899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3515.9283961804417</v>
          </cell>
          <cell r="Y44">
            <v>-101.71512542999015</v>
          </cell>
          <cell r="Z44">
            <v>180493.64554369499</v>
          </cell>
          <cell r="AA44">
            <v>84.572553106826931</v>
          </cell>
          <cell r="AD44">
            <v>66.213759909399769</v>
          </cell>
        </row>
        <row r="45">
          <cell r="A45">
            <v>46236</v>
          </cell>
          <cell r="B45">
            <v>84.548000000000002</v>
          </cell>
          <cell r="C45">
            <v>84.548000000000002</v>
          </cell>
          <cell r="D45">
            <v>180382.41912296001</v>
          </cell>
          <cell r="E45">
            <v>1628.4949999999999</v>
          </cell>
          <cell r="F45">
            <v>0</v>
          </cell>
          <cell r="G45">
            <v>0</v>
          </cell>
          <cell r="H45">
            <v>0</v>
          </cell>
          <cell r="I45">
            <v>1628.4949999999999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2509.988960543119</v>
          </cell>
          <cell r="O45">
            <v>593.63633720282076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3514.7862977459399</v>
          </cell>
          <cell r="Y45">
            <v>-162.9755681252492</v>
          </cell>
          <cell r="Z45">
            <v>180219.44355483475</v>
          </cell>
          <cell r="AA45">
            <v>84.512009683544974</v>
          </cell>
          <cell r="AD45">
            <v>46.106879954699885</v>
          </cell>
        </row>
        <row r="46">
          <cell r="A46">
            <v>46237</v>
          </cell>
          <cell r="B46">
            <v>84.513000000000005</v>
          </cell>
          <cell r="C46">
            <v>84.513000000000005</v>
          </cell>
          <cell r="D46">
            <v>180223.92703868501</v>
          </cell>
          <cell r="E46">
            <v>1146.501</v>
          </cell>
          <cell r="F46">
            <v>0</v>
          </cell>
          <cell r="G46">
            <v>0</v>
          </cell>
          <cell r="H46">
            <v>0</v>
          </cell>
          <cell r="I46">
            <v>1146.501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2507.3418262871264</v>
          </cell>
          <cell r="O46">
            <v>548.58927566814157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3467.0921019552679</v>
          </cell>
          <cell r="Y46">
            <v>-200.49907120893511</v>
          </cell>
          <cell r="Z46">
            <v>180023.42796747608</v>
          </cell>
          <cell r="AA46">
            <v>84.468701542169484</v>
          </cell>
          <cell r="AD46">
            <v>32.460390713476784</v>
          </cell>
        </row>
        <row r="47">
          <cell r="A47">
            <v>46238</v>
          </cell>
          <cell r="B47">
            <v>84.492999999999995</v>
          </cell>
          <cell r="C47">
            <v>84.492999999999995</v>
          </cell>
          <cell r="D47">
            <v>180133.39133488497</v>
          </cell>
          <cell r="E47">
            <v>1122.4010000000001</v>
          </cell>
          <cell r="F47">
            <v>0</v>
          </cell>
          <cell r="G47">
            <v>0</v>
          </cell>
          <cell r="H47">
            <v>0</v>
          </cell>
          <cell r="I47">
            <v>1122.4010000000001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2505.8291781408429</v>
          </cell>
          <cell r="O47">
            <v>516.33980488887028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3433.3299830297133</v>
          </cell>
          <cell r="Y47">
            <v>-199.66426413376718</v>
          </cell>
          <cell r="Z47">
            <v>179933.72707075122</v>
          </cell>
          <cell r="AA47">
            <v>84.448874971962027</v>
          </cell>
          <cell r="AD47">
            <v>31.778057757644397</v>
          </cell>
        </row>
        <row r="48">
          <cell r="A48">
            <v>46239</v>
          </cell>
          <cell r="B48">
            <v>84.507999999999996</v>
          </cell>
          <cell r="C48">
            <v>84.507999999999996</v>
          </cell>
          <cell r="D48">
            <v>180201.29098535998</v>
          </cell>
          <cell r="E48">
            <v>995.87699999999995</v>
          </cell>
          <cell r="F48">
            <v>0</v>
          </cell>
          <cell r="G48">
            <v>0</v>
          </cell>
          <cell r="H48">
            <v>0</v>
          </cell>
          <cell r="I48">
            <v>995.87699999999995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2506.9636642505548</v>
          </cell>
          <cell r="O48">
            <v>727.38835183084973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3645.5130160814047</v>
          </cell>
          <cell r="Y48">
            <v>-228.92855178943336</v>
          </cell>
          <cell r="Z48">
            <v>179972.36243357055</v>
          </cell>
          <cell r="AA48">
            <v>84.457415142328458</v>
          </cell>
          <cell r="AD48">
            <v>28.19583805209513</v>
          </cell>
        </row>
        <row r="49">
          <cell r="A49">
            <v>46240</v>
          </cell>
          <cell r="B49">
            <v>84.512</v>
          </cell>
          <cell r="C49">
            <v>84.512</v>
          </cell>
          <cell r="D49">
            <v>180219.39971455999</v>
          </cell>
          <cell r="E49">
            <v>977.2</v>
          </cell>
          <cell r="F49">
            <v>0</v>
          </cell>
          <cell r="G49">
            <v>0</v>
          </cell>
          <cell r="H49">
            <v>0</v>
          </cell>
          <cell r="I49">
            <v>977.2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2507.266193879811</v>
          </cell>
          <cell r="O49">
            <v>662.0553261556795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3580.4825200354908</v>
          </cell>
          <cell r="Y49">
            <v>-224.92360973106639</v>
          </cell>
          <cell r="Z49">
            <v>179994.47610482891</v>
          </cell>
          <cell r="AA49">
            <v>84.462302856780994</v>
          </cell>
          <cell r="AD49">
            <v>27.66704416761042</v>
          </cell>
        </row>
        <row r="50">
          <cell r="A50">
            <v>46241</v>
          </cell>
          <cell r="B50">
            <v>84.483000000000004</v>
          </cell>
          <cell r="C50">
            <v>84.483000000000004</v>
          </cell>
          <cell r="D50">
            <v>180088.13199248502</v>
          </cell>
          <cell r="E50">
            <v>907.91399999999999</v>
          </cell>
          <cell r="F50">
            <v>0</v>
          </cell>
          <cell r="G50">
            <v>0</v>
          </cell>
          <cell r="H50">
            <v>0</v>
          </cell>
          <cell r="I50">
            <v>907.91399999999999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2505.0728540677019</v>
          </cell>
          <cell r="O50">
            <v>542.13154175588647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3458.3653958235882</v>
          </cell>
          <cell r="Y50">
            <v>-220.35900059915804</v>
          </cell>
          <cell r="Z50">
            <v>179867.77299188587</v>
          </cell>
          <cell r="AA50">
            <v>84.434294010496174</v>
          </cell>
          <cell r="AD50">
            <v>25.70537938844847</v>
          </cell>
        </row>
        <row r="51">
          <cell r="A51">
            <v>46242</v>
          </cell>
          <cell r="B51">
            <v>84.427999999999997</v>
          </cell>
          <cell r="C51">
            <v>84.427999999999997</v>
          </cell>
          <cell r="D51">
            <v>179839.30701415997</v>
          </cell>
          <cell r="E51">
            <v>1091.203</v>
          </cell>
          <cell r="F51">
            <v>0</v>
          </cell>
          <cell r="G51">
            <v>0</v>
          </cell>
          <cell r="H51">
            <v>0</v>
          </cell>
          <cell r="I51">
            <v>1091.203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2500.9130716654263</v>
          </cell>
          <cell r="O51">
            <v>732.05408554447797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3644.1281572099042</v>
          </cell>
          <cell r="Y51">
            <v>-220.57273358293571</v>
          </cell>
          <cell r="Z51">
            <v>179618.73428057705</v>
          </cell>
          <cell r="AA51">
            <v>84.379213098552157</v>
          </cell>
          <cell r="AD51">
            <v>30.894762174405436</v>
          </cell>
        </row>
        <row r="52">
          <cell r="A52">
            <v>46243</v>
          </cell>
          <cell r="B52">
            <v>84.4</v>
          </cell>
          <cell r="C52">
            <v>84.4</v>
          </cell>
          <cell r="D52">
            <v>179712.69840000002</v>
          </cell>
          <cell r="E52">
            <v>1289.846</v>
          </cell>
          <cell r="F52">
            <v>0</v>
          </cell>
          <cell r="G52">
            <v>0</v>
          </cell>
          <cell r="H52">
            <v>0</v>
          </cell>
          <cell r="I52">
            <v>1289.846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2498.7953642606317</v>
          </cell>
          <cell r="O52">
            <v>597.25044952092662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3507.2068137815586</v>
          </cell>
          <cell r="Y52">
            <v>-191.57997431072664</v>
          </cell>
          <cell r="Z52">
            <v>179521.11842568929</v>
          </cell>
          <cell r="AA52">
            <v>84.357612608733049</v>
          </cell>
          <cell r="AD52">
            <v>36.518856172140431</v>
          </cell>
        </row>
        <row r="53">
          <cell r="A53">
            <v>46244</v>
          </cell>
          <cell r="B53">
            <v>84.328000000000003</v>
          </cell>
          <cell r="C53">
            <v>84.328000000000003</v>
          </cell>
          <cell r="D53">
            <v>179387.33762016002</v>
          </cell>
          <cell r="E53">
            <v>2484.681</v>
          </cell>
          <cell r="F53">
            <v>0</v>
          </cell>
          <cell r="G53">
            <v>0</v>
          </cell>
          <cell r="H53">
            <v>0</v>
          </cell>
          <cell r="I53">
            <v>2484.681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2493.3498309340157</v>
          </cell>
          <cell r="O53">
            <v>527.48528314883981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3431.9961140828555</v>
          </cell>
          <cell r="Y53">
            <v>-81.84802585675871</v>
          </cell>
          <cell r="Z53">
            <v>179305.48959430325</v>
          </cell>
          <cell r="AA53">
            <v>84.309877368755963</v>
          </cell>
          <cell r="AD53">
            <v>70.347706681766709</v>
          </cell>
        </row>
        <row r="54">
          <cell r="A54">
            <v>46245</v>
          </cell>
          <cell r="B54">
            <v>84.268000000000001</v>
          </cell>
          <cell r="C54">
            <v>84.268000000000001</v>
          </cell>
          <cell r="D54">
            <v>179116.42828775998</v>
          </cell>
          <cell r="E54">
            <v>2130.7440000000001</v>
          </cell>
          <cell r="F54">
            <v>0</v>
          </cell>
          <cell r="G54">
            <v>0</v>
          </cell>
          <cell r="H54">
            <v>0</v>
          </cell>
          <cell r="I54">
            <v>2130.7440000000001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2488.8118864951693</v>
          </cell>
          <cell r="O54">
            <v>552.83838894327403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3452.8112754384433</v>
          </cell>
          <cell r="Y54">
            <v>-114.22661259788148</v>
          </cell>
          <cell r="Z54">
            <v>179002.2016751621</v>
          </cell>
          <cell r="AA54">
            <v>84.242687945159261</v>
          </cell>
          <cell r="AD54">
            <v>60.326840317100796</v>
          </cell>
        </row>
        <row r="55">
          <cell r="A55">
            <v>46246</v>
          </cell>
          <cell r="B55">
            <v>84.218000000000004</v>
          </cell>
          <cell r="C55">
            <v>84.218000000000004</v>
          </cell>
          <cell r="D55">
            <v>178890.82651826</v>
          </cell>
          <cell r="E55">
            <v>3867.1750000000002</v>
          </cell>
          <cell r="F55">
            <v>0</v>
          </cell>
          <cell r="G55">
            <v>0</v>
          </cell>
          <cell r="H55">
            <v>0</v>
          </cell>
          <cell r="I55">
            <v>3867.1750000000002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2485.0302661294636</v>
          </cell>
          <cell r="O55">
            <v>662.3289014599311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3558.520167589395</v>
          </cell>
          <cell r="Y55">
            <v>26.667777520276289</v>
          </cell>
          <cell r="Z55">
            <v>178917.49429578029</v>
          </cell>
          <cell r="AA55">
            <v>84.223912003897709</v>
          </cell>
          <cell r="AD55">
            <v>109.48966591166479</v>
          </cell>
        </row>
        <row r="56">
          <cell r="A56">
            <v>46247</v>
          </cell>
          <cell r="B56">
            <v>84.168999999999997</v>
          </cell>
          <cell r="C56">
            <v>84.168999999999997</v>
          </cell>
          <cell r="D56">
            <v>178669.87438276497</v>
          </cell>
          <cell r="E56">
            <v>1118.816</v>
          </cell>
          <cell r="F56">
            <v>0</v>
          </cell>
          <cell r="G56">
            <v>0</v>
          </cell>
          <cell r="H56">
            <v>0</v>
          </cell>
          <cell r="I56">
            <v>1118.816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2481.3242781710715</v>
          </cell>
          <cell r="O56">
            <v>882.71659560772389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3775.2018737787953</v>
          </cell>
          <cell r="Y56">
            <v>-229.5117394944879</v>
          </cell>
          <cell r="Z56">
            <v>178440.36264327049</v>
          </cell>
          <cell r="AA56">
            <v>84.118069743122845</v>
          </cell>
          <cell r="AD56">
            <v>31.67655719139298</v>
          </cell>
        </row>
        <row r="57">
          <cell r="A57">
            <v>46248</v>
          </cell>
          <cell r="B57">
            <v>84.123000000000005</v>
          </cell>
          <cell r="C57">
            <v>84.123000000000005</v>
          </cell>
          <cell r="D57">
            <v>178462.57388408502</v>
          </cell>
          <cell r="E57">
            <v>793.38400000000001</v>
          </cell>
          <cell r="F57">
            <v>0</v>
          </cell>
          <cell r="G57">
            <v>0</v>
          </cell>
          <cell r="H57">
            <v>0</v>
          </cell>
          <cell r="I57">
            <v>793.38400000000001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2477.8451874346238</v>
          </cell>
          <cell r="O57">
            <v>841.01160548389555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3730.0177929185193</v>
          </cell>
          <cell r="Y57">
            <v>-253.72515970816005</v>
          </cell>
          <cell r="Z57">
            <v>178208.84872437688</v>
          </cell>
          <cell r="AA57">
            <v>84.066662074157392</v>
          </cell>
          <cell r="AD57">
            <v>22.462740656851643</v>
          </cell>
        </row>
        <row r="58">
          <cell r="A58">
            <v>46249</v>
          </cell>
          <cell r="B58">
            <v>84.063000000000002</v>
          </cell>
          <cell r="C58">
            <v>84.063000000000002</v>
          </cell>
          <cell r="D58">
            <v>178192.36233068499</v>
          </cell>
          <cell r="E58">
            <v>1600.626</v>
          </cell>
          <cell r="F58">
            <v>0</v>
          </cell>
          <cell r="G58">
            <v>0</v>
          </cell>
          <cell r="H58">
            <v>0</v>
          </cell>
          <cell r="I58">
            <v>1600.626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2473.3072429957765</v>
          </cell>
          <cell r="O58">
            <v>738.15798017016493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3622.6262231659416</v>
          </cell>
          <cell r="Y58">
            <v>-174.70081928153735</v>
          </cell>
          <cell r="Z58">
            <v>178017.66151140345</v>
          </cell>
          <cell r="AA58">
            <v>84.024183831915536</v>
          </cell>
          <cell r="AD58">
            <v>45.317836919592295</v>
          </cell>
        </row>
        <row r="59">
          <cell r="A59">
            <v>46250</v>
          </cell>
          <cell r="B59">
            <v>84.024000000000001</v>
          </cell>
          <cell r="C59">
            <v>84.024000000000001</v>
          </cell>
          <cell r="D59">
            <v>178016.83433824001</v>
          </cell>
          <cell r="E59">
            <v>939.63400000000001</v>
          </cell>
          <cell r="F59">
            <v>0</v>
          </cell>
          <cell r="G59">
            <v>0</v>
          </cell>
          <cell r="H59">
            <v>0</v>
          </cell>
          <cell r="I59">
            <v>939.63400000000001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2470.3575791105259</v>
          </cell>
          <cell r="O59">
            <v>796.63112091964865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3678.1497000301747</v>
          </cell>
          <cell r="Y59">
            <v>-236.60775648260707</v>
          </cell>
          <cell r="Z59">
            <v>177780.22658175739</v>
          </cell>
          <cell r="AA59">
            <v>83.971398516737693</v>
          </cell>
          <cell r="AD59">
            <v>26.603454133635335</v>
          </cell>
        </row>
        <row r="60">
          <cell r="A60">
            <v>46251</v>
          </cell>
          <cell r="B60">
            <v>84.138000000000005</v>
          </cell>
          <cell r="C60">
            <v>84.138000000000005</v>
          </cell>
          <cell r="D60">
            <v>178530.15868306003</v>
          </cell>
          <cell r="E60">
            <v>3355.1509999999998</v>
          </cell>
          <cell r="F60">
            <v>0</v>
          </cell>
          <cell r="G60">
            <v>0</v>
          </cell>
          <cell r="H60">
            <v>0</v>
          </cell>
          <cell r="I60">
            <v>3355.1509999999998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2478.9796735443351</v>
          </cell>
          <cell r="O60">
            <v>616.26433306077138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3506.4050066051068</v>
          </cell>
          <cell r="Y60">
            <v>-13.06834617068124</v>
          </cell>
          <cell r="Z60">
            <v>178517.09033688935</v>
          </cell>
          <cell r="AA60">
            <v>84.135099787751329</v>
          </cell>
          <cell r="AD60">
            <v>94.992950169875414</v>
          </cell>
        </row>
        <row r="61">
          <cell r="A61">
            <v>46252</v>
          </cell>
          <cell r="B61">
            <v>84.135999999999996</v>
          </cell>
          <cell r="C61">
            <v>84.135999999999996</v>
          </cell>
          <cell r="D61">
            <v>178521.14663903997</v>
          </cell>
          <cell r="E61">
            <v>3434.2620000000002</v>
          </cell>
          <cell r="F61">
            <v>0</v>
          </cell>
          <cell r="G61">
            <v>0</v>
          </cell>
          <cell r="H61">
            <v>0</v>
          </cell>
          <cell r="I61">
            <v>3434.2620000000002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2478.828408729707</v>
          </cell>
          <cell r="O61">
            <v>349.45455428073308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3239.4439630104403</v>
          </cell>
          <cell r="Y61">
            <v>16.832278395897976</v>
          </cell>
          <cell r="Z61">
            <v>178537.97891743586</v>
          </cell>
          <cell r="AA61">
            <v>84.139735466554427</v>
          </cell>
          <cell r="AD61">
            <v>97.232785956964904</v>
          </cell>
        </row>
        <row r="62">
          <cell r="A62">
            <v>46253</v>
          </cell>
          <cell r="B62">
            <v>84.094999999999999</v>
          </cell>
          <cell r="C62">
            <v>84.094999999999999</v>
          </cell>
          <cell r="D62">
            <v>178336.44974412498</v>
          </cell>
          <cell r="E62">
            <v>1295.633</v>
          </cell>
          <cell r="F62">
            <v>0</v>
          </cell>
          <cell r="G62">
            <v>0</v>
          </cell>
          <cell r="H62">
            <v>0</v>
          </cell>
          <cell r="I62">
            <v>1295.633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2475.7274800298283</v>
          </cell>
          <cell r="O62">
            <v>690.37784963267131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3577.2663296624996</v>
          </cell>
          <cell r="Y62">
            <v>-197.13311968283998</v>
          </cell>
          <cell r="Z62">
            <v>178139.31662444214</v>
          </cell>
          <cell r="AA62">
            <v>84.051215966412187</v>
          </cell>
          <cell r="AD62">
            <v>36.682701019252548</v>
          </cell>
        </row>
        <row r="63">
          <cell r="A63">
            <v>46254</v>
          </cell>
          <cell r="B63">
            <v>84.051000000000002</v>
          </cell>
          <cell r="C63">
            <v>84.051000000000002</v>
          </cell>
          <cell r="D63">
            <v>178138.344527365</v>
          </cell>
          <cell r="E63">
            <v>905.35299999999995</v>
          </cell>
          <cell r="F63">
            <v>0</v>
          </cell>
          <cell r="G63">
            <v>0</v>
          </cell>
          <cell r="H63">
            <v>0</v>
          </cell>
          <cell r="I63">
            <v>905.35299999999995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2472.3996541080078</v>
          </cell>
          <cell r="O63">
            <v>952.43407453303382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3835.9947286410415</v>
          </cell>
          <cell r="Y63">
            <v>-253.20744535458596</v>
          </cell>
          <cell r="Z63">
            <v>177885.13708201042</v>
          </cell>
          <cell r="AA63">
            <v>83.99472601412549</v>
          </cell>
          <cell r="AD63">
            <v>25.632870894677236</v>
          </cell>
        </row>
        <row r="64">
          <cell r="A64">
            <v>46255</v>
          </cell>
          <cell r="B64">
            <v>83.991</v>
          </cell>
          <cell r="C64">
            <v>83.991</v>
          </cell>
          <cell r="D64">
            <v>177868.37804756497</v>
          </cell>
          <cell r="E64">
            <v>934.36</v>
          </cell>
          <cell r="F64">
            <v>0</v>
          </cell>
          <cell r="G64">
            <v>0</v>
          </cell>
          <cell r="H64">
            <v>300</v>
          </cell>
          <cell r="I64">
            <v>1234.3600000000001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2467.8617096691605</v>
          </cell>
          <cell r="O64">
            <v>829.32868863949068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3708.3513983086514</v>
          </cell>
          <cell r="Y64">
            <v>-213.75285681386745</v>
          </cell>
          <cell r="Z64">
            <v>177654.6251907511</v>
          </cell>
          <cell r="AA64">
            <v>83.943461238992654</v>
          </cell>
          <cell r="AD64">
            <v>26.454133635334088</v>
          </cell>
        </row>
        <row r="65">
          <cell r="A65">
            <v>46256</v>
          </cell>
          <cell r="B65">
            <v>83.971000000000004</v>
          </cell>
          <cell r="C65">
            <v>83.971000000000004</v>
          </cell>
          <cell r="D65">
            <v>177778.434604965</v>
          </cell>
          <cell r="E65">
            <v>1131.1880000000001</v>
          </cell>
          <cell r="F65">
            <v>0</v>
          </cell>
          <cell r="G65">
            <v>0</v>
          </cell>
          <cell r="H65">
            <v>300</v>
          </cell>
          <cell r="I65">
            <v>1431.1880000000001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2466.3490615228789</v>
          </cell>
          <cell r="O65">
            <v>852.20373792150463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3729.7137994443838</v>
          </cell>
          <cell r="Y65">
            <v>-198.59262907199474</v>
          </cell>
          <cell r="Z65">
            <v>177579.84197589301</v>
          </cell>
          <cell r="AA65">
            <v>83.926822671827637</v>
          </cell>
          <cell r="AD65">
            <v>32.026840317100799</v>
          </cell>
        </row>
        <row r="66">
          <cell r="A66">
            <v>46257</v>
          </cell>
          <cell r="B66">
            <v>83.929000000000002</v>
          </cell>
          <cell r="C66">
            <v>83.929000000000002</v>
          </cell>
          <cell r="D66">
            <v>177589.627237965</v>
          </cell>
          <cell r="E66">
            <v>1061.816</v>
          </cell>
          <cell r="F66">
            <v>0</v>
          </cell>
          <cell r="G66">
            <v>0</v>
          </cell>
          <cell r="H66">
            <v>300</v>
          </cell>
          <cell r="I66">
            <v>1361.816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2463.1725004156865</v>
          </cell>
          <cell r="O66">
            <v>759.16655123785824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3633.5000516535447</v>
          </cell>
          <cell r="Y66">
            <v>-196.27350206286627</v>
          </cell>
          <cell r="Z66">
            <v>177393.35373590214</v>
          </cell>
          <cell r="AA66">
            <v>83.885315548173921</v>
          </cell>
          <cell r="AD66">
            <v>30.062740656851641</v>
          </cell>
        </row>
        <row r="67">
          <cell r="A67">
            <v>46258</v>
          </cell>
          <cell r="B67">
            <v>83.869</v>
          </cell>
          <cell r="C67">
            <v>83.869</v>
          </cell>
          <cell r="D67">
            <v>177320.07602176498</v>
          </cell>
          <cell r="E67">
            <v>831.85299999999995</v>
          </cell>
          <cell r="F67">
            <v>0</v>
          </cell>
          <cell r="G67">
            <v>0</v>
          </cell>
          <cell r="H67">
            <v>300</v>
          </cell>
          <cell r="I67">
            <v>1131.8530000000001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2458.6345559768397</v>
          </cell>
          <cell r="O67">
            <v>676.29074914519992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3546.0863051220394</v>
          </cell>
          <cell r="Y67">
            <v>-208.58975756254421</v>
          </cell>
          <cell r="Z67">
            <v>177111.48626420242</v>
          </cell>
          <cell r="AA67">
            <v>83.822538314943529</v>
          </cell>
          <cell r="AD67">
            <v>23.551896942242355</v>
          </cell>
        </row>
        <row r="68">
          <cell r="A68">
            <v>46259</v>
          </cell>
          <cell r="B68">
            <v>83.844999999999999</v>
          </cell>
          <cell r="C68">
            <v>83.844999999999999</v>
          </cell>
          <cell r="D68">
            <v>177212.31271912501</v>
          </cell>
          <cell r="E68">
            <v>2685.0790000000002</v>
          </cell>
          <cell r="F68">
            <v>0</v>
          </cell>
          <cell r="G68">
            <v>0</v>
          </cell>
          <cell r="H68">
            <v>300</v>
          </cell>
          <cell r="I68">
            <v>2985.0790000000002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2456.8193782013013</v>
          </cell>
          <cell r="O68">
            <v>532.9626550706048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3400.9430332719062</v>
          </cell>
          <cell r="Y68">
            <v>-35.930652474692678</v>
          </cell>
          <cell r="Z68">
            <v>177176.38206665032</v>
          </cell>
          <cell r="AA68">
            <v>83.836996254617105</v>
          </cell>
          <cell r="AD68">
            <v>76.021489241223108</v>
          </cell>
        </row>
        <row r="69">
          <cell r="A69">
            <v>46260</v>
          </cell>
          <cell r="B69">
            <v>83.8</v>
          </cell>
          <cell r="C69">
            <v>83.8</v>
          </cell>
          <cell r="D69">
            <v>177010.34459999998</v>
          </cell>
          <cell r="E69">
            <v>1758.4659999999999</v>
          </cell>
          <cell r="F69">
            <v>0</v>
          </cell>
          <cell r="G69">
            <v>0</v>
          </cell>
          <cell r="H69">
            <v>300</v>
          </cell>
          <cell r="I69">
            <v>2058.4659999999999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2453.4159198721663</v>
          </cell>
          <cell r="O69">
            <v>218.44045585827354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3083.0173757304401</v>
          </cell>
          <cell r="Y69">
            <v>-88.521238863110028</v>
          </cell>
          <cell r="Z69">
            <v>176921.82336113686</v>
          </cell>
          <cell r="AA69">
            <v>83.780268737195527</v>
          </cell>
          <cell r="AD69">
            <v>49.786693091732722</v>
          </cell>
        </row>
        <row r="70">
          <cell r="A70">
            <v>46261</v>
          </cell>
          <cell r="B70">
            <v>83.843000000000004</v>
          </cell>
          <cell r="C70">
            <v>83.843000000000004</v>
          </cell>
          <cell r="D70">
            <v>177203.33391888501</v>
          </cell>
          <cell r="E70">
            <v>1562.3219999999999</v>
          </cell>
          <cell r="F70">
            <v>0</v>
          </cell>
          <cell r="G70">
            <v>0</v>
          </cell>
          <cell r="H70">
            <v>300</v>
          </cell>
          <cell r="I70">
            <v>1862.3219999999999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2456.6681133866732</v>
          </cell>
          <cell r="O70">
            <v>181.54208259773173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3049.3711959844049</v>
          </cell>
          <cell r="Y70">
            <v>-102.56105053305259</v>
          </cell>
          <cell r="Z70">
            <v>177100.77286835195</v>
          </cell>
          <cell r="AA70">
            <v>83.820151255763051</v>
          </cell>
          <cell r="AD70">
            <v>44.233352208380516</v>
          </cell>
        </row>
        <row r="71">
          <cell r="A71">
            <v>46262</v>
          </cell>
          <cell r="B71">
            <v>83.882000000000005</v>
          </cell>
          <cell r="C71">
            <v>83.882000000000005</v>
          </cell>
          <cell r="D71">
            <v>177378.46145426002</v>
          </cell>
          <cell r="E71">
            <v>1335.741</v>
          </cell>
          <cell r="F71">
            <v>0</v>
          </cell>
          <cell r="G71">
            <v>0</v>
          </cell>
          <cell r="H71">
            <v>300</v>
          </cell>
          <cell r="I71">
            <v>1635.741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2459.6177772719238</v>
          </cell>
          <cell r="O71">
            <v>505.61202120000945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3376.3907984719335</v>
          </cell>
          <cell r="Y71">
            <v>-150.39214258797506</v>
          </cell>
          <cell r="Z71">
            <v>177228.06931167204</v>
          </cell>
          <cell r="AA71">
            <v>83.848509610113538</v>
          </cell>
          <cell r="AD71">
            <v>37.818261608154017</v>
          </cell>
        </row>
        <row r="72">
          <cell r="A72">
            <v>46263</v>
          </cell>
          <cell r="B72">
            <v>84.01</v>
          </cell>
          <cell r="C72">
            <v>84.01</v>
          </cell>
          <cell r="D72">
            <v>177953.8453365</v>
          </cell>
          <cell r="E72">
            <v>2858.4940000000001</v>
          </cell>
          <cell r="F72">
            <v>0</v>
          </cell>
          <cell r="G72">
            <v>0</v>
          </cell>
          <cell r="H72">
            <v>300</v>
          </cell>
          <cell r="I72">
            <v>3158.4940000000001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2469.2987254081295</v>
          </cell>
          <cell r="O72">
            <v>457.04662412707273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3337.5063495352024</v>
          </cell>
          <cell r="Y72">
            <v>-15.466666999841472</v>
          </cell>
          <cell r="Z72">
            <v>177938.37866950015</v>
          </cell>
          <cell r="AA72">
            <v>84.006561984797059</v>
          </cell>
          <cell r="AD72">
            <v>80.93131370328426</v>
          </cell>
        </row>
        <row r="73">
          <cell r="A73">
            <v>46264</v>
          </cell>
          <cell r="B73">
            <v>84.087999999999994</v>
          </cell>
          <cell r="C73">
            <v>84.087999999999994</v>
          </cell>
          <cell r="D73">
            <v>178304.92565855998</v>
          </cell>
          <cell r="E73">
            <v>1978.8409999999999</v>
          </cell>
          <cell r="F73">
            <v>0</v>
          </cell>
          <cell r="G73">
            <v>0</v>
          </cell>
          <cell r="H73">
            <v>300</v>
          </cell>
          <cell r="I73">
            <v>2278.8409999999999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2475.1980531786294</v>
          </cell>
          <cell r="O73">
            <v>417.77798701217159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3304.1370401908011</v>
          </cell>
          <cell r="Y73">
            <v>-88.585577872485217</v>
          </cell>
          <cell r="Z73">
            <v>178216.34008068749</v>
          </cell>
          <cell r="AA73">
            <v>84.068326051269636</v>
          </cell>
          <cell r="AD73">
            <v>56.026075877689692</v>
          </cell>
        </row>
        <row r="74">
          <cell r="A74">
            <v>46265</v>
          </cell>
          <cell r="B74">
            <v>84.075000000000003</v>
          </cell>
          <cell r="C74">
            <v>84.075000000000003</v>
          </cell>
          <cell r="D74">
            <v>178246.38830312499</v>
          </cell>
          <cell r="E74">
            <v>1362.098</v>
          </cell>
          <cell r="F74">
            <v>0</v>
          </cell>
          <cell r="G74">
            <v>0</v>
          </cell>
          <cell r="H74">
            <v>300</v>
          </cell>
          <cell r="I74">
            <v>1662.098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2474.2148318835466</v>
          </cell>
          <cell r="O74">
            <v>428.32931394042612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3313.705145823973</v>
          </cell>
          <cell r="Y74">
            <v>-142.69885739919127</v>
          </cell>
          <cell r="Z74">
            <v>178103.68944572579</v>
          </cell>
          <cell r="AA74">
            <v>84.043300453144624</v>
          </cell>
          <cell r="AD74">
            <v>38.564496036240087</v>
          </cell>
        </row>
        <row r="75">
          <cell r="A75">
            <v>46266</v>
          </cell>
          <cell r="B75">
            <v>84.042000000000002</v>
          </cell>
          <cell r="C75">
            <v>84.042000000000002</v>
          </cell>
          <cell r="D75">
            <v>178097.83653586</v>
          </cell>
          <cell r="E75">
            <v>1331.261</v>
          </cell>
          <cell r="F75">
            <v>0</v>
          </cell>
          <cell r="G75">
            <v>0</v>
          </cell>
          <cell r="H75">
            <v>300</v>
          </cell>
          <cell r="I75">
            <v>1631.261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2471.7189624421803</v>
          </cell>
          <cell r="O75">
            <v>686.60763968332265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3569.4876021255031</v>
          </cell>
          <cell r="Y75">
            <v>-167.46277842364347</v>
          </cell>
          <cell r="Z75">
            <v>177930.37375743635</v>
          </cell>
          <cell r="AA75">
            <v>84.004782550691857</v>
          </cell>
          <cell r="AD75">
            <v>37.691421291053224</v>
          </cell>
        </row>
        <row r="76">
          <cell r="A76">
            <v>46267</v>
          </cell>
          <cell r="B76">
            <v>84.006</v>
          </cell>
          <cell r="C76">
            <v>84.006</v>
          </cell>
          <cell r="D76">
            <v>177935.85052114</v>
          </cell>
          <cell r="E76">
            <v>1169.366</v>
          </cell>
          <cell r="F76">
            <v>0</v>
          </cell>
          <cell r="G76">
            <v>0</v>
          </cell>
          <cell r="H76">
            <v>300</v>
          </cell>
          <cell r="I76">
            <v>1469.366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2468.9961957788728</v>
          </cell>
          <cell r="O76">
            <v>750.39599303883313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3630.5531888177061</v>
          </cell>
          <cell r="Y76">
            <v>-186.72657311384981</v>
          </cell>
          <cell r="Z76">
            <v>177749.12394802616</v>
          </cell>
          <cell r="AA76">
            <v>83.964481334615584</v>
          </cell>
          <cell r="AD76">
            <v>33.107757644394113</v>
          </cell>
        </row>
        <row r="77">
          <cell r="A77">
            <v>46268</v>
          </cell>
          <cell r="B77">
            <v>84.028000000000006</v>
          </cell>
          <cell r="C77">
            <v>84.028000000000006</v>
          </cell>
          <cell r="D77">
            <v>178034.83323816003</v>
          </cell>
          <cell r="E77">
            <v>1145.4680000000001</v>
          </cell>
          <cell r="F77">
            <v>0</v>
          </cell>
          <cell r="G77">
            <v>0</v>
          </cell>
          <cell r="H77">
            <v>300</v>
          </cell>
          <cell r="I77">
            <v>1445.4680000000001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2470.6601087397839</v>
          </cell>
          <cell r="O77">
            <v>438.8602698767827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3320.6813786165667</v>
          </cell>
          <cell r="Y77">
            <v>-162.01843591247135</v>
          </cell>
          <cell r="Z77">
            <v>177872.81480224757</v>
          </cell>
          <cell r="AA77">
            <v>83.991986434886002</v>
          </cell>
          <cell r="AD77">
            <v>32.431143827859572</v>
          </cell>
        </row>
        <row r="78">
          <cell r="A78">
            <v>46269</v>
          </cell>
          <cell r="B78">
            <v>84.001000000000005</v>
          </cell>
          <cell r="C78">
            <v>84.001000000000005</v>
          </cell>
          <cell r="D78">
            <v>177913.35827836502</v>
          </cell>
          <cell r="E78">
            <v>1056.8109999999999</v>
          </cell>
          <cell r="F78">
            <v>0</v>
          </cell>
          <cell r="G78">
            <v>0</v>
          </cell>
          <cell r="H78">
            <v>300</v>
          </cell>
          <cell r="I78">
            <v>1356.8109999999999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2468.618033742302</v>
          </cell>
          <cell r="O78">
            <v>536.06657687441236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3415.8456106167146</v>
          </cell>
          <cell r="Y78">
            <v>-177.9005903572841</v>
          </cell>
          <cell r="Z78">
            <v>177735.45768800774</v>
          </cell>
          <cell r="AA78">
            <v>83.961441786638417</v>
          </cell>
          <cell r="AD78">
            <v>29.921036240090597</v>
          </cell>
        </row>
        <row r="79">
          <cell r="A79">
            <v>46270</v>
          </cell>
          <cell r="B79">
            <v>84.001000000000005</v>
          </cell>
          <cell r="C79">
            <v>84.001000000000005</v>
          </cell>
          <cell r="D79">
            <v>177913.35827836502</v>
          </cell>
          <cell r="E79">
            <v>1092.8510000000001</v>
          </cell>
          <cell r="F79">
            <v>0</v>
          </cell>
          <cell r="G79">
            <v>0</v>
          </cell>
          <cell r="H79">
            <v>300</v>
          </cell>
          <cell r="I79">
            <v>1392.8510000000001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2468.618033742302</v>
          </cell>
          <cell r="O79">
            <v>439.98739918625307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3319.7664329285553</v>
          </cell>
          <cell r="Y79">
            <v>-166.48549340502717</v>
          </cell>
          <cell r="Z79">
            <v>177746.87278496</v>
          </cell>
          <cell r="AA79">
            <v>83.963980655677858</v>
          </cell>
          <cell r="AD79">
            <v>30.941421291053231</v>
          </cell>
        </row>
        <row r="80">
          <cell r="A80">
            <v>46271</v>
          </cell>
          <cell r="B80">
            <v>84.100999999999999</v>
          </cell>
          <cell r="C80">
            <v>84.100999999999999</v>
          </cell>
          <cell r="D80">
            <v>178363.47260136501</v>
          </cell>
          <cell r="E80">
            <v>1284.9670000000001</v>
          </cell>
          <cell r="F80">
            <v>0</v>
          </cell>
          <cell r="G80">
            <v>0</v>
          </cell>
          <cell r="H80">
            <v>300</v>
          </cell>
          <cell r="I80">
            <v>1584.9670000000001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2476.1812744737126</v>
          </cell>
          <cell r="O80">
            <v>275.45049220979365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3162.7927666835062</v>
          </cell>
          <cell r="Y80">
            <v>-136.32414624145494</v>
          </cell>
          <cell r="Z80">
            <v>178227.14845512356</v>
          </cell>
          <cell r="AA80">
            <v>84.07072674166146</v>
          </cell>
          <cell r="AD80">
            <v>36.380719139297852</v>
          </cell>
        </row>
        <row r="81">
          <cell r="A81">
            <v>46272</v>
          </cell>
          <cell r="B81">
            <v>84.091999999999999</v>
          </cell>
          <cell r="C81">
            <v>84.091999999999999</v>
          </cell>
          <cell r="D81">
            <v>178322.93908135997</v>
          </cell>
          <cell r="E81">
            <v>2473.4290000000001</v>
          </cell>
          <cell r="F81">
            <v>0</v>
          </cell>
          <cell r="G81">
            <v>0</v>
          </cell>
          <cell r="H81">
            <v>300</v>
          </cell>
          <cell r="I81">
            <v>2773.4290000000001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2475.5005828078865</v>
          </cell>
          <cell r="O81">
            <v>302.57350198842767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3189.2350847963144</v>
          </cell>
          <cell r="Y81">
            <v>-35.925645726401555</v>
          </cell>
          <cell r="Z81">
            <v>178287.01343563356</v>
          </cell>
          <cell r="AA81">
            <v>84.084022272227017</v>
          </cell>
          <cell r="AD81">
            <v>70.029133635334091</v>
          </cell>
        </row>
        <row r="82">
          <cell r="A82">
            <v>46273</v>
          </cell>
          <cell r="B82">
            <v>84.066999999999993</v>
          </cell>
          <cell r="C82">
            <v>84.066999999999993</v>
          </cell>
          <cell r="D82">
            <v>178210.37008048495</v>
          </cell>
          <cell r="E82">
            <v>2121.3789999999999</v>
          </cell>
          <cell r="F82">
            <v>0</v>
          </cell>
          <cell r="G82">
            <v>0</v>
          </cell>
          <cell r="H82">
            <v>300</v>
          </cell>
          <cell r="I82">
            <v>2421.3789999999999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2473.6097726250327</v>
          </cell>
          <cell r="O82">
            <v>288.390465755349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3173.1612383803817</v>
          </cell>
          <cell r="Y82">
            <v>-64.953985396064994</v>
          </cell>
          <cell r="Z82">
            <v>178145.41609508888</v>
          </cell>
          <cell r="AA82">
            <v>84.052571044810747</v>
          </cell>
          <cell r="AD82">
            <v>60.061693091732728</v>
          </cell>
        </row>
        <row r="83">
          <cell r="A83">
            <v>46274</v>
          </cell>
          <cell r="B83">
            <v>84.091999999999999</v>
          </cell>
          <cell r="C83">
            <v>84.091999999999999</v>
          </cell>
          <cell r="D83">
            <v>178322.93908135997</v>
          </cell>
          <cell r="E83">
            <v>3848.547</v>
          </cell>
          <cell r="F83">
            <v>0</v>
          </cell>
          <cell r="G83">
            <v>0</v>
          </cell>
          <cell r="H83">
            <v>300</v>
          </cell>
          <cell r="I83">
            <v>4148.5470000000005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2475.5005828078865</v>
          </cell>
          <cell r="O83">
            <v>441.85452293550287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3328.5161057433893</v>
          </cell>
          <cell r="Y83">
            <v>70.850669263771209</v>
          </cell>
          <cell r="Z83">
            <v>178393.78975062375</v>
          </cell>
          <cell r="AA83">
            <v>84.107730905998039</v>
          </cell>
          <cell r="AD83">
            <v>108.96225934314836</v>
          </cell>
        </row>
        <row r="84">
          <cell r="A84">
            <v>46275</v>
          </cell>
          <cell r="B84">
            <v>84.046999999999997</v>
          </cell>
          <cell r="C84">
            <v>84.046999999999997</v>
          </cell>
          <cell r="D84">
            <v>178120.34040828497</v>
          </cell>
          <cell r="E84">
            <v>1114.8499999999999</v>
          </cell>
          <cell r="F84">
            <v>0</v>
          </cell>
          <cell r="G84">
            <v>0</v>
          </cell>
          <cell r="H84">
            <v>300</v>
          </cell>
          <cell r="I84">
            <v>1414.85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2472.0971244787506</v>
          </cell>
          <cell r="O84">
            <v>332.08331588423613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3215.3414403629868</v>
          </cell>
          <cell r="Y84">
            <v>-155.56246044736204</v>
          </cell>
          <cell r="Z84">
            <v>177964.7779478376</v>
          </cell>
          <cell r="AA84">
            <v>84.012430070639979</v>
          </cell>
          <cell r="AD84">
            <v>31.564269535673837</v>
          </cell>
        </row>
        <row r="85">
          <cell r="A85">
            <v>46276</v>
          </cell>
          <cell r="B85">
            <v>84.076999999999998</v>
          </cell>
          <cell r="C85">
            <v>84.076999999999998</v>
          </cell>
          <cell r="D85">
            <v>178255.39342608498</v>
          </cell>
          <cell r="E85">
            <v>791.15300000000002</v>
          </cell>
          <cell r="F85">
            <v>0</v>
          </cell>
          <cell r="G85">
            <v>0</v>
          </cell>
          <cell r="H85">
            <v>300</v>
          </cell>
          <cell r="I85">
            <v>1091.153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2474.3660966981743</v>
          </cell>
          <cell r="O85">
            <v>252.36285415893471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3137.8899508571089</v>
          </cell>
          <cell r="Y85">
            <v>-176.83807255405421</v>
          </cell>
          <cell r="Z85">
            <v>178078.55535353092</v>
          </cell>
          <cell r="AA85">
            <v>84.03771577944427</v>
          </cell>
          <cell r="AD85">
            <v>22.39957531143828</v>
          </cell>
        </row>
        <row r="86">
          <cell r="A86">
            <v>46277</v>
          </cell>
          <cell r="B86">
            <v>84.081999999999994</v>
          </cell>
          <cell r="C86">
            <v>84.081999999999994</v>
          </cell>
          <cell r="D86">
            <v>178277.90722625994</v>
          </cell>
          <cell r="E86">
            <v>2095.9749999999999</v>
          </cell>
          <cell r="F86">
            <v>0</v>
          </cell>
          <cell r="G86">
            <v>0</v>
          </cell>
          <cell r="H86">
            <v>300</v>
          </cell>
          <cell r="I86">
            <v>2395.9749999999999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2474.7442587347441</v>
          </cell>
          <cell r="O86">
            <v>717.32027588297694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3603.2255346177212</v>
          </cell>
          <cell r="Y86">
            <v>-104.30644619097112</v>
          </cell>
          <cell r="Z86">
            <v>178173.60078006895</v>
          </cell>
          <cell r="AA86">
            <v>84.058832346324749</v>
          </cell>
          <cell r="AD86">
            <v>59.342440543601356</v>
          </cell>
        </row>
        <row r="87">
          <cell r="A87">
            <v>46278</v>
          </cell>
          <cell r="B87">
            <v>84.19</v>
          </cell>
          <cell r="C87">
            <v>84.19</v>
          </cell>
          <cell r="D87">
            <v>178764.5514765</v>
          </cell>
          <cell r="E87">
            <v>1168.893</v>
          </cell>
          <cell r="F87">
            <v>0</v>
          </cell>
          <cell r="G87">
            <v>0</v>
          </cell>
          <cell r="H87">
            <v>300</v>
          </cell>
          <cell r="I87">
            <v>1468.893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2482.912558724669</v>
          </cell>
          <cell r="O87">
            <v>857.22212126766669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3751.2956799923359</v>
          </cell>
          <cell r="Y87">
            <v>-197.19959155133779</v>
          </cell>
          <cell r="Z87">
            <v>178567.35188494867</v>
          </cell>
          <cell r="AA87">
            <v>84.146253577393367</v>
          </cell>
          <cell r="AD87">
            <v>33.094365798414493</v>
          </cell>
        </row>
        <row r="88">
          <cell r="A88">
            <v>46279</v>
          </cell>
          <cell r="B88">
            <v>84.289000000000001</v>
          </cell>
          <cell r="C88">
            <v>84.289000000000001</v>
          </cell>
          <cell r="D88">
            <v>179211.22332316497</v>
          </cell>
          <cell r="E88">
            <v>4565.723</v>
          </cell>
          <cell r="F88">
            <v>0</v>
          </cell>
          <cell r="G88">
            <v>0</v>
          </cell>
          <cell r="H88">
            <v>300</v>
          </cell>
          <cell r="I88">
            <v>4865.723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2490.4001670487655</v>
          </cell>
          <cell r="O88">
            <v>809.5515017405429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3711.1126687893084</v>
          </cell>
          <cell r="Y88">
            <v>99.758332616603752</v>
          </cell>
          <cell r="Z88">
            <v>179310.98165578156</v>
          </cell>
          <cell r="AA88">
            <v>84.311093539498302</v>
          </cell>
          <cell r="AD88">
            <v>129.26735560588901</v>
          </cell>
        </row>
        <row r="89">
          <cell r="A89">
            <v>46280</v>
          </cell>
          <cell r="B89">
            <v>84.403999999999996</v>
          </cell>
          <cell r="C89">
            <v>84.403999999999996</v>
          </cell>
          <cell r="D89">
            <v>179730.78262183996</v>
          </cell>
          <cell r="E89">
            <v>4676.973</v>
          </cell>
          <cell r="F89">
            <v>0</v>
          </cell>
          <cell r="G89">
            <v>0</v>
          </cell>
          <cell r="H89">
            <v>300</v>
          </cell>
          <cell r="I89">
            <v>4976.973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2499.097893889887</v>
          </cell>
          <cell r="O89">
            <v>803.20261255610683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3713.461506445994</v>
          </cell>
          <cell r="Y89">
            <v>109.16739304306611</v>
          </cell>
          <cell r="Z89">
            <v>179839.95001488301</v>
          </cell>
          <cell r="AA89">
            <v>84.428142177075017</v>
          </cell>
          <cell r="AD89">
            <v>132.41712910532277</v>
          </cell>
        </row>
        <row r="90">
          <cell r="A90">
            <v>46281</v>
          </cell>
          <cell r="B90">
            <v>84.477000000000004</v>
          </cell>
          <cell r="C90">
            <v>84.477000000000004</v>
          </cell>
          <cell r="D90">
            <v>180060.979110085</v>
          </cell>
          <cell r="E90">
            <v>1669.5170000000001</v>
          </cell>
          <cell r="F90">
            <v>0</v>
          </cell>
          <cell r="G90">
            <v>0</v>
          </cell>
          <cell r="H90">
            <v>300</v>
          </cell>
          <cell r="I90">
            <v>1969.5170000000001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2504.619059623818</v>
          </cell>
          <cell r="O90">
            <v>778.11011827783352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3693.8901779016514</v>
          </cell>
          <cell r="Y90">
            <v>-148.98584257070266</v>
          </cell>
          <cell r="Z90">
            <v>179911.99326751431</v>
          </cell>
          <cell r="AA90">
            <v>84.444070412090355</v>
          </cell>
          <cell r="AD90">
            <v>47.268318233295581</v>
          </cell>
        </row>
        <row r="91">
          <cell r="A91">
            <v>46282</v>
          </cell>
          <cell r="B91">
            <v>84.471999999999994</v>
          </cell>
          <cell r="C91">
            <v>84.471999999999994</v>
          </cell>
          <cell r="D91">
            <v>180038.35326815996</v>
          </cell>
          <cell r="E91">
            <v>1120.684</v>
          </cell>
          <cell r="F91">
            <v>0</v>
          </cell>
          <cell r="G91">
            <v>0</v>
          </cell>
          <cell r="H91">
            <v>300</v>
          </cell>
          <cell r="I91">
            <v>1420.684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2504.2408975872468</v>
          </cell>
          <cell r="O91">
            <v>476.06066107787353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3391.4625586651205</v>
          </cell>
          <cell r="Y91">
            <v>-170.27526746866641</v>
          </cell>
          <cell r="Z91">
            <v>179868.07800069128</v>
          </cell>
          <cell r="AA91">
            <v>84.43436144721143</v>
          </cell>
          <cell r="AD91">
            <v>31.729445073612684</v>
          </cell>
        </row>
        <row r="92">
          <cell r="A92">
            <v>46283</v>
          </cell>
          <cell r="B92">
            <v>84.475999999999999</v>
          </cell>
          <cell r="C92">
            <v>84.475999999999999</v>
          </cell>
          <cell r="D92">
            <v>180056.45382823999</v>
          </cell>
          <cell r="E92">
            <v>1161.4760000000001</v>
          </cell>
          <cell r="F92">
            <v>0</v>
          </cell>
          <cell r="G92">
            <v>0</v>
          </cell>
          <cell r="H92">
            <v>300</v>
          </cell>
          <cell r="I92">
            <v>1461.4760000000001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2504.543427216503</v>
          </cell>
          <cell r="O92">
            <v>348.24177151408077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3263.946198730584</v>
          </cell>
          <cell r="Y92">
            <v>-155.73342517032245</v>
          </cell>
          <cell r="Z92">
            <v>179900.72040306966</v>
          </cell>
          <cell r="AA92">
            <v>84.441578274393621</v>
          </cell>
          <cell r="AD92">
            <v>32.884371460928655</v>
          </cell>
        </row>
        <row r="93">
          <cell r="A93">
            <v>46284</v>
          </cell>
          <cell r="B93">
            <v>84.546999999999997</v>
          </cell>
          <cell r="C93">
            <v>84.546999999999997</v>
          </cell>
          <cell r="D93">
            <v>180377.88981328497</v>
          </cell>
          <cell r="E93">
            <v>1412.231</v>
          </cell>
          <cell r="F93">
            <v>0</v>
          </cell>
          <cell r="G93">
            <v>0</v>
          </cell>
          <cell r="H93">
            <v>300</v>
          </cell>
          <cell r="I93">
            <v>1712.231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2509.9133281358054</v>
          </cell>
          <cell r="O93">
            <v>641.90246124990017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3562.9767893857056</v>
          </cell>
          <cell r="Y93">
            <v>-159.90443620292496</v>
          </cell>
          <cell r="Z93">
            <v>180217.98537708205</v>
          </cell>
          <cell r="AA93">
            <v>84.511687597117302</v>
          </cell>
          <cell r="AD93">
            <v>39.983890147225367</v>
          </cell>
        </row>
        <row r="94">
          <cell r="A94">
            <v>46285</v>
          </cell>
          <cell r="B94">
            <v>84.552000000000007</v>
          </cell>
          <cell r="C94">
            <v>84.552000000000007</v>
          </cell>
          <cell r="D94">
            <v>180400.53692896003</v>
          </cell>
          <cell r="E94">
            <v>1327.7760000000001</v>
          </cell>
          <cell r="F94">
            <v>0</v>
          </cell>
          <cell r="G94">
            <v>0</v>
          </cell>
          <cell r="H94">
            <v>300</v>
          </cell>
          <cell r="I94">
            <v>1627.7760000000001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2510.2914901723757</v>
          </cell>
          <cell r="O94">
            <v>627.67111786527391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3549.1236080376498</v>
          </cell>
          <cell r="Y94">
            <v>-166.00443333445293</v>
          </cell>
          <cell r="Z94">
            <v>180234.53249562558</v>
          </cell>
          <cell r="AA94">
            <v>84.515342495159629</v>
          </cell>
          <cell r="AD94">
            <v>37.592751981879957</v>
          </cell>
        </row>
        <row r="95">
          <cell r="A95">
            <v>46286</v>
          </cell>
          <cell r="B95">
            <v>84.546000000000006</v>
          </cell>
          <cell r="C95">
            <v>84.546000000000006</v>
          </cell>
          <cell r="D95">
            <v>180373.36056033999</v>
          </cell>
          <cell r="E95">
            <v>1008.723</v>
          </cell>
          <cell r="F95">
            <v>0</v>
          </cell>
          <cell r="G95">
            <v>0</v>
          </cell>
          <cell r="H95">
            <v>300</v>
          </cell>
          <cell r="I95">
            <v>1308.723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2509.8376957284913</v>
          </cell>
          <cell r="O95">
            <v>431.00330713227805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3352.0020028607696</v>
          </cell>
          <cell r="Y95">
            <v>-176.53930584717051</v>
          </cell>
          <cell r="Z95">
            <v>180196.82125449282</v>
          </cell>
          <cell r="AA95">
            <v>84.507012659476473</v>
          </cell>
          <cell r="AD95">
            <v>28.559541336353341</v>
          </cell>
        </row>
        <row r="96">
          <cell r="A96">
            <v>46287</v>
          </cell>
          <cell r="B96">
            <v>84.59</v>
          </cell>
          <cell r="C96">
            <v>84.59</v>
          </cell>
          <cell r="D96">
            <v>180572.70135650001</v>
          </cell>
          <cell r="E96">
            <v>3579.91</v>
          </cell>
          <cell r="F96">
            <v>0</v>
          </cell>
          <cell r="G96">
            <v>0</v>
          </cell>
          <cell r="H96">
            <v>300</v>
          </cell>
          <cell r="I96">
            <v>3879.91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2513.1655216503123</v>
          </cell>
          <cell r="O96">
            <v>749.91162684328322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3674.2381484935954</v>
          </cell>
          <cell r="Y96">
            <v>17.770047970153342</v>
          </cell>
          <cell r="Z96">
            <v>180590.47140447015</v>
          </cell>
          <cell r="AA96">
            <v>84.593921162185424</v>
          </cell>
          <cell r="AD96">
            <v>101.35645526613816</v>
          </cell>
        </row>
        <row r="97">
          <cell r="A97">
            <v>46288</v>
          </cell>
          <cell r="B97">
            <v>84.593999999999994</v>
          </cell>
          <cell r="C97">
            <v>84.593999999999994</v>
          </cell>
          <cell r="D97">
            <v>180590.82869313995</v>
          </cell>
          <cell r="E97">
            <v>2294.317</v>
          </cell>
          <cell r="F97">
            <v>0</v>
          </cell>
          <cell r="G97">
            <v>0</v>
          </cell>
          <cell r="H97">
            <v>300</v>
          </cell>
          <cell r="I97">
            <v>2594.317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2513.4680512795676</v>
          </cell>
          <cell r="O97">
            <v>765.62107670398768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3690.2501279835551</v>
          </cell>
          <cell r="Y97">
            <v>-94.688622257779159</v>
          </cell>
          <cell r="Z97">
            <v>180496.14007088216</v>
          </cell>
          <cell r="AA97">
            <v>84.57310368434365</v>
          </cell>
          <cell r="AD97">
            <v>64.95801245753114</v>
          </cell>
        </row>
        <row r="98">
          <cell r="A98">
            <v>46289</v>
          </cell>
          <cell r="B98">
            <v>84.635000000000005</v>
          </cell>
          <cell r="C98">
            <v>84.635000000000005</v>
          </cell>
          <cell r="D98">
            <v>180776.686227125</v>
          </cell>
          <cell r="E98">
            <v>2022.184</v>
          </cell>
          <cell r="F98">
            <v>0</v>
          </cell>
          <cell r="G98">
            <v>0</v>
          </cell>
          <cell r="H98">
            <v>300</v>
          </cell>
          <cell r="I98">
            <v>2322.1840000000002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2516.5689799794472</v>
          </cell>
          <cell r="O98">
            <v>594.88055531345231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3522.6105352928998</v>
          </cell>
          <cell r="Y98">
            <v>-103.71685264930652</v>
          </cell>
          <cell r="Z98">
            <v>180672.96937447568</v>
          </cell>
          <cell r="AA98">
            <v>84.612122752553063</v>
          </cell>
          <cell r="AD98">
            <v>57.253227633069081</v>
          </cell>
        </row>
        <row r="99">
          <cell r="A99">
            <v>46290</v>
          </cell>
          <cell r="B99">
            <v>84.616</v>
          </cell>
          <cell r="C99">
            <v>84.616</v>
          </cell>
          <cell r="D99">
            <v>180690.54526943999</v>
          </cell>
          <cell r="E99">
            <v>1707.8230000000001</v>
          </cell>
          <cell r="F99">
            <v>0</v>
          </cell>
          <cell r="G99">
            <v>0</v>
          </cell>
          <cell r="H99">
            <v>300</v>
          </cell>
          <cell r="I99">
            <v>2007.8230000000001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2515.1319642404787</v>
          </cell>
          <cell r="O99">
            <v>812.83318930443932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3739.126153544918</v>
          </cell>
          <cell r="Y99">
            <v>-149.5845924662809</v>
          </cell>
          <cell r="Z99">
            <v>180540.96067697371</v>
          </cell>
          <cell r="AA99">
            <v>84.582995580869166</v>
          </cell>
          <cell r="AD99">
            <v>48.352859569648928</v>
          </cell>
        </row>
        <row r="100">
          <cell r="A100">
            <v>46291</v>
          </cell>
          <cell r="B100">
            <v>84.664000000000001</v>
          </cell>
          <cell r="C100">
            <v>84.664000000000001</v>
          </cell>
          <cell r="D100">
            <v>180908.20401504001</v>
          </cell>
          <cell r="E100">
            <v>3423.79</v>
          </cell>
          <cell r="F100">
            <v>0</v>
          </cell>
          <cell r="G100">
            <v>0</v>
          </cell>
          <cell r="H100">
            <v>300</v>
          </cell>
          <cell r="I100">
            <v>3723.79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2518.7623197915559</v>
          </cell>
          <cell r="O100">
            <v>752.59731520480614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3682.5206349963619</v>
          </cell>
          <cell r="Y100">
            <v>3.5656731363143304</v>
          </cell>
          <cell r="Z100">
            <v>180911.76968817634</v>
          </cell>
          <cell r="AA100">
            <v>84.664786093364654</v>
          </cell>
          <cell r="AD100">
            <v>96.93629671574179</v>
          </cell>
        </row>
        <row r="101">
          <cell r="A101">
            <v>46292</v>
          </cell>
          <cell r="B101">
            <v>84.745999999999995</v>
          </cell>
          <cell r="C101">
            <v>84.745999999999995</v>
          </cell>
          <cell r="D101">
            <v>181280.34007633995</v>
          </cell>
          <cell r="E101">
            <v>2338.4180000000001</v>
          </cell>
          <cell r="F101">
            <v>0</v>
          </cell>
          <cell r="G101">
            <v>0</v>
          </cell>
          <cell r="H101">
            <v>300</v>
          </cell>
          <cell r="I101">
            <v>2638.4180000000001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2524.9641771913125</v>
          </cell>
          <cell r="O101">
            <v>479.05969765535144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3415.1848748466641</v>
          </cell>
          <cell r="Y101">
            <v>-67.112657986751771</v>
          </cell>
          <cell r="Z101">
            <v>181213.2274183532</v>
          </cell>
          <cell r="AA101">
            <v>84.731217968800109</v>
          </cell>
          <cell r="AD101">
            <v>66.206625141562853</v>
          </cell>
        </row>
        <row r="102">
          <cell r="A102">
            <v>46293</v>
          </cell>
          <cell r="B102">
            <v>84.795000000000002</v>
          </cell>
          <cell r="C102">
            <v>84.795000000000002</v>
          </cell>
          <cell r="D102">
            <v>181502.89613912499</v>
          </cell>
          <cell r="E102">
            <v>1583.376</v>
          </cell>
          <cell r="F102">
            <v>0</v>
          </cell>
          <cell r="G102">
            <v>0</v>
          </cell>
          <cell r="H102">
            <v>300</v>
          </cell>
          <cell r="I102">
            <v>1883.376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2528.6701651497042</v>
          </cell>
          <cell r="O102">
            <v>418.65639359435937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3358.4875587440638</v>
          </cell>
          <cell r="Y102">
            <v>-127.44963867548711</v>
          </cell>
          <cell r="Z102">
            <v>181375.4465004495</v>
          </cell>
          <cell r="AA102">
            <v>84.766943179071873</v>
          </cell>
          <cell r="AD102">
            <v>44.829445073612682</v>
          </cell>
        </row>
        <row r="103">
          <cell r="A103">
            <v>46294</v>
          </cell>
          <cell r="B103">
            <v>84.887</v>
          </cell>
          <cell r="C103">
            <v>84.887</v>
          </cell>
          <cell r="D103">
            <v>181921.12445268498</v>
          </cell>
          <cell r="E103">
            <v>1545.624</v>
          </cell>
          <cell r="F103">
            <v>0</v>
          </cell>
          <cell r="G103">
            <v>0</v>
          </cell>
          <cell r="H103">
            <v>300</v>
          </cell>
          <cell r="I103">
            <v>1845.624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2535.6283466226023</v>
          </cell>
          <cell r="O103">
            <v>364.53261972876135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3311.3219663513637</v>
          </cell>
          <cell r="Y103">
            <v>-126.63630429275783</v>
          </cell>
          <cell r="Z103">
            <v>181794.48814839221</v>
          </cell>
          <cell r="AA103">
            <v>84.859154256888573</v>
          </cell>
          <cell r="AD103">
            <v>43.760588901472254</v>
          </cell>
        </row>
        <row r="104">
          <cell r="A104">
            <v>46295</v>
          </cell>
          <cell r="B104">
            <v>85.010999999999996</v>
          </cell>
          <cell r="C104">
            <v>85.010999999999996</v>
          </cell>
          <cell r="D104">
            <v>182485.58321216499</v>
          </cell>
          <cell r="E104">
            <v>1347.4259999999999</v>
          </cell>
          <cell r="F104">
            <v>0</v>
          </cell>
          <cell r="G104">
            <v>0</v>
          </cell>
          <cell r="H104">
            <v>300</v>
          </cell>
          <cell r="I104">
            <v>1647.4259999999999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2545.0067651295512</v>
          </cell>
          <cell r="O104">
            <v>382.7893864652213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3338.9571515947728</v>
          </cell>
          <cell r="Y104">
            <v>-146.14829149778836</v>
          </cell>
          <cell r="Z104">
            <v>182339.43492066721</v>
          </cell>
          <cell r="AA104">
            <v>84.978912598378329</v>
          </cell>
          <cell r="AD104">
            <v>38.149093997734994</v>
          </cell>
        </row>
        <row r="105">
          <cell r="A105">
            <v>46296</v>
          </cell>
          <cell r="B105">
            <v>85.039000000000001</v>
          </cell>
          <cell r="C105">
            <v>85.039000000000001</v>
          </cell>
          <cell r="D105">
            <v>182613.162363165</v>
          </cell>
          <cell r="E105">
            <v>1318.1679999999999</v>
          </cell>
          <cell r="F105">
            <v>0</v>
          </cell>
          <cell r="G105">
            <v>0</v>
          </cell>
          <cell r="H105">
            <v>300</v>
          </cell>
          <cell r="I105">
            <v>1618.1679999999999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2219.4104196221806</v>
          </cell>
          <cell r="O105">
            <v>637.17755862260958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3267.7489782447901</v>
          </cell>
          <cell r="Y105">
            <v>-142.52379652034989</v>
          </cell>
          <cell r="Z105">
            <v>182470.63856664466</v>
          </cell>
          <cell r="AA105">
            <v>85.0077194359543</v>
          </cell>
          <cell r="AD105">
            <v>37.320724801811998</v>
          </cell>
        </row>
        <row r="106">
          <cell r="A106">
            <v>46297</v>
          </cell>
          <cell r="B106">
            <v>85.096000000000004</v>
          </cell>
          <cell r="C106">
            <v>85.096000000000004</v>
          </cell>
          <cell r="D106">
            <v>182873.01449184</v>
          </cell>
          <cell r="E106">
            <v>1209.6310000000001</v>
          </cell>
          <cell r="F106">
            <v>0</v>
          </cell>
          <cell r="G106">
            <v>0</v>
          </cell>
          <cell r="H106">
            <v>300</v>
          </cell>
          <cell r="I106">
            <v>1509.6310000000001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2223.0480452289926</v>
          </cell>
          <cell r="O106">
            <v>577.83867643782344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3212.047721666816</v>
          </cell>
          <cell r="Y106">
            <v>-147.08880475201289</v>
          </cell>
          <cell r="Z106">
            <v>182725.92568708799</v>
          </cell>
          <cell r="AA106">
            <v>85.063740223954426</v>
          </cell>
          <cell r="AD106">
            <v>34.247763306908269</v>
          </cell>
        </row>
        <row r="107">
          <cell r="A107">
            <v>46298</v>
          </cell>
          <cell r="B107">
            <v>85.147999999999996</v>
          </cell>
          <cell r="C107">
            <v>85.147999999999996</v>
          </cell>
          <cell r="D107">
            <v>183110.23334695998</v>
          </cell>
          <cell r="E107">
            <v>952.09400000000005</v>
          </cell>
          <cell r="F107">
            <v>0</v>
          </cell>
          <cell r="G107">
            <v>0</v>
          </cell>
          <cell r="H107">
            <v>300</v>
          </cell>
          <cell r="I107">
            <v>1252.0940000000001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2226.3665808702935</v>
          </cell>
          <cell r="O107">
            <v>157.74432997246237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2795.2719108427559</v>
          </cell>
          <cell r="Y107">
            <v>-133.33057149681412</v>
          </cell>
          <cell r="Z107">
            <v>182976.90277546318</v>
          </cell>
          <cell r="AA107">
            <v>85.118777162936766</v>
          </cell>
          <cell r="AD107">
            <v>26.956228765571915</v>
          </cell>
        </row>
        <row r="108">
          <cell r="A108">
            <v>46299</v>
          </cell>
          <cell r="B108">
            <v>85.153000000000006</v>
          </cell>
          <cell r="C108">
            <v>85.153000000000006</v>
          </cell>
          <cell r="D108">
            <v>183133.050936285</v>
          </cell>
          <cell r="E108">
            <v>1101.002</v>
          </cell>
          <cell r="F108">
            <v>0</v>
          </cell>
          <cell r="G108">
            <v>0</v>
          </cell>
          <cell r="H108">
            <v>300</v>
          </cell>
          <cell r="I108">
            <v>1401.002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2226.6856708358036</v>
          </cell>
          <cell r="O108">
            <v>334.71347875398158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2972.5601495897854</v>
          </cell>
          <cell r="Y108">
            <v>-135.78262412455746</v>
          </cell>
          <cell r="Z108">
            <v>182997.26831216045</v>
          </cell>
          <cell r="AA108">
            <v>85.123241483256109</v>
          </cell>
          <cell r="AD108">
            <v>31.172197055492639</v>
          </cell>
        </row>
        <row r="109">
          <cell r="A109">
            <v>46300</v>
          </cell>
          <cell r="B109">
            <v>85.123241483256109</v>
          </cell>
          <cell r="D109">
            <v>182997.26831216042</v>
          </cell>
          <cell r="E109">
            <v>2049.1129999999998</v>
          </cell>
          <cell r="F109">
            <v>0</v>
          </cell>
          <cell r="G109">
            <v>0</v>
          </cell>
          <cell r="H109">
            <v>300</v>
          </cell>
          <cell r="I109">
            <v>2349.1129999999998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2224.7865420195176</v>
          </cell>
          <cell r="O109">
            <v>388.18464608130409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3024.1321881008216</v>
          </cell>
          <cell r="Y109">
            <v>-58.321657851910999</v>
          </cell>
          <cell r="Z109">
            <v>182938.9466543085</v>
          </cell>
          <cell r="AA109">
            <v>85.110456156854852</v>
          </cell>
          <cell r="AD109">
            <v>58.01565685164212</v>
          </cell>
        </row>
        <row r="110">
          <cell r="A110">
            <v>46301</v>
          </cell>
          <cell r="B110">
            <v>85.110456156854852</v>
          </cell>
          <cell r="C110" t="str">
            <v/>
          </cell>
          <cell r="D110">
            <v>182938.94665430847</v>
          </cell>
          <cell r="E110">
            <v>1768.261</v>
          </cell>
          <cell r="F110">
            <v>0</v>
          </cell>
          <cell r="G110">
            <v>0</v>
          </cell>
          <cell r="H110">
            <v>300</v>
          </cell>
          <cell r="I110">
            <v>2068.261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2223.9706081474355</v>
          </cell>
          <cell r="O110">
            <v>349.80649794623662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2984.9381060936721</v>
          </cell>
          <cell r="Y110">
            <v>-79.200901966493262</v>
          </cell>
          <cell r="Z110">
            <v>182859.74575234199</v>
          </cell>
          <cell r="AA110">
            <v>85.093090407914616</v>
          </cell>
          <cell r="AD110">
            <v>50.064014722536804</v>
          </cell>
        </row>
        <row r="111">
          <cell r="A111">
            <v>46302</v>
          </cell>
          <cell r="B111">
            <v>85.093090407914616</v>
          </cell>
          <cell r="C111" t="str">
            <v/>
          </cell>
          <cell r="D111">
            <v>182859.74575234199</v>
          </cell>
          <cell r="E111">
            <v>3146.1329999999998</v>
          </cell>
          <cell r="F111">
            <v>0</v>
          </cell>
          <cell r="G111">
            <v>0</v>
          </cell>
          <cell r="H111">
            <v>300</v>
          </cell>
          <cell r="I111">
            <v>3446.1329999999998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2222.8623609013575</v>
          </cell>
          <cell r="O111">
            <v>740.31611070164922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3374.339471603007</v>
          </cell>
          <cell r="Y111">
            <v>6.2029608535001746</v>
          </cell>
          <cell r="Z111">
            <v>182865.94871319548</v>
          </cell>
          <cell r="AA111">
            <v>85.094450616978918</v>
          </cell>
          <cell r="AD111">
            <v>89.075113250283124</v>
          </cell>
        </row>
        <row r="112">
          <cell r="A112">
            <v>46303</v>
          </cell>
          <cell r="B112">
            <v>85.094450616978918</v>
          </cell>
          <cell r="C112" t="str">
            <v/>
          </cell>
          <cell r="D112">
            <v>182865.94871319542</v>
          </cell>
          <cell r="E112">
            <v>965.28800000000001</v>
          </cell>
          <cell r="F112">
            <v>0</v>
          </cell>
          <cell r="G112">
            <v>0</v>
          </cell>
          <cell r="H112">
            <v>300</v>
          </cell>
          <cell r="I112">
            <v>1265.288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2222.9491667140401</v>
          </cell>
          <cell r="O112">
            <v>841.17559218956524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3475.2857589036053</v>
          </cell>
          <cell r="Y112">
            <v>-190.9438063692715</v>
          </cell>
          <cell r="Z112">
            <v>182675.00490682616</v>
          </cell>
          <cell r="AA112">
            <v>85.052569170368997</v>
          </cell>
          <cell r="AD112">
            <v>27.32978482446206</v>
          </cell>
        </row>
        <row r="113">
          <cell r="A113">
            <v>46304</v>
          </cell>
          <cell r="B113">
            <v>85.052569170368997</v>
          </cell>
          <cell r="C113" t="str">
            <v/>
          </cell>
          <cell r="D113">
            <v>182675.00490682619</v>
          </cell>
          <cell r="E113">
            <v>707.05499999999995</v>
          </cell>
          <cell r="F113">
            <v>0</v>
          </cell>
          <cell r="G113">
            <v>0</v>
          </cell>
          <cell r="H113">
            <v>300</v>
          </cell>
          <cell r="I113">
            <v>1007.0549999999999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2220.2763768431887</v>
          </cell>
          <cell r="O113">
            <v>440.53240012432934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3071.9697769675181</v>
          </cell>
          <cell r="Y113">
            <v>-178.40863672999356</v>
          </cell>
          <cell r="Z113">
            <v>182496.5962700962</v>
          </cell>
          <cell r="AA113">
            <v>85.01341743841067</v>
          </cell>
          <cell r="AD113">
            <v>20.018544733861834</v>
          </cell>
        </row>
        <row r="114">
          <cell r="A114">
            <v>46305</v>
          </cell>
          <cell r="B114">
            <v>85.01341743841067</v>
          </cell>
          <cell r="C114" t="str">
            <v/>
          </cell>
          <cell r="D114">
            <v>182496.59627009623</v>
          </cell>
          <cell r="E114">
            <v>1414.7049999999999</v>
          </cell>
          <cell r="F114">
            <v>0</v>
          </cell>
          <cell r="G114">
            <v>0</v>
          </cell>
          <cell r="H114">
            <v>300</v>
          </cell>
          <cell r="I114">
            <v>1714.7049999999999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2217.777791883143</v>
          </cell>
          <cell r="O114">
            <v>289.71438595191427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2918.6531778350572</v>
          </cell>
          <cell r="Y114">
            <v>-104.02112256494894</v>
          </cell>
          <cell r="Z114">
            <v>182392.57514753129</v>
          </cell>
          <cell r="AA114">
            <v>84.990581216860122</v>
          </cell>
          <cell r="AD114">
            <v>40.053935447338617</v>
          </cell>
        </row>
        <row r="115">
          <cell r="A115">
            <v>46306</v>
          </cell>
          <cell r="B115">
            <v>84.990581216860122</v>
          </cell>
          <cell r="C115" t="str">
            <v/>
          </cell>
          <cell r="D115">
            <v>182392.57514753126</v>
          </cell>
          <cell r="E115">
            <v>854.68600000000004</v>
          </cell>
          <cell r="F115">
            <v>0</v>
          </cell>
          <cell r="G115">
            <v>0</v>
          </cell>
          <cell r="H115">
            <v>300</v>
          </cell>
          <cell r="I115">
            <v>1154.6860000000001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2216.3204300537545</v>
          </cell>
          <cell r="O115">
            <v>332.73072256275236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2960.212152616507</v>
          </cell>
          <cell r="Y115">
            <v>-155.99745958606619</v>
          </cell>
          <cell r="Z115">
            <v>182236.57768794519</v>
          </cell>
          <cell r="AA115">
            <v>84.956322217584699</v>
          </cell>
          <cell r="AD115">
            <v>24.198357870894679</v>
          </cell>
        </row>
        <row r="116">
          <cell r="A116">
            <v>46307</v>
          </cell>
          <cell r="B116">
            <v>84.956322217584699</v>
          </cell>
          <cell r="C116" t="str">
            <v/>
          </cell>
          <cell r="D116">
            <v>182236.57768794516</v>
          </cell>
          <cell r="E116">
            <v>2906.5949999999998</v>
          </cell>
          <cell r="F116">
            <v>0</v>
          </cell>
          <cell r="G116">
            <v>0</v>
          </cell>
          <cell r="H116">
            <v>300</v>
          </cell>
          <cell r="I116">
            <v>3206.5949999999998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2214.1340894743166</v>
          </cell>
          <cell r="O116">
            <v>241.58265492391988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2866.8777443982367</v>
          </cell>
          <cell r="Y116">
            <v>29.351570883992331</v>
          </cell>
          <cell r="Z116">
            <v>182265.92925882916</v>
          </cell>
          <cell r="AA116">
            <v>84.962769307748729</v>
          </cell>
          <cell r="AD116">
            <v>82.293176670441667</v>
          </cell>
        </row>
        <row r="117">
          <cell r="A117">
            <v>46308</v>
          </cell>
          <cell r="B117">
            <v>84.962769307748729</v>
          </cell>
          <cell r="C117" t="str">
            <v/>
          </cell>
          <cell r="D117">
            <v>182265.92925882922</v>
          </cell>
          <cell r="E117">
            <v>2973.797</v>
          </cell>
          <cell r="F117">
            <v>0</v>
          </cell>
          <cell r="G117">
            <v>0</v>
          </cell>
          <cell r="H117">
            <v>300</v>
          </cell>
          <cell r="I117">
            <v>3273.797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2214.5455298299325</v>
          </cell>
          <cell r="O117">
            <v>451.03822981225466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3076.7447596421871</v>
          </cell>
          <cell r="Y117">
            <v>17.025313566915038</v>
          </cell>
          <cell r="Z117">
            <v>182282.95457239612</v>
          </cell>
          <cell r="AA117">
            <v>84.966508690771235</v>
          </cell>
          <cell r="AD117">
            <v>84.195838052095127</v>
          </cell>
        </row>
        <row r="118">
          <cell r="A118">
            <v>46309</v>
          </cell>
          <cell r="B118">
            <v>84.966508690771235</v>
          </cell>
          <cell r="C118" t="str">
            <v/>
          </cell>
          <cell r="D118">
            <v>182282.95457239612</v>
          </cell>
          <cell r="E118">
            <v>1157.096</v>
          </cell>
          <cell r="F118">
            <v>0</v>
          </cell>
          <cell r="G118">
            <v>0</v>
          </cell>
          <cell r="H118">
            <v>300</v>
          </cell>
          <cell r="I118">
            <v>1457.096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2214.7841697498684</v>
          </cell>
          <cell r="O118">
            <v>816.50441642447447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3442.449586174343</v>
          </cell>
          <cell r="Y118">
            <v>-171.53454984546323</v>
          </cell>
          <cell r="Z118">
            <v>182111.42002255065</v>
          </cell>
          <cell r="AA118">
            <v>84.928825446137665</v>
          </cell>
          <cell r="AD118">
            <v>32.760362400906004</v>
          </cell>
        </row>
        <row r="119">
          <cell r="A119">
            <v>46310</v>
          </cell>
          <cell r="B119">
            <v>84.928825446137665</v>
          </cell>
          <cell r="C119" t="str">
            <v/>
          </cell>
          <cell r="D119">
            <v>182111.42002255065</v>
          </cell>
          <cell r="E119">
            <v>825.56500000000005</v>
          </cell>
          <cell r="F119">
            <v>0</v>
          </cell>
          <cell r="G119">
            <v>0</v>
          </cell>
          <cell r="H119">
            <v>300</v>
          </cell>
          <cell r="I119">
            <v>1125.5650000000001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2212.3793007037839</v>
          </cell>
          <cell r="O119">
            <v>246.29341492558612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2869.8337156293701</v>
          </cell>
          <cell r="Y119">
            <v>-150.70481703037757</v>
          </cell>
          <cell r="Z119">
            <v>181960.71520552028</v>
          </cell>
          <cell r="AA119">
            <v>84.895703528452088</v>
          </cell>
          <cell r="AD119">
            <v>23.373867497168746</v>
          </cell>
        </row>
        <row r="120">
          <cell r="A120">
            <v>46311</v>
          </cell>
          <cell r="B120">
            <v>84.895703528452088</v>
          </cell>
          <cell r="C120" t="str">
            <v/>
          </cell>
          <cell r="D120">
            <v>181960.71520552028</v>
          </cell>
          <cell r="E120">
            <v>850.20600000000002</v>
          </cell>
          <cell r="F120">
            <v>0</v>
          </cell>
          <cell r="G120">
            <v>0</v>
          </cell>
          <cell r="H120">
            <v>300</v>
          </cell>
          <cell r="I120">
            <v>1150.2060000000001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2210.2655263894021</v>
          </cell>
          <cell r="O120">
            <v>350.17932294252529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2971.6058493319274</v>
          </cell>
          <cell r="Y120">
            <v>-157.36894698227849</v>
          </cell>
          <cell r="Z120">
            <v>181803.34625853799</v>
          </cell>
          <cell r="AA120">
            <v>84.861102359445738</v>
          </cell>
          <cell r="AD120">
            <v>24.071517553793885</v>
          </cell>
        </row>
        <row r="121">
          <cell r="A121">
            <v>46312</v>
          </cell>
          <cell r="B121">
            <v>84.861102359445738</v>
          </cell>
          <cell r="C121" t="str">
            <v/>
          </cell>
          <cell r="D121">
            <v>181803.34625853799</v>
          </cell>
          <cell r="E121">
            <v>1307.558</v>
          </cell>
          <cell r="F121">
            <v>0</v>
          </cell>
          <cell r="G121">
            <v>0</v>
          </cell>
          <cell r="H121">
            <v>300</v>
          </cell>
          <cell r="I121">
            <v>1607.558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2208.0573492244357</v>
          </cell>
          <cell r="O121">
            <v>752.53009065815627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3371.7484398825918</v>
          </cell>
          <cell r="Y121">
            <v>-152.42605400585595</v>
          </cell>
          <cell r="Z121">
            <v>181650.92020453213</v>
          </cell>
          <cell r="AA121">
            <v>84.827573752262509</v>
          </cell>
          <cell r="AD121">
            <v>37.020328425821063</v>
          </cell>
        </row>
        <row r="122">
          <cell r="A122">
            <v>46313</v>
          </cell>
          <cell r="B122">
            <v>84.827573752262509</v>
          </cell>
          <cell r="C122" t="str">
            <v/>
          </cell>
          <cell r="D122">
            <v>181650.92020453213</v>
          </cell>
          <cell r="E122">
            <v>1231.6289999999999</v>
          </cell>
          <cell r="F122">
            <v>0</v>
          </cell>
          <cell r="G122">
            <v>0</v>
          </cell>
          <cell r="H122">
            <v>300</v>
          </cell>
          <cell r="I122">
            <v>1531.6289999999999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2205.9176208024983</v>
          </cell>
          <cell r="O122">
            <v>319.68956387577322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2936.7681846782716</v>
          </cell>
          <cell r="Y122">
            <v>-121.40402555620267</v>
          </cell>
          <cell r="Z122">
            <v>181529.51617897593</v>
          </cell>
          <cell r="AA122">
            <v>84.800858906780448</v>
          </cell>
          <cell r="AD122">
            <v>34.870583238958098</v>
          </cell>
        </row>
        <row r="123">
          <cell r="A123">
            <v>46314</v>
          </cell>
          <cell r="B123">
            <v>84.800858906780448</v>
          </cell>
          <cell r="C123" t="str">
            <v/>
          </cell>
          <cell r="D123">
            <v>181529.5161789759</v>
          </cell>
          <cell r="E123">
            <v>944.78300000000002</v>
          </cell>
          <cell r="F123">
            <v>0</v>
          </cell>
          <cell r="G123">
            <v>0</v>
          </cell>
          <cell r="H123">
            <v>300</v>
          </cell>
          <cell r="I123">
            <v>1244.7829999999999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2204.2127329778041</v>
          </cell>
          <cell r="O123">
            <v>284.80797649595723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2900.1817094737612</v>
          </cell>
          <cell r="Y123">
            <v>-143.02644849853297</v>
          </cell>
          <cell r="Z123">
            <v>181386.48973047736</v>
          </cell>
          <cell r="AA123">
            <v>84.769374629771363</v>
          </cell>
          <cell r="AD123">
            <v>26.7492355605889</v>
          </cell>
        </row>
        <row r="124">
          <cell r="A124">
            <v>46315</v>
          </cell>
          <cell r="B124">
            <v>84.769374629771363</v>
          </cell>
          <cell r="C124" t="str">
            <v/>
          </cell>
          <cell r="D124">
            <v>181386.48973047736</v>
          </cell>
          <cell r="E124">
            <v>3256.4209999999998</v>
          </cell>
          <cell r="F124">
            <v>0</v>
          </cell>
          <cell r="G124">
            <v>0</v>
          </cell>
          <cell r="H124">
            <v>300</v>
          </cell>
          <cell r="I124">
            <v>3556.4209999999998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2202.2034696048186</v>
          </cell>
          <cell r="O124">
            <v>712.81410570821049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3326.1785753130289</v>
          </cell>
          <cell r="Y124">
            <v>19.89294549295429</v>
          </cell>
          <cell r="Z124">
            <v>181406.38267597032</v>
          </cell>
          <cell r="AA124">
            <v>84.773754386300453</v>
          </cell>
          <cell r="AD124">
            <v>92.197650056625136</v>
          </cell>
        </row>
        <row r="125">
          <cell r="A125">
            <v>46316</v>
          </cell>
          <cell r="B125">
            <v>84.773754386300453</v>
          </cell>
          <cell r="C125" t="str">
            <v/>
          </cell>
          <cell r="D125">
            <v>181406.38267597029</v>
          </cell>
          <cell r="E125">
            <v>2100.6019999999999</v>
          </cell>
          <cell r="F125">
            <v>0</v>
          </cell>
          <cell r="G125">
            <v>0</v>
          </cell>
          <cell r="H125">
            <v>300</v>
          </cell>
          <cell r="I125">
            <v>2400.6019999999999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2202.4829768767804</v>
          </cell>
          <cell r="O125">
            <v>316.68199690835462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2930.3259737851349</v>
          </cell>
          <cell r="Y125">
            <v>-45.768151335035668</v>
          </cell>
          <cell r="Z125">
            <v>181360.61452463525</v>
          </cell>
          <cell r="AA125">
            <v>84.763677422488271</v>
          </cell>
          <cell r="AD125">
            <v>59.473442808607018</v>
          </cell>
        </row>
        <row r="126">
          <cell r="A126">
            <v>46317</v>
          </cell>
          <cell r="B126">
            <v>84.763677422488271</v>
          </cell>
          <cell r="C126" t="str">
            <v/>
          </cell>
          <cell r="D126">
            <v>181360.61452463522</v>
          </cell>
          <cell r="E126">
            <v>1855.94</v>
          </cell>
          <cell r="F126">
            <v>0</v>
          </cell>
          <cell r="G126">
            <v>0</v>
          </cell>
          <cell r="H126">
            <v>300</v>
          </cell>
          <cell r="I126">
            <v>2155.94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2201.839885269726</v>
          </cell>
          <cell r="O126">
            <v>427.89821738384836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3040.8991026535746</v>
          </cell>
          <cell r="Y126">
            <v>-76.460466469268837</v>
          </cell>
          <cell r="Z126">
            <v>181284.15405816596</v>
          </cell>
          <cell r="AA126">
            <v>84.746839974127852</v>
          </cell>
          <cell r="AD126">
            <v>52.546432616081539</v>
          </cell>
        </row>
        <row r="127">
          <cell r="A127">
            <v>46318</v>
          </cell>
          <cell r="B127">
            <v>84.746839974127852</v>
          </cell>
          <cell r="C127" t="str">
            <v/>
          </cell>
          <cell r="D127">
            <v>181284.15405816599</v>
          </cell>
          <cell r="E127">
            <v>1573.3119999999999</v>
          </cell>
          <cell r="F127">
            <v>0</v>
          </cell>
          <cell r="G127">
            <v>0</v>
          </cell>
          <cell r="H127">
            <v>300</v>
          </cell>
          <cell r="I127">
            <v>1873.3119999999999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2200.7653531064061</v>
          </cell>
          <cell r="O127">
            <v>406.82208492631821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3018.7484380327242</v>
          </cell>
          <cell r="Y127">
            <v>-98.96570824602739</v>
          </cell>
          <cell r="Z127">
            <v>181185.18834991998</v>
          </cell>
          <cell r="AA127">
            <v>84.725041359563974</v>
          </cell>
          <cell r="AD127">
            <v>44.544507361268401</v>
          </cell>
        </row>
        <row r="128">
          <cell r="A128">
            <v>46319</v>
          </cell>
          <cell r="B128">
            <v>84.725041359563974</v>
          </cell>
          <cell r="C128" t="str">
            <v/>
          </cell>
          <cell r="D128">
            <v>181185.18834992</v>
          </cell>
          <cell r="E128">
            <v>4133.2299999999996</v>
          </cell>
          <cell r="F128">
            <v>0</v>
          </cell>
          <cell r="G128">
            <v>0</v>
          </cell>
          <cell r="H128">
            <v>300</v>
          </cell>
          <cell r="I128">
            <v>4433.2299999999996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2199.3742092725365</v>
          </cell>
          <cell r="O128">
            <v>622.92272524640089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3233.4579345189377</v>
          </cell>
          <cell r="Y128">
            <v>103.66030645756373</v>
          </cell>
          <cell r="Z128">
            <v>181288.84865637758</v>
          </cell>
          <cell r="AA128">
            <v>84.74787387912734</v>
          </cell>
          <cell r="AD128">
            <v>117.02236693091731</v>
          </cell>
        </row>
        <row r="129">
          <cell r="A129">
            <v>46320</v>
          </cell>
          <cell r="B129">
            <v>84.74787387912734</v>
          </cell>
          <cell r="C129" t="str">
            <v/>
          </cell>
          <cell r="D129">
            <v>181288.84865637758</v>
          </cell>
          <cell r="E129">
            <v>2795.2710000000002</v>
          </cell>
          <cell r="F129">
            <v>0</v>
          </cell>
          <cell r="G129">
            <v>0</v>
          </cell>
          <cell r="H129">
            <v>300</v>
          </cell>
          <cell r="I129">
            <v>3095.2710000000002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2200.8313348485317</v>
          </cell>
          <cell r="O129">
            <v>219.12300966073477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2831.1153445092664</v>
          </cell>
          <cell r="Y129">
            <v>22.823048634399402</v>
          </cell>
          <cell r="Z129">
            <v>181311.67170501198</v>
          </cell>
          <cell r="AA129">
            <v>84.752900075140985</v>
          </cell>
          <cell r="AD129">
            <v>79.141308040770113</v>
          </cell>
        </row>
        <row r="130">
          <cell r="A130">
            <v>46321</v>
          </cell>
          <cell r="B130">
            <v>84.752900075140985</v>
          </cell>
          <cell r="C130" t="str">
            <v/>
          </cell>
          <cell r="D130">
            <v>181311.67170501201</v>
          </cell>
          <cell r="E130">
            <v>1864.5170000000001</v>
          </cell>
          <cell r="F130">
            <v>0</v>
          </cell>
          <cell r="G130">
            <v>0</v>
          </cell>
          <cell r="H130">
            <v>300</v>
          </cell>
          <cell r="I130">
            <v>2164.5169999999998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2201.1520965910595</v>
          </cell>
          <cell r="O130">
            <v>204.05042526028018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2816.3635218513396</v>
          </cell>
          <cell r="Y130">
            <v>-56.319539487955751</v>
          </cell>
          <cell r="Z130">
            <v>181255.35216552406</v>
          </cell>
          <cell r="AA130">
            <v>84.740496557317769</v>
          </cell>
          <cell r="AD130">
            <v>52.789269535673839</v>
          </cell>
        </row>
        <row r="131">
          <cell r="A131">
            <v>46322</v>
          </cell>
          <cell r="B131">
            <v>84.740496557317769</v>
          </cell>
          <cell r="C131" t="str">
            <v/>
          </cell>
          <cell r="D131">
            <v>181255.35216552406</v>
          </cell>
          <cell r="E131">
            <v>1817.979</v>
          </cell>
          <cell r="F131">
            <v>0</v>
          </cell>
          <cell r="G131">
            <v>0</v>
          </cell>
          <cell r="H131">
            <v>300</v>
          </cell>
          <cell r="I131">
            <v>2117.9790000000003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2200.3605289761776</v>
          </cell>
          <cell r="O131">
            <v>186.29285332842474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2797.8143823046025</v>
          </cell>
          <cell r="Y131">
            <v>-58.737777031117638</v>
          </cell>
          <cell r="Z131">
            <v>181196.61438849295</v>
          </cell>
          <cell r="AA131">
            <v>84.727558411418428</v>
          </cell>
          <cell r="AD131">
            <v>51.471659116647793</v>
          </cell>
        </row>
        <row r="132">
          <cell r="A132">
            <v>46323</v>
          </cell>
          <cell r="B132">
            <v>84.727558411418428</v>
          </cell>
          <cell r="C132" t="str">
            <v/>
          </cell>
          <cell r="D132">
            <v>181196.61438849301</v>
          </cell>
          <cell r="E132">
            <v>1573.6559999999999</v>
          </cell>
          <cell r="F132">
            <v>0</v>
          </cell>
          <cell r="G132">
            <v>0</v>
          </cell>
          <cell r="H132">
            <v>300</v>
          </cell>
          <cell r="I132">
            <v>1873.6559999999999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2199.5348424704212</v>
          </cell>
          <cell r="O132">
            <v>383.48362388389205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2994.1794663543133</v>
          </cell>
          <cell r="Y132">
            <v>-96.813227493012675</v>
          </cell>
          <cell r="Z132">
            <v>181099.80116099998</v>
          </cell>
          <cell r="AA132">
            <v>84.706228835039298</v>
          </cell>
          <cell r="AD132">
            <v>44.554246885617211</v>
          </cell>
        </row>
        <row r="133">
          <cell r="A133">
            <v>46324</v>
          </cell>
          <cell r="B133">
            <v>84.706228835039298</v>
          </cell>
          <cell r="C133" t="str">
            <v/>
          </cell>
          <cell r="D133">
            <v>181099.80116099998</v>
          </cell>
          <cell r="E133">
            <v>1537.5889999999999</v>
          </cell>
          <cell r="F133">
            <v>0</v>
          </cell>
          <cell r="G133">
            <v>0</v>
          </cell>
          <cell r="H133">
            <v>300</v>
          </cell>
          <cell r="I133">
            <v>1837.5889999999999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2198.1736317121895</v>
          </cell>
          <cell r="O133">
            <v>351.28833301710205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2960.6229647292917</v>
          </cell>
          <cell r="Y133">
            <v>-97.030134552610804</v>
          </cell>
          <cell r="Z133">
            <v>181002.77102644736</v>
          </cell>
          <cell r="AA133">
            <v>84.68484576275543</v>
          </cell>
          <cell r="AD133">
            <v>43.533097395243487</v>
          </cell>
        </row>
        <row r="134">
          <cell r="A134">
            <v>46325</v>
          </cell>
          <cell r="B134">
            <v>84.68484576275543</v>
          </cell>
          <cell r="C134" t="str">
            <v/>
          </cell>
          <cell r="D134">
            <v>181002.77102644733</v>
          </cell>
          <cell r="E134">
            <v>1403.7929999999999</v>
          </cell>
          <cell r="F134">
            <v>0</v>
          </cell>
          <cell r="G134">
            <v>0</v>
          </cell>
          <cell r="H134">
            <v>300</v>
          </cell>
          <cell r="I134">
            <v>1703.7929999999999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2196.8090069526797</v>
          </cell>
          <cell r="O134">
            <v>279.57886411880526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2887.5488710714849</v>
          </cell>
          <cell r="Y134">
            <v>-102.2765072605763</v>
          </cell>
          <cell r="Z134">
            <v>180900.49451918676</v>
          </cell>
          <cell r="AA134">
            <v>84.662300327172417</v>
          </cell>
          <cell r="AD134">
            <v>39.744988674971687</v>
          </cell>
        </row>
        <row r="135">
          <cell r="A135">
            <v>46326</v>
          </cell>
          <cell r="B135">
            <v>84.662300327172417</v>
          </cell>
          <cell r="C135" t="str">
            <v/>
          </cell>
          <cell r="D135">
            <v>180900.49451918679</v>
          </cell>
          <cell r="E135">
            <v>1636.7439999999999</v>
          </cell>
          <cell r="F135">
            <v>0</v>
          </cell>
          <cell r="G135">
            <v>0</v>
          </cell>
          <cell r="H135">
            <v>300</v>
          </cell>
          <cell r="I135">
            <v>1936.7439999999999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2195.370202500163</v>
          </cell>
          <cell r="O135">
            <v>452.56007899824692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3059.0912814984099</v>
          </cell>
          <cell r="Y135">
            <v>-96.970805121462604</v>
          </cell>
          <cell r="Z135">
            <v>180803.52371406532</v>
          </cell>
          <cell r="AA135">
            <v>84.640918587184402</v>
          </cell>
          <cell r="AD135">
            <v>46.340430351075874</v>
          </cell>
        </row>
        <row r="136">
          <cell r="A136">
            <v>46327</v>
          </cell>
          <cell r="B136">
            <v>84.640918587184402</v>
          </cell>
          <cell r="C136" t="str">
            <v/>
          </cell>
          <cell r="D136">
            <v>180803.52371406529</v>
          </cell>
          <cell r="E136">
            <v>1962.4090000000001</v>
          </cell>
          <cell r="F136">
            <v>0</v>
          </cell>
          <cell r="G136">
            <v>0</v>
          </cell>
          <cell r="H136">
            <v>300</v>
          </cell>
          <cell r="I136">
            <v>2262.4090000000001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2194.0056627650997</v>
          </cell>
          <cell r="O136">
            <v>444.47941688010076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3049.6460796452006</v>
          </cell>
          <cell r="Y136">
            <v>-68.017283681345333</v>
          </cell>
          <cell r="Z136">
            <v>180735.50643038395</v>
          </cell>
          <cell r="AA136">
            <v>84.625917588865946</v>
          </cell>
          <cell r="AD136">
            <v>55.560843714609291</v>
          </cell>
        </row>
        <row r="137">
          <cell r="A137">
            <v>46328</v>
          </cell>
          <cell r="B137">
            <v>84.625917588865946</v>
          </cell>
          <cell r="C137" t="str">
            <v/>
          </cell>
          <cell r="D137">
            <v>180735.50643038392</v>
          </cell>
          <cell r="E137">
            <v>3000</v>
          </cell>
          <cell r="F137">
            <v>0</v>
          </cell>
          <cell r="G137">
            <v>0</v>
          </cell>
          <cell r="H137">
            <v>300</v>
          </cell>
          <cell r="I137">
            <v>3300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2193.0483291578903</v>
          </cell>
          <cell r="O137">
            <v>385.75733449175709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2989.9666636496477</v>
          </cell>
          <cell r="Y137">
            <v>26.78688026067044</v>
          </cell>
          <cell r="Z137">
            <v>180762.2933106446</v>
          </cell>
          <cell r="AA137">
            <v>84.631825687260616</v>
          </cell>
          <cell r="AD137">
            <v>84.937712344280854</v>
          </cell>
        </row>
        <row r="138">
          <cell r="A138">
            <v>46329</v>
          </cell>
          <cell r="B138">
            <v>84.631825687260616</v>
          </cell>
          <cell r="C138" t="str">
            <v/>
          </cell>
          <cell r="D138">
            <v>180762.29331064454</v>
          </cell>
          <cell r="E138">
            <v>2000</v>
          </cell>
          <cell r="F138">
            <v>0</v>
          </cell>
          <cell r="G138">
            <v>0</v>
          </cell>
          <cell r="H138">
            <v>300</v>
          </cell>
          <cell r="I138">
            <v>2300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2193.4253721404866</v>
          </cell>
          <cell r="O138">
            <v>530.88116455805402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3135.4675366985407</v>
          </cell>
          <cell r="Y138">
            <v>-72.184395170753916</v>
          </cell>
          <cell r="Z138">
            <v>180690.1089154738</v>
          </cell>
          <cell r="AA138">
            <v>84.615903742467822</v>
          </cell>
          <cell r="AD138">
            <v>56.625141562853905</v>
          </cell>
        </row>
        <row r="139">
          <cell r="A139">
            <v>46330</v>
          </cell>
          <cell r="B139">
            <v>84.615903742467822</v>
          </cell>
          <cell r="C139" t="str">
            <v/>
          </cell>
          <cell r="D139">
            <v>180690.10891547377</v>
          </cell>
          <cell r="E139">
            <v>4000</v>
          </cell>
          <cell r="F139">
            <v>0</v>
          </cell>
          <cell r="G139">
            <v>0</v>
          </cell>
          <cell r="H139">
            <v>300</v>
          </cell>
          <cell r="I139">
            <v>4300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2192.4092655775307</v>
          </cell>
          <cell r="O139">
            <v>645.89416100405344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3249.4644265815841</v>
          </cell>
          <cell r="Y139">
            <v>90.766273543351133</v>
          </cell>
          <cell r="Z139">
            <v>180780.87518901713</v>
          </cell>
          <cell r="AA139">
            <v>84.635923838766459</v>
          </cell>
          <cell r="AD139">
            <v>113.25028312570781</v>
          </cell>
        </row>
        <row r="140">
          <cell r="A140">
            <v>46331</v>
          </cell>
          <cell r="B140">
            <v>84.635923838766459</v>
          </cell>
          <cell r="C140" t="str">
            <v/>
          </cell>
          <cell r="D140">
            <v>180780.87518901713</v>
          </cell>
          <cell r="E140">
            <v>1665.6010000000001</v>
          </cell>
          <cell r="F140">
            <v>0</v>
          </cell>
          <cell r="G140">
            <v>0</v>
          </cell>
          <cell r="H140">
            <v>300</v>
          </cell>
          <cell r="I140">
            <v>1965.6010000000001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2193.6869079450171</v>
          </cell>
          <cell r="O140">
            <v>310.82273687917228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2915.6706448241894</v>
          </cell>
          <cell r="Y140">
            <v>-82.086017312809958</v>
          </cell>
          <cell r="Z140">
            <v>180698.78917170432</v>
          </cell>
          <cell r="AA140">
            <v>84.617818542379467</v>
          </cell>
          <cell r="AD140">
            <v>47.157446206115516</v>
          </cell>
        </row>
        <row r="141">
          <cell r="A141">
            <v>46332</v>
          </cell>
          <cell r="B141">
            <v>84.617818542379467</v>
          </cell>
          <cell r="C141" t="str">
            <v/>
          </cell>
          <cell r="D141">
            <v>180698.78917170427</v>
          </cell>
          <cell r="E141">
            <v>1100.8409999999999</v>
          </cell>
          <cell r="F141">
            <v>0</v>
          </cell>
          <cell r="G141">
            <v>0</v>
          </cell>
          <cell r="H141">
            <v>300</v>
          </cell>
          <cell r="I141">
            <v>1400.8409999999999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2192.5314642650837</v>
          </cell>
          <cell r="O141">
            <v>545.70069357460159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3149.3931578396855</v>
          </cell>
          <cell r="Y141">
            <v>-151.07490643734883</v>
          </cell>
          <cell r="Z141">
            <v>180547.71426526693</v>
          </cell>
          <cell r="AA141">
            <v>84.584485989913006</v>
          </cell>
          <cell r="AD141">
            <v>31.167638731596824</v>
          </cell>
        </row>
        <row r="142">
          <cell r="A142">
            <v>46333</v>
          </cell>
          <cell r="B142">
            <v>84.584485989913006</v>
          </cell>
          <cell r="C142" t="str">
            <v/>
          </cell>
          <cell r="D142">
            <v>180547.71426526693</v>
          </cell>
          <cell r="E142">
            <v>1930.7090000000001</v>
          </cell>
          <cell r="F142">
            <v>0</v>
          </cell>
          <cell r="G142">
            <v>0</v>
          </cell>
          <cell r="H142">
            <v>300</v>
          </cell>
          <cell r="I142">
            <v>2230.7089999999998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2190.4042476617087</v>
          </cell>
          <cell r="O142">
            <v>525.81654280104692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3127.3817904627558</v>
          </cell>
          <cell r="Y142">
            <v>-77.472529095982111</v>
          </cell>
          <cell r="Z142">
            <v>180470.24173617095</v>
          </cell>
          <cell r="AA142">
            <v>84.567387369827514</v>
          </cell>
          <cell r="AD142">
            <v>54.66333522083805</v>
          </cell>
        </row>
        <row r="143">
          <cell r="A143">
            <v>46334</v>
          </cell>
          <cell r="B143">
            <v>84.567387369827514</v>
          </cell>
          <cell r="C143" t="str">
            <v/>
          </cell>
          <cell r="D143">
            <v>180470.24173617092</v>
          </cell>
          <cell r="E143">
            <v>1092.671</v>
          </cell>
          <cell r="F143">
            <v>0</v>
          </cell>
          <cell r="G143">
            <v>0</v>
          </cell>
          <cell r="H143">
            <v>300</v>
          </cell>
          <cell r="I143">
            <v>1392.671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2189.3130480430395</v>
          </cell>
          <cell r="O143">
            <v>343.11333043976828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2943.5873784828077</v>
          </cell>
          <cell r="Y143">
            <v>-133.99917510091456</v>
          </cell>
          <cell r="Z143">
            <v>180336.24256107002</v>
          </cell>
          <cell r="AA143">
            <v>84.537804357710613</v>
          </cell>
          <cell r="AD143">
            <v>30.936325028312574</v>
          </cell>
        </row>
        <row r="144">
          <cell r="A144">
            <v>46335</v>
          </cell>
          <cell r="B144">
            <v>84.537804357710613</v>
          </cell>
          <cell r="C144" t="str">
            <v/>
          </cell>
          <cell r="D144">
            <v>180336.24256106999</v>
          </cell>
          <cell r="E144">
            <v>4163.2420000000002</v>
          </cell>
          <cell r="F144">
            <v>0</v>
          </cell>
          <cell r="G144">
            <v>0</v>
          </cell>
          <cell r="H144">
            <v>300</v>
          </cell>
          <cell r="I144">
            <v>4463.2420000000002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2187.4251195798283</v>
          </cell>
          <cell r="O144">
            <v>223.96776550175198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2822.5538850815806</v>
          </cell>
          <cell r="Y144">
            <v>141.75545312895144</v>
          </cell>
          <cell r="Z144">
            <v>180477.99801419894</v>
          </cell>
          <cell r="AA144">
            <v>84.569099388640254</v>
          </cell>
          <cell r="AD144">
            <v>117.87208380520951</v>
          </cell>
        </row>
        <row r="145">
          <cell r="A145">
            <v>46336</v>
          </cell>
          <cell r="B145">
            <v>84.569099388640254</v>
          </cell>
          <cell r="C145" t="str">
            <v/>
          </cell>
          <cell r="D145">
            <v>180477.99801419891</v>
          </cell>
          <cell r="E145">
            <v>4263.8059999999996</v>
          </cell>
          <cell r="F145">
            <v>0</v>
          </cell>
          <cell r="G145">
            <v>0</v>
          </cell>
          <cell r="H145">
            <v>300</v>
          </cell>
          <cell r="I145">
            <v>4563.8059999999996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2189.4223056478218</v>
          </cell>
          <cell r="O145">
            <v>394.98059237937281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2995.5638980271947</v>
          </cell>
          <cell r="Y145">
            <v>135.49611761045034</v>
          </cell>
          <cell r="Z145">
            <v>180613.49413180936</v>
          </cell>
          <cell r="AA145">
            <v>84.599001101321633</v>
          </cell>
          <cell r="AD145">
            <v>120.71930917327292</v>
          </cell>
        </row>
        <row r="146">
          <cell r="A146">
            <v>46337</v>
          </cell>
          <cell r="B146">
            <v>84.599001101321633</v>
          </cell>
          <cell r="C146" t="str">
            <v/>
          </cell>
          <cell r="D146">
            <v>180613.49413180939</v>
          </cell>
          <cell r="E146">
            <v>1545.211</v>
          </cell>
          <cell r="F146">
            <v>0</v>
          </cell>
          <cell r="G146">
            <v>0</v>
          </cell>
          <cell r="H146">
            <v>300</v>
          </cell>
          <cell r="I146">
            <v>1845.211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2191.3305729414587</v>
          </cell>
          <cell r="O146">
            <v>181.73948017469499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2784.2310531161538</v>
          </cell>
          <cell r="Y146">
            <v>-81.131332589235683</v>
          </cell>
          <cell r="Z146">
            <v>180532.36279922017</v>
          </cell>
          <cell r="AA146">
            <v>84.581098126365646</v>
          </cell>
          <cell r="AD146">
            <v>43.748895809739523</v>
          </cell>
        </row>
        <row r="147">
          <cell r="A147">
            <v>46338</v>
          </cell>
          <cell r="B147">
            <v>84.581098126365646</v>
          </cell>
          <cell r="C147" t="str">
            <v/>
          </cell>
          <cell r="D147">
            <v>180532.36279922017</v>
          </cell>
          <cell r="E147">
            <v>1049.0930000000001</v>
          </cell>
          <cell r="F147">
            <v>0</v>
          </cell>
          <cell r="G147">
            <v>0</v>
          </cell>
          <cell r="H147">
            <v>300</v>
          </cell>
          <cell r="I147">
            <v>1349.0930000000001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2190.1880410092131</v>
          </cell>
          <cell r="O147">
            <v>386.79660467141662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2988.14564568063</v>
          </cell>
          <cell r="Y147">
            <v>-141.61414858680641</v>
          </cell>
          <cell r="Z147">
            <v>180390.74865063335</v>
          </cell>
          <cell r="AA147">
            <v>84.549838995383453</v>
          </cell>
          <cell r="AD147">
            <v>29.702519818799548</v>
          </cell>
        </row>
        <row r="148">
          <cell r="A148">
            <v>46339</v>
          </cell>
          <cell r="B148">
            <v>84.549838995383453</v>
          </cell>
          <cell r="C148" t="str">
            <v/>
          </cell>
          <cell r="D148">
            <v>180390.74865063338</v>
          </cell>
          <cell r="E148">
            <v>1085.9659999999999</v>
          </cell>
          <cell r="F148">
            <v>0</v>
          </cell>
          <cell r="G148">
            <v>0</v>
          </cell>
          <cell r="H148">
            <v>300</v>
          </cell>
          <cell r="I148">
            <v>1385.9659999999999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2188.1931460038186</v>
          </cell>
          <cell r="O148">
            <v>275.04409086736212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2874.3982368711809</v>
          </cell>
          <cell r="Y148">
            <v>-128.60054526567004</v>
          </cell>
          <cell r="Z148">
            <v>180262.1481053677</v>
          </cell>
          <cell r="AA148">
            <v>84.521441809061642</v>
          </cell>
          <cell r="AD148">
            <v>30.746489241223099</v>
          </cell>
        </row>
        <row r="149">
          <cell r="A149">
            <v>46340</v>
          </cell>
          <cell r="B149">
            <v>84.521441809061642</v>
          </cell>
          <cell r="C149" t="str">
            <v/>
          </cell>
          <cell r="D149">
            <v>180262.14810536767</v>
          </cell>
          <cell r="E149">
            <v>1957.972</v>
          </cell>
          <cell r="F149">
            <v>0</v>
          </cell>
          <cell r="G149">
            <v>0</v>
          </cell>
          <cell r="H149">
            <v>300</v>
          </cell>
          <cell r="I149">
            <v>2257.9719999999998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2186.380894563018</v>
          </cell>
          <cell r="O149">
            <v>571.63303316593613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3169.1749277289541</v>
          </cell>
          <cell r="Y149">
            <v>-78.727932955781654</v>
          </cell>
          <cell r="Z149">
            <v>180183.42017241189</v>
          </cell>
          <cell r="AA149">
            <v>84.504052356255926</v>
          </cell>
          <cell r="AD149">
            <v>55.435220838052096</v>
          </cell>
        </row>
        <row r="150">
          <cell r="A150">
            <v>46341</v>
          </cell>
          <cell r="B150">
            <v>84.504052356255926</v>
          </cell>
          <cell r="C150" t="str">
            <v/>
          </cell>
          <cell r="D150">
            <v>180183.42017241183</v>
          </cell>
          <cell r="E150">
            <v>1829.068</v>
          </cell>
          <cell r="F150">
            <v>0</v>
          </cell>
          <cell r="G150">
            <v>0</v>
          </cell>
          <cell r="H150">
            <v>300</v>
          </cell>
          <cell r="I150">
            <v>2129.0680000000002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2185.2711345838161</v>
          </cell>
          <cell r="O150">
            <v>297.95396118391335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2894.3860957677293</v>
          </cell>
          <cell r="Y150">
            <v>-66.123483474331792</v>
          </cell>
          <cell r="Z150">
            <v>180117.29668893749</v>
          </cell>
          <cell r="AA150">
            <v>84.489444049975518</v>
          </cell>
          <cell r="AD150">
            <v>51.785617214043036</v>
          </cell>
        </row>
        <row r="151">
          <cell r="A151">
            <v>46342</v>
          </cell>
          <cell r="B151">
            <v>84.489444049975518</v>
          </cell>
          <cell r="C151" t="str">
            <v/>
          </cell>
          <cell r="D151">
            <v>180117.29668893744</v>
          </cell>
          <cell r="E151">
            <v>1342.095</v>
          </cell>
          <cell r="F151">
            <v>0</v>
          </cell>
          <cell r="G151">
            <v>0</v>
          </cell>
          <cell r="H151">
            <v>300</v>
          </cell>
          <cell r="I151">
            <v>1642.095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2184.338861794382</v>
          </cell>
          <cell r="O151">
            <v>281.66302515324691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2877.162886947629</v>
          </cell>
          <cell r="Y151">
            <v>-106.70986543227514</v>
          </cell>
          <cell r="Z151">
            <v>180010.58682350517</v>
          </cell>
          <cell r="AA151">
            <v>84.465863569109928</v>
          </cell>
          <cell r="AD151">
            <v>37.998159682899207</v>
          </cell>
        </row>
        <row r="152">
          <cell r="A152">
            <v>46343</v>
          </cell>
          <cell r="B152">
            <v>84.465863569109928</v>
          </cell>
          <cell r="C152" t="str">
            <v/>
          </cell>
          <cell r="D152">
            <v>180010.58682350512</v>
          </cell>
          <cell r="E152">
            <v>5266.5240000000003</v>
          </cell>
          <cell r="F152">
            <v>0</v>
          </cell>
          <cell r="G152">
            <v>0</v>
          </cell>
          <cell r="H152">
            <v>300</v>
          </cell>
          <cell r="I152">
            <v>5566.5240000000003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2182.8340028291609</v>
          </cell>
          <cell r="O152">
            <v>415.47316678261433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3009.4681696117755</v>
          </cell>
          <cell r="Y152">
            <v>220.92962374554264</v>
          </cell>
          <cell r="Z152">
            <v>180231.51644725067</v>
          </cell>
          <cell r="AA152">
            <v>84.514676328245841</v>
          </cell>
          <cell r="AD152">
            <v>149.10883352208381</v>
          </cell>
        </row>
        <row r="153">
          <cell r="A153">
            <v>46344</v>
          </cell>
          <cell r="B153">
            <v>84.514676328245841</v>
          </cell>
          <cell r="C153" t="str">
            <v/>
          </cell>
          <cell r="D153">
            <v>180231.51644725067</v>
          </cell>
          <cell r="E153">
            <v>3304.3090000000002</v>
          </cell>
          <cell r="F153">
            <v>0</v>
          </cell>
          <cell r="G153">
            <v>0</v>
          </cell>
          <cell r="H153">
            <v>300</v>
          </cell>
          <cell r="I153">
            <v>3604.3090000000002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2185.9491351549841</v>
          </cell>
          <cell r="O153">
            <v>516.48251636745408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3113.5926515224382</v>
          </cell>
          <cell r="Y153">
            <v>42.397892508461354</v>
          </cell>
          <cell r="Z153">
            <v>180273.91433975913</v>
          </cell>
          <cell r="AA153">
            <v>84.524040413520694</v>
          </cell>
          <cell r="AD153">
            <v>93.553482446206118</v>
          </cell>
        </row>
        <row r="154">
          <cell r="A154">
            <v>46345</v>
          </cell>
          <cell r="B154">
            <v>84.524040413520694</v>
          </cell>
          <cell r="C154" t="str">
            <v/>
          </cell>
          <cell r="D154">
            <v>180273.9143397591</v>
          </cell>
          <cell r="E154">
            <v>2888.95</v>
          </cell>
          <cell r="F154">
            <v>0</v>
          </cell>
          <cell r="G154">
            <v>0</v>
          </cell>
          <cell r="H154">
            <v>300</v>
          </cell>
          <cell r="I154">
            <v>3188.95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2186.5467322844606</v>
          </cell>
          <cell r="O154">
            <v>502.97939538862676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3100.6871276730876</v>
          </cell>
          <cell r="Y154">
            <v>7.6259121690452147</v>
          </cell>
          <cell r="Z154">
            <v>180281.54025192815</v>
          </cell>
          <cell r="AA154">
            <v>84.525724571514885</v>
          </cell>
          <cell r="AD154">
            <v>81.793601359003389</v>
          </cell>
        </row>
        <row r="155">
          <cell r="A155">
            <v>46346</v>
          </cell>
          <cell r="B155">
            <v>84.525724571514885</v>
          </cell>
          <cell r="C155" t="str">
            <v/>
          </cell>
          <cell r="D155">
            <v>180281.54025192812</v>
          </cell>
          <cell r="E155">
            <v>2409.1390000000001</v>
          </cell>
          <cell r="F155">
            <v>0</v>
          </cell>
          <cell r="G155">
            <v>0</v>
          </cell>
          <cell r="H155">
            <v>300</v>
          </cell>
          <cell r="I155">
            <v>2709.1390000000001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2186.6542118677162</v>
          </cell>
          <cell r="O155">
            <v>658.10310177841723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3255.9183136461334</v>
          </cell>
          <cell r="Y155">
            <v>-47.24173269902591</v>
          </cell>
          <cell r="Z155">
            <v>180234.29851922908</v>
          </cell>
          <cell r="AA155">
            <v>84.51529081603698</v>
          </cell>
          <cell r="AD155">
            <v>68.208918459796152</v>
          </cell>
        </row>
        <row r="156">
          <cell r="A156">
            <v>46347</v>
          </cell>
          <cell r="B156">
            <v>84.51529081603698</v>
          </cell>
          <cell r="C156" t="str">
            <v/>
          </cell>
          <cell r="D156">
            <v>180234.29851922905</v>
          </cell>
          <cell r="E156">
            <v>4088.7669999999998</v>
          </cell>
          <cell r="F156">
            <v>0</v>
          </cell>
          <cell r="G156">
            <v>0</v>
          </cell>
          <cell r="H156">
            <v>300</v>
          </cell>
          <cell r="I156">
            <v>4388.7669999999998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2185.9883505325997</v>
          </cell>
          <cell r="O156">
            <v>654.63574382460433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3251.7850943572039</v>
          </cell>
          <cell r="Y156">
            <v>98.235236647537562</v>
          </cell>
          <cell r="Z156">
            <v>180332.53375587659</v>
          </cell>
          <cell r="AA156">
            <v>84.536985408481456</v>
          </cell>
          <cell r="AD156">
            <v>115.76350509626273</v>
          </cell>
        </row>
        <row r="157">
          <cell r="A157">
            <v>46348</v>
          </cell>
          <cell r="B157">
            <v>84.536985408481456</v>
          </cell>
          <cell r="C157" t="str">
            <v/>
          </cell>
          <cell r="D157">
            <v>180332.53375587659</v>
          </cell>
          <cell r="E157">
            <v>2766.6390000000001</v>
          </cell>
          <cell r="F157">
            <v>0</v>
          </cell>
          <cell r="G157">
            <v>0</v>
          </cell>
          <cell r="H157">
            <v>300</v>
          </cell>
          <cell r="I157">
            <v>3066.6390000000001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2187.3728558835719</v>
          </cell>
          <cell r="O157">
            <v>750.10782766617979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3348.6416835497516</v>
          </cell>
          <cell r="Y157">
            <v>-24.365031858698529</v>
          </cell>
          <cell r="Z157">
            <v>180308.16872401789</v>
          </cell>
          <cell r="AA157">
            <v>84.531605104633769</v>
          </cell>
          <cell r="AD157">
            <v>78.330662514156288</v>
          </cell>
        </row>
        <row r="158">
          <cell r="A158">
            <v>46349</v>
          </cell>
          <cell r="B158">
            <v>84.531605104633769</v>
          </cell>
          <cell r="C158" t="str">
            <v/>
          </cell>
          <cell r="D158">
            <v>180308.1687240178</v>
          </cell>
          <cell r="E158">
            <v>1846.8969999999999</v>
          </cell>
          <cell r="F158">
            <v>0</v>
          </cell>
          <cell r="G158">
            <v>0</v>
          </cell>
          <cell r="H158">
            <v>300</v>
          </cell>
          <cell r="I158">
            <v>2146.8969999999999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2187.0294956897333</v>
          </cell>
          <cell r="O158">
            <v>375.07941872179691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2973.2699144115304</v>
          </cell>
          <cell r="Y158">
            <v>-71.39861980515623</v>
          </cell>
          <cell r="Z158">
            <v>180236.77010421266</v>
          </cell>
          <cell r="AA158">
            <v>84.51583672130748</v>
          </cell>
          <cell r="AD158">
            <v>52.290402038505093</v>
          </cell>
        </row>
        <row r="159">
          <cell r="A159">
            <v>46350</v>
          </cell>
          <cell r="B159">
            <v>84.51583672130748</v>
          </cell>
          <cell r="C159" t="str">
            <v/>
          </cell>
          <cell r="D159">
            <v>180236.77010421266</v>
          </cell>
          <cell r="E159">
            <v>1800.91</v>
          </cell>
          <cell r="F159">
            <v>0</v>
          </cell>
          <cell r="G159">
            <v>0</v>
          </cell>
          <cell r="H159">
            <v>300</v>
          </cell>
          <cell r="I159">
            <v>2100.91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2186.0231891113872</v>
          </cell>
          <cell r="O159">
            <v>628.7572656714633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3225.9414547828505</v>
          </cell>
          <cell r="Y159">
            <v>-97.202717693238299</v>
          </cell>
          <cell r="Z159">
            <v>180139.56738651943</v>
          </cell>
          <cell r="AA159">
            <v>84.494364494368867</v>
          </cell>
          <cell r="AD159">
            <v>50.988391845979613</v>
          </cell>
        </row>
        <row r="160">
          <cell r="A160">
            <v>46351</v>
          </cell>
          <cell r="B160">
            <v>84.494364494368867</v>
          </cell>
          <cell r="C160" t="str">
            <v/>
          </cell>
          <cell r="D160">
            <v>180139.5673865194</v>
          </cell>
          <cell r="E160">
            <v>1559.4780000000001</v>
          </cell>
          <cell r="F160">
            <v>0</v>
          </cell>
          <cell r="G160">
            <v>0</v>
          </cell>
          <cell r="H160">
            <v>300</v>
          </cell>
          <cell r="I160">
            <v>1859.4780000000001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2184.6528746807353</v>
          </cell>
          <cell r="O160">
            <v>237.38879565294059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2833.202670333676</v>
          </cell>
          <cell r="Y160">
            <v>-84.129811516829591</v>
          </cell>
          <cell r="Z160">
            <v>180055.43757500258</v>
          </cell>
          <cell r="AA160">
            <v>84.47577542591317</v>
          </cell>
          <cell r="AD160">
            <v>44.152831257078141</v>
          </cell>
        </row>
        <row r="161">
          <cell r="A161">
            <v>46352</v>
          </cell>
          <cell r="B161">
            <v>84.47577542591317</v>
          </cell>
          <cell r="C161" t="str">
            <v/>
          </cell>
          <cell r="D161">
            <v>180055.43757500258</v>
          </cell>
          <cell r="E161">
            <v>1523.838</v>
          </cell>
          <cell r="F161">
            <v>0</v>
          </cell>
          <cell r="G161">
            <v>0</v>
          </cell>
          <cell r="H161">
            <v>300</v>
          </cell>
          <cell r="I161">
            <v>1823.838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2183.4665576382581</v>
          </cell>
          <cell r="O161">
            <v>297.1445970306176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2891.7721546688758</v>
          </cell>
          <cell r="Y161">
            <v>-92.269510963390871</v>
          </cell>
          <cell r="Z161">
            <v>179963.1680640392</v>
          </cell>
          <cell r="AA161">
            <v>84.455382851892651</v>
          </cell>
          <cell r="AD161">
            <v>43.143771234428087</v>
          </cell>
        </row>
        <row r="162">
          <cell r="A162">
            <v>46353</v>
          </cell>
          <cell r="B162">
            <v>84.455382851892651</v>
          </cell>
          <cell r="C162" t="str">
            <v/>
          </cell>
          <cell r="D162">
            <v>179963.1680640392</v>
          </cell>
          <cell r="E162">
            <v>1391.625</v>
          </cell>
          <cell r="F162">
            <v>0</v>
          </cell>
          <cell r="G162">
            <v>0</v>
          </cell>
          <cell r="H162">
            <v>300</v>
          </cell>
          <cell r="I162">
            <v>1691.625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2182.1651444900854</v>
          </cell>
          <cell r="O162">
            <v>539.70824321816178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3133.0343877082473</v>
          </cell>
          <cell r="Y162">
            <v>-124.53777109799258</v>
          </cell>
          <cell r="Z162">
            <v>179838.6302929412</v>
          </cell>
          <cell r="AA162">
            <v>84.427850366545272</v>
          </cell>
          <cell r="AD162">
            <v>39.400481313703281</v>
          </cell>
        </row>
        <row r="163">
          <cell r="A163">
            <v>46354</v>
          </cell>
          <cell r="B163">
            <v>84.427850366545272</v>
          </cell>
          <cell r="C163" t="str">
            <v/>
          </cell>
          <cell r="D163">
            <v>179838.63029294123</v>
          </cell>
          <cell r="E163">
            <v>1021.441</v>
          </cell>
          <cell r="F163">
            <v>0</v>
          </cell>
          <cell r="G163">
            <v>0</v>
          </cell>
          <cell r="H163">
            <v>300</v>
          </cell>
          <cell r="I163">
            <v>1321.441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2180.4080765301069</v>
          </cell>
          <cell r="O163">
            <v>273.79355704853333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2865.3626335786403</v>
          </cell>
          <cell r="Y163">
            <v>-133.39482914119452</v>
          </cell>
          <cell r="Z163">
            <v>179705.23546380003</v>
          </cell>
          <cell r="AA163">
            <v>84.39834923485077</v>
          </cell>
          <cell r="AD163">
            <v>28.91962061155153</v>
          </cell>
        </row>
        <row r="164">
          <cell r="A164">
            <v>46355</v>
          </cell>
          <cell r="B164">
            <v>84.39834923485077</v>
          </cell>
          <cell r="C164" t="str">
            <v/>
          </cell>
          <cell r="D164">
            <v>179705.23546380003</v>
          </cell>
          <cell r="E164">
            <v>1188.252</v>
          </cell>
          <cell r="F164">
            <v>0</v>
          </cell>
          <cell r="G164">
            <v>0</v>
          </cell>
          <cell r="H164">
            <v>300</v>
          </cell>
          <cell r="I164">
            <v>1488.252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2178.5253735111273</v>
          </cell>
          <cell r="O164">
            <v>294.28125792507103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2883.9676314361986</v>
          </cell>
          <cell r="Y164">
            <v>-120.58983055608758</v>
          </cell>
          <cell r="Z164">
            <v>179584.64563324393</v>
          </cell>
          <cell r="AA164">
            <v>84.371670609529914</v>
          </cell>
          <cell r="AD164">
            <v>33.642468856172137</v>
          </cell>
        </row>
        <row r="165">
          <cell r="A165">
            <v>46356</v>
          </cell>
          <cell r="B165">
            <v>84.371670609529914</v>
          </cell>
          <cell r="C165" t="str">
            <v/>
          </cell>
          <cell r="D165">
            <v>179584.64563324393</v>
          </cell>
          <cell r="E165">
            <v>2250.3560000000002</v>
          </cell>
          <cell r="F165">
            <v>0</v>
          </cell>
          <cell r="G165">
            <v>0</v>
          </cell>
          <cell r="H165">
            <v>300</v>
          </cell>
          <cell r="I165">
            <v>2550.3560000000002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2176.8227971844317</v>
          </cell>
          <cell r="O165">
            <v>450.84192280227734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3038.8257199867089</v>
          </cell>
          <cell r="Y165">
            <v>-42.203783806851632</v>
          </cell>
          <cell r="Z165">
            <v>179542.44184943708</v>
          </cell>
          <cell r="AA165">
            <v>84.36233156763177</v>
          </cell>
          <cell r="AD165">
            <v>63.713363533408838</v>
          </cell>
        </row>
        <row r="166">
          <cell r="A166">
            <v>46357</v>
          </cell>
          <cell r="B166">
            <v>84.36233156763177</v>
          </cell>
          <cell r="C166" t="str">
            <v/>
          </cell>
          <cell r="D166">
            <v>179542.44184943708</v>
          </cell>
          <cell r="E166">
            <v>1935.7370000000001</v>
          </cell>
          <cell r="F166">
            <v>0</v>
          </cell>
          <cell r="G166">
            <v>463.40370683481405</v>
          </cell>
          <cell r="H166">
            <v>300</v>
          </cell>
          <cell r="I166">
            <v>2699.1407068348144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2176.2267982729959</v>
          </cell>
          <cell r="O166">
            <v>723.5058845717432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3310.893682844739</v>
          </cell>
          <cell r="Y166">
            <v>-52.85545712725748</v>
          </cell>
          <cell r="Z166">
            <v>179489.58639230981</v>
          </cell>
          <cell r="AA166">
            <v>84.350633931281777</v>
          </cell>
          <cell r="AD166">
            <v>54.805690826727066</v>
          </cell>
        </row>
        <row r="167">
          <cell r="A167">
            <v>46358</v>
          </cell>
          <cell r="B167">
            <v>84.350633931281777</v>
          </cell>
          <cell r="C167" t="str">
            <v/>
          </cell>
          <cell r="D167">
            <v>179489.58639230981</v>
          </cell>
          <cell r="E167">
            <v>3479.2719999999999</v>
          </cell>
          <cell r="F167">
            <v>0</v>
          </cell>
          <cell r="G167">
            <v>638.95957244714737</v>
          </cell>
          <cell r="H167">
            <v>300</v>
          </cell>
          <cell r="I167">
            <v>4418.2315724471473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2175.4802785971033</v>
          </cell>
          <cell r="O167">
            <v>414.2054843100442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3000.8467629071474</v>
          </cell>
          <cell r="Y167">
            <v>122.46204754425598</v>
          </cell>
          <cell r="Z167">
            <v>179612.04843985406</v>
          </cell>
          <cell r="AA167">
            <v>84.37773383887685</v>
          </cell>
          <cell r="AD167">
            <v>98.507134767836916</v>
          </cell>
        </row>
        <row r="168">
          <cell r="A168">
            <v>46359</v>
          </cell>
          <cell r="B168">
            <v>84.37773383887685</v>
          </cell>
          <cell r="C168" t="str">
            <v/>
          </cell>
          <cell r="D168">
            <v>179612.04843985406</v>
          </cell>
          <cell r="E168">
            <v>1036.222</v>
          </cell>
          <cell r="F168">
            <v>0</v>
          </cell>
          <cell r="G168">
            <v>671.82268803238389</v>
          </cell>
          <cell r="H168">
            <v>300</v>
          </cell>
          <cell r="I168">
            <v>2008.0446880323839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2177.2097403130692</v>
          </cell>
          <cell r="O168">
            <v>283.84701499899592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2872.217755312065</v>
          </cell>
          <cell r="Y168">
            <v>-74.664553012964447</v>
          </cell>
          <cell r="Z168">
            <v>179537.3838868411</v>
          </cell>
          <cell r="AA168">
            <v>84.361212245586273</v>
          </cell>
          <cell r="AD168">
            <v>29.338108720271801</v>
          </cell>
        </row>
        <row r="169">
          <cell r="A169">
            <v>46360</v>
          </cell>
          <cell r="B169">
            <v>84.361212245586273</v>
          </cell>
          <cell r="C169" t="str">
            <v/>
          </cell>
          <cell r="D169">
            <v>179537.3838868411</v>
          </cell>
          <cell r="E169">
            <v>746.94100000000003</v>
          </cell>
          <cell r="F169">
            <v>0</v>
          </cell>
          <cell r="G169">
            <v>806.62155362102487</v>
          </cell>
          <cell r="H169">
            <v>300</v>
          </cell>
          <cell r="I169">
            <v>1853.5625536210248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2176.1553653864185</v>
          </cell>
          <cell r="O169">
            <v>412.91801462489991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3000.2343800113185</v>
          </cell>
          <cell r="Y169">
            <v>-99.072445800121386</v>
          </cell>
          <cell r="Z169">
            <v>179438.31144104098</v>
          </cell>
          <cell r="AA169">
            <v>84.33928444047632</v>
          </cell>
          <cell r="AD169">
            <v>21.147819932049831</v>
          </cell>
        </row>
        <row r="170">
          <cell r="A170">
            <v>46361</v>
          </cell>
          <cell r="B170">
            <v>84.33928444047632</v>
          </cell>
          <cell r="C170" t="str">
            <v/>
          </cell>
          <cell r="D170">
            <v>179438.31144104101</v>
          </cell>
          <cell r="E170">
            <v>1038.8900000000001</v>
          </cell>
          <cell r="F170">
            <v>0</v>
          </cell>
          <cell r="G170">
            <v>737.25815196150324</v>
          </cell>
          <cell r="H170">
            <v>300</v>
          </cell>
          <cell r="I170">
            <v>2076.1481519615036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2174.7559768711699</v>
          </cell>
          <cell r="O170">
            <v>351.64916641737642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2937.5661432885463</v>
          </cell>
          <cell r="Y170">
            <v>-74.426514450656484</v>
          </cell>
          <cell r="Z170">
            <v>179363.88492659034</v>
          </cell>
          <cell r="AA170">
            <v>84.322807571715785</v>
          </cell>
          <cell r="AD170">
            <v>29.413646659116651</v>
          </cell>
        </row>
        <row r="171">
          <cell r="A171">
            <v>46362</v>
          </cell>
          <cell r="B171">
            <v>84.322807571715785</v>
          </cell>
          <cell r="C171" t="str">
            <v/>
          </cell>
          <cell r="D171">
            <v>179363.88492659037</v>
          </cell>
          <cell r="E171">
            <v>681.35799999999995</v>
          </cell>
          <cell r="F171">
            <v>0</v>
          </cell>
          <cell r="G171">
            <v>578.38938097071866</v>
          </cell>
          <cell r="H171">
            <v>300</v>
          </cell>
          <cell r="I171">
            <v>1559.7473809707185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2173.7044561742687</v>
          </cell>
          <cell r="O171">
            <v>658.44442832275445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3243.3098844970232</v>
          </cell>
          <cell r="Y171">
            <v>-145.45980030467271</v>
          </cell>
          <cell r="Z171">
            <v>179218.4251262857</v>
          </cell>
          <cell r="AA171">
            <v>84.290595193196751</v>
          </cell>
          <cell r="AD171">
            <v>19.290996602491504</v>
          </cell>
        </row>
        <row r="172">
          <cell r="A172">
            <v>46363</v>
          </cell>
          <cell r="B172">
            <v>84.290595193196751</v>
          </cell>
          <cell r="C172" t="str">
            <v/>
          </cell>
          <cell r="D172">
            <v>179218.42512628564</v>
          </cell>
          <cell r="E172">
            <v>1991.355</v>
          </cell>
          <cell r="F172">
            <v>0</v>
          </cell>
          <cell r="G172">
            <v>429.62962588122184</v>
          </cell>
          <cell r="H172">
            <v>300</v>
          </cell>
          <cell r="I172">
            <v>2720.9846258812217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2171.6487268241435</v>
          </cell>
          <cell r="O172">
            <v>359.62968949578743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2942.4394163199308</v>
          </cell>
          <cell r="Y172">
            <v>-19.133693893904464</v>
          </cell>
          <cell r="Z172">
            <v>179199.29143239174</v>
          </cell>
          <cell r="AA172">
            <v>84.286357026080481</v>
          </cell>
          <cell r="AD172">
            <v>56.380379388448468</v>
          </cell>
        </row>
        <row r="173">
          <cell r="A173">
            <v>46364</v>
          </cell>
          <cell r="B173">
            <v>84.286357026080481</v>
          </cell>
          <cell r="C173" t="str">
            <v/>
          </cell>
          <cell r="D173">
            <v>179199.29143239174</v>
          </cell>
          <cell r="E173">
            <v>2034.259</v>
          </cell>
          <cell r="F173">
            <v>0</v>
          </cell>
          <cell r="G173">
            <v>420.13616171970352</v>
          </cell>
          <cell r="H173">
            <v>300</v>
          </cell>
          <cell r="I173">
            <v>2754.3951617197035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2171.3782555043526</v>
          </cell>
          <cell r="O173">
            <v>504.22748514119468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3086.7667406455475</v>
          </cell>
          <cell r="Y173">
            <v>-28.716904419192922</v>
          </cell>
          <cell r="Z173">
            <v>179170.57452797255</v>
          </cell>
          <cell r="AA173">
            <v>84.279995727192343</v>
          </cell>
          <cell r="AD173">
            <v>57.595101925254816</v>
          </cell>
        </row>
        <row r="174">
          <cell r="A174">
            <v>46365</v>
          </cell>
          <cell r="B174">
            <v>84.279995727192343</v>
          </cell>
          <cell r="C174" t="str">
            <v/>
          </cell>
          <cell r="D174">
            <v>179170.57452797249</v>
          </cell>
          <cell r="E174">
            <v>874.42499999999995</v>
          </cell>
          <cell r="F174">
            <v>0</v>
          </cell>
          <cell r="G174">
            <v>789.08857815287615</v>
          </cell>
          <cell r="H174">
            <v>300</v>
          </cell>
          <cell r="I174">
            <v>1963.5135781528761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2170.9722901757896</v>
          </cell>
          <cell r="O174">
            <v>419.34579444272896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3001.4790846185188</v>
          </cell>
          <cell r="Y174">
            <v>-89.680219758631523</v>
          </cell>
          <cell r="Z174">
            <v>179080.89430821387</v>
          </cell>
          <cell r="AA174">
            <v>84.260126708128482</v>
          </cell>
          <cell r="AD174">
            <v>24.757219705549261</v>
          </cell>
        </row>
        <row r="175">
          <cell r="A175">
            <v>46366</v>
          </cell>
          <cell r="B175">
            <v>84.260126708128482</v>
          </cell>
          <cell r="C175" t="str">
            <v/>
          </cell>
          <cell r="D175">
            <v>179080.89430821387</v>
          </cell>
          <cell r="E175">
            <v>662.76599999999996</v>
          </cell>
          <cell r="F175">
            <v>0</v>
          </cell>
          <cell r="G175">
            <v>617.35495092595556</v>
          </cell>
          <cell r="H175">
            <v>300</v>
          </cell>
          <cell r="I175">
            <v>1580.1209509259556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2169.7042892542295</v>
          </cell>
          <cell r="O175">
            <v>201.44543691381168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2782.3107261680411</v>
          </cell>
          <cell r="Y175">
            <v>-103.8691965809162</v>
          </cell>
          <cell r="Z175">
            <v>178977.02511163295</v>
          </cell>
          <cell r="AA175">
            <v>84.237107859156467</v>
          </cell>
          <cell r="AD175">
            <v>18.764609286523214</v>
          </cell>
        </row>
        <row r="176">
          <cell r="A176">
            <v>46367</v>
          </cell>
          <cell r="B176">
            <v>84.237107859156467</v>
          </cell>
          <cell r="C176" t="str">
            <v/>
          </cell>
          <cell r="D176">
            <v>178977.025111633</v>
          </cell>
          <cell r="E176">
            <v>678.49699999999996</v>
          </cell>
          <cell r="F176">
            <v>0</v>
          </cell>
          <cell r="G176">
            <v>465.03297373284693</v>
          </cell>
          <cell r="H176">
            <v>300</v>
          </cell>
          <cell r="I176">
            <v>1443.5299737328469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2168.2352725093187</v>
          </cell>
          <cell r="O176">
            <v>286.07824058876878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2865.4745130980878</v>
          </cell>
          <cell r="Y176">
            <v>-122.85600820115681</v>
          </cell>
          <cell r="Z176">
            <v>178854.16910343184</v>
          </cell>
          <cell r="AA176">
            <v>84.209872666799441</v>
          </cell>
          <cell r="AD176">
            <v>19.209994337485842</v>
          </cell>
        </row>
        <row r="177">
          <cell r="A177">
            <v>46368</v>
          </cell>
          <cell r="B177">
            <v>84.209872666799441</v>
          </cell>
          <cell r="C177" t="str">
            <v/>
          </cell>
          <cell r="D177">
            <v>178854.16910343184</v>
          </cell>
          <cell r="E177">
            <v>995.41399999999999</v>
          </cell>
          <cell r="F177">
            <v>0</v>
          </cell>
          <cell r="G177">
            <v>343.81723923769715</v>
          </cell>
          <cell r="H177">
            <v>300</v>
          </cell>
          <cell r="I177">
            <v>1639.2312392376971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2166.4971771913479</v>
          </cell>
          <cell r="O177">
            <v>405.3573506457293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2983.0155278370771</v>
          </cell>
          <cell r="Y177">
            <v>-116.10296253498643</v>
          </cell>
          <cell r="Z177">
            <v>178738.06614089684</v>
          </cell>
          <cell r="AA177">
            <v>84.184125937959479</v>
          </cell>
          <cell r="AD177">
            <v>28.182729331823328</v>
          </cell>
        </row>
        <row r="178">
          <cell r="A178">
            <v>46369</v>
          </cell>
          <cell r="B178">
            <v>84.184125937959479</v>
          </cell>
          <cell r="C178" t="str">
            <v/>
          </cell>
          <cell r="D178">
            <v>178738.06614089679</v>
          </cell>
          <cell r="E178">
            <v>944.90700000000004</v>
          </cell>
          <cell r="F178">
            <v>0</v>
          </cell>
          <cell r="G178">
            <v>363.17090556495691</v>
          </cell>
          <cell r="H178">
            <v>300</v>
          </cell>
          <cell r="I178">
            <v>1608.0779055649568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2164.8540726278416</v>
          </cell>
          <cell r="O178">
            <v>216.02319708544886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2792.0382697132904</v>
          </cell>
          <cell r="Y178">
            <v>-102.29417546241604</v>
          </cell>
          <cell r="Z178">
            <v>178635.77196543437</v>
          </cell>
          <cell r="AA178">
            <v>84.161434500614661</v>
          </cell>
          <cell r="AD178">
            <v>26.752746319365798</v>
          </cell>
        </row>
        <row r="179">
          <cell r="A179">
            <v>46370</v>
          </cell>
          <cell r="B179">
            <v>84.161434500614661</v>
          </cell>
          <cell r="C179" t="str">
            <v/>
          </cell>
          <cell r="D179">
            <v>178635.77196543431</v>
          </cell>
          <cell r="E179">
            <v>754.10599999999999</v>
          </cell>
          <cell r="F179">
            <v>0</v>
          </cell>
          <cell r="G179">
            <v>316.17013154269011</v>
          </cell>
          <cell r="H179">
            <v>300</v>
          </cell>
          <cell r="I179">
            <v>1370.2761315426901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2163.4059506358963</v>
          </cell>
          <cell r="O179">
            <v>655.71749963218349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3230.28445026808</v>
          </cell>
          <cell r="Y179">
            <v>-160.70471873787369</v>
          </cell>
          <cell r="Z179">
            <v>178475.06724669645</v>
          </cell>
          <cell r="AA179">
            <v>84.125773032813242</v>
          </cell>
          <cell r="AD179">
            <v>21.350679501698753</v>
          </cell>
        </row>
        <row r="180">
          <cell r="A180">
            <v>46371</v>
          </cell>
          <cell r="B180">
            <v>84.125773032813242</v>
          </cell>
          <cell r="C180" t="str">
            <v/>
          </cell>
          <cell r="D180">
            <v>178475.06724669645</v>
          </cell>
          <cell r="E180">
            <v>2291.7379999999998</v>
          </cell>
          <cell r="F180">
            <v>0</v>
          </cell>
          <cell r="G180">
            <v>244.55847656369136</v>
          </cell>
          <cell r="H180">
            <v>300</v>
          </cell>
          <cell r="I180">
            <v>2836.2964765636912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2161.13010732974</v>
          </cell>
          <cell r="O180">
            <v>539.02127224634921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3111.3123795760894</v>
          </cell>
          <cell r="Y180">
            <v>-23.761374020271205</v>
          </cell>
          <cell r="Z180">
            <v>178451.30587267617</v>
          </cell>
          <cell r="AA180">
            <v>84.120498863680908</v>
          </cell>
          <cell r="AD180">
            <v>64.884994337485836</v>
          </cell>
        </row>
        <row r="181">
          <cell r="A181">
            <v>46372</v>
          </cell>
          <cell r="B181">
            <v>84.120498863680908</v>
          </cell>
          <cell r="C181" t="str">
            <v/>
          </cell>
          <cell r="D181">
            <v>178451.30587267608</v>
          </cell>
          <cell r="E181">
            <v>1522.922</v>
          </cell>
          <cell r="F181">
            <v>0</v>
          </cell>
          <cell r="G181">
            <v>195.00098156636693</v>
          </cell>
          <cell r="H181">
            <v>300</v>
          </cell>
          <cell r="I181">
            <v>2017.9229815663671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2160.7935204404339</v>
          </cell>
          <cell r="O181">
            <v>367.64054308689066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2939.5950635273248</v>
          </cell>
          <cell r="Y181">
            <v>-79.632467881426749</v>
          </cell>
          <cell r="Z181">
            <v>178371.67340479465</v>
          </cell>
          <cell r="AA181">
            <v>84.102820769605017</v>
          </cell>
          <cell r="AD181">
            <v>43.1178369195923</v>
          </cell>
        </row>
        <row r="182">
          <cell r="A182">
            <v>46373</v>
          </cell>
          <cell r="B182">
            <v>84.102820769605017</v>
          </cell>
          <cell r="C182" t="str">
            <v/>
          </cell>
          <cell r="D182">
            <v>178371.67340479468</v>
          </cell>
          <cell r="E182">
            <v>1360.18</v>
          </cell>
          <cell r="F182">
            <v>0</v>
          </cell>
          <cell r="G182">
            <v>574.8888204593984</v>
          </cell>
          <cell r="H182">
            <v>300</v>
          </cell>
          <cell r="I182">
            <v>2235.0688204593985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2159.6653399546431</v>
          </cell>
          <cell r="O182">
            <v>279.53215637132109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2850.3584963259641</v>
          </cell>
          <cell r="Y182">
            <v>-53.161027994871276</v>
          </cell>
          <cell r="Z182">
            <v>178318.5123767998</v>
          </cell>
          <cell r="AA182">
            <v>84.091017039573387</v>
          </cell>
          <cell r="AD182">
            <v>38.510192525481315</v>
          </cell>
        </row>
        <row r="183">
          <cell r="A183">
            <v>46374</v>
          </cell>
          <cell r="B183">
            <v>84.091017039573387</v>
          </cell>
          <cell r="C183" t="str">
            <v/>
          </cell>
          <cell r="D183">
            <v>178318.5123767998</v>
          </cell>
          <cell r="E183">
            <v>1172.1849999999999</v>
          </cell>
          <cell r="F183">
            <v>0</v>
          </cell>
          <cell r="G183">
            <v>508.05050135425518</v>
          </cell>
          <cell r="H183">
            <v>300</v>
          </cell>
          <cell r="I183">
            <v>1980.2355013542551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2158.9120495929074</v>
          </cell>
          <cell r="O183">
            <v>515.59959084532795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3085.6726404382352</v>
          </cell>
          <cell r="Y183">
            <v>-95.509768816855882</v>
          </cell>
          <cell r="Z183">
            <v>178223.00260798295</v>
          </cell>
          <cell r="AA183">
            <v>84.06980589989557</v>
          </cell>
          <cell r="AD183">
            <v>33.187570781426949</v>
          </cell>
        </row>
        <row r="184">
          <cell r="A184">
            <v>46375</v>
          </cell>
          <cell r="B184">
            <v>84.06980589989557</v>
          </cell>
          <cell r="C184" t="str">
            <v/>
          </cell>
          <cell r="D184">
            <v>178223.00260798298</v>
          </cell>
          <cell r="E184">
            <v>2017.664</v>
          </cell>
          <cell r="F184">
            <v>0</v>
          </cell>
          <cell r="G184">
            <v>404.47050243476286</v>
          </cell>
          <cell r="H184">
            <v>300</v>
          </cell>
          <cell r="I184">
            <v>2722.1345024347629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2157.5583972272643</v>
          </cell>
          <cell r="O184">
            <v>280.75233441444152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2849.4717316417059</v>
          </cell>
          <cell r="Y184">
            <v>-11.001936603479873</v>
          </cell>
          <cell r="Z184">
            <v>178212.0006713795</v>
          </cell>
          <cell r="AA184">
            <v>84.06736218763541</v>
          </cell>
          <cell r="AD184">
            <v>57.125254813137033</v>
          </cell>
        </row>
        <row r="185">
          <cell r="A185">
            <v>46376</v>
          </cell>
          <cell r="B185">
            <v>84.06736218763541</v>
          </cell>
          <cell r="C185" t="str">
            <v/>
          </cell>
          <cell r="D185">
            <v>178212.0006713795</v>
          </cell>
          <cell r="E185">
            <v>1432.925</v>
          </cell>
          <cell r="F185">
            <v>0</v>
          </cell>
          <cell r="G185">
            <v>509.73000017795044</v>
          </cell>
          <cell r="H185">
            <v>300</v>
          </cell>
          <cell r="I185">
            <v>2242.6550001779506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2157.4024444151019</v>
          </cell>
          <cell r="O185">
            <v>316.56001460233131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2885.1234590174331</v>
          </cell>
          <cell r="Y185">
            <v>-55.509274843731291</v>
          </cell>
          <cell r="Z185">
            <v>178156.49139653577</v>
          </cell>
          <cell r="AA185">
            <v>84.055031510935095</v>
          </cell>
          <cell r="AD185">
            <v>40.569790486976217</v>
          </cell>
        </row>
        <row r="186">
          <cell r="A186">
            <v>46377</v>
          </cell>
          <cell r="B186">
            <v>84.055031510935095</v>
          </cell>
          <cell r="C186" t="str">
            <v/>
          </cell>
          <cell r="D186">
            <v>178156.4913965358</v>
          </cell>
          <cell r="E186">
            <v>1026.1500000000001</v>
          </cell>
          <cell r="F186">
            <v>0</v>
          </cell>
          <cell r="G186">
            <v>514.77947069265042</v>
          </cell>
          <cell r="H186">
            <v>300</v>
          </cell>
          <cell r="I186">
            <v>1840.9294706926505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2156.6155253744992</v>
          </cell>
          <cell r="O186">
            <v>231.17460658772333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2798.9511319622225</v>
          </cell>
          <cell r="Y186">
            <v>-82.773071533691024</v>
          </cell>
          <cell r="Z186">
            <v>178073.71832500212</v>
          </cell>
          <cell r="AA186">
            <v>84.036640969992419</v>
          </cell>
          <cell r="AD186">
            <v>29.052944507361271</v>
          </cell>
        </row>
        <row r="187">
          <cell r="A187">
            <v>46378</v>
          </cell>
          <cell r="B187">
            <v>84.036640969992419</v>
          </cell>
          <cell r="C187" t="str">
            <v/>
          </cell>
          <cell r="D187">
            <v>178073.71832500212</v>
          </cell>
          <cell r="E187">
            <v>1005.811</v>
          </cell>
          <cell r="F187">
            <v>0</v>
          </cell>
          <cell r="G187">
            <v>471.56891065748835</v>
          </cell>
          <cell r="H187">
            <v>300</v>
          </cell>
          <cell r="I187">
            <v>1777.3799106574884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2155.441877959478</v>
          </cell>
          <cell r="O187">
            <v>476.61148202474106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3043.2143599842193</v>
          </cell>
          <cell r="Y187">
            <v>-109.36809642182955</v>
          </cell>
          <cell r="Z187">
            <v>177964.3502285803</v>
          </cell>
          <cell r="AA187">
            <v>84.01233499978494</v>
          </cell>
          <cell r="AD187">
            <v>28.477095130237828</v>
          </cell>
        </row>
        <row r="188">
          <cell r="A188">
            <v>46379</v>
          </cell>
          <cell r="B188">
            <v>84.01233499978494</v>
          </cell>
          <cell r="C188" t="str">
            <v/>
          </cell>
          <cell r="D188">
            <v>177964.3502285803</v>
          </cell>
          <cell r="E188">
            <v>899.03300000000002</v>
          </cell>
          <cell r="F188">
            <v>0</v>
          </cell>
          <cell r="G188">
            <v>402.91479492390971</v>
          </cell>
          <cell r="H188">
            <v>300</v>
          </cell>
          <cell r="I188">
            <v>1601.9477949239099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2153.8907197204408</v>
          </cell>
          <cell r="O188">
            <v>547.07030591723912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3112.1220256376801</v>
          </cell>
          <cell r="Y188">
            <v>-130.47905353366974</v>
          </cell>
          <cell r="Z188">
            <v>177833.87117504663</v>
          </cell>
          <cell r="AA188">
            <v>83.983327580823655</v>
          </cell>
          <cell r="AD188">
            <v>25.453935447338619</v>
          </cell>
        </row>
        <row r="189">
          <cell r="A189">
            <v>46380</v>
          </cell>
          <cell r="B189">
            <v>83.983327580823655</v>
          </cell>
          <cell r="C189" t="str">
            <v/>
          </cell>
          <cell r="D189">
            <v>177833.8711750466</v>
          </cell>
          <cell r="E189">
            <v>883.27</v>
          </cell>
          <cell r="F189">
            <v>0</v>
          </cell>
          <cell r="G189">
            <v>340.87101871568836</v>
          </cell>
          <cell r="H189">
            <v>300</v>
          </cell>
          <cell r="I189">
            <v>1524.1410187156885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2152.0395244572637</v>
          </cell>
          <cell r="O189">
            <v>529.04477498551807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3092.2452994427817</v>
          </cell>
          <cell r="Y189">
            <v>-135.48420985482085</v>
          </cell>
          <cell r="Z189">
            <v>177698.38696519178</v>
          </cell>
          <cell r="AA189">
            <v>83.953196204959269</v>
          </cell>
          <cell r="AD189">
            <v>25.007644394110983</v>
          </cell>
        </row>
        <row r="190">
          <cell r="A190">
            <v>46381</v>
          </cell>
          <cell r="B190">
            <v>83.953196204959269</v>
          </cell>
          <cell r="C190" t="str">
            <v/>
          </cell>
          <cell r="D190">
            <v>177698.38696519172</v>
          </cell>
          <cell r="E190">
            <v>824.79600000000005</v>
          </cell>
          <cell r="F190">
            <v>0</v>
          </cell>
          <cell r="G190">
            <v>285.1320414578542</v>
          </cell>
          <cell r="H190">
            <v>300</v>
          </cell>
          <cell r="I190">
            <v>1409.9280414578543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2150.1166005201981</v>
          </cell>
          <cell r="O190">
            <v>652.89220113694796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3214.1698016571463</v>
          </cell>
          <cell r="Y190">
            <v>-155.88648808121883</v>
          </cell>
          <cell r="Z190">
            <v>177542.5004771105</v>
          </cell>
          <cell r="AA190">
            <v>83.918513228666029</v>
          </cell>
          <cell r="AD190">
            <v>23.352095130237828</v>
          </cell>
        </row>
        <row r="191">
          <cell r="A191">
            <v>46382</v>
          </cell>
          <cell r="B191">
            <v>83.918513228666029</v>
          </cell>
          <cell r="C191" t="str">
            <v/>
          </cell>
          <cell r="D191">
            <v>177542.5004771105</v>
          </cell>
          <cell r="E191">
            <v>678.65599999999995</v>
          </cell>
          <cell r="F191">
            <v>0</v>
          </cell>
          <cell r="G191">
            <v>231.49925718141105</v>
          </cell>
          <cell r="H191">
            <v>300</v>
          </cell>
          <cell r="I191">
            <v>1210.1552571814109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2147.9032025783608</v>
          </cell>
          <cell r="O191">
            <v>189.77696607062188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2748.8411686489826</v>
          </cell>
          <cell r="Y191">
            <v>-132.9424627507982</v>
          </cell>
          <cell r="Z191">
            <v>177409.5580143597</v>
          </cell>
          <cell r="AA191">
            <v>83.888923035486883</v>
          </cell>
          <cell r="AD191">
            <v>19.214496036240089</v>
          </cell>
        </row>
        <row r="192">
          <cell r="A192">
            <v>46383</v>
          </cell>
          <cell r="B192">
            <v>83.888923035486883</v>
          </cell>
          <cell r="C192" t="str">
            <v/>
          </cell>
          <cell r="D192">
            <v>177409.5580143597</v>
          </cell>
          <cell r="E192">
            <v>756.971</v>
          </cell>
          <cell r="F192">
            <v>0</v>
          </cell>
          <cell r="G192">
            <v>151.56021587416086</v>
          </cell>
          <cell r="H192">
            <v>300</v>
          </cell>
          <cell r="I192">
            <v>1208.5312158741608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2146.014815834169</v>
          </cell>
          <cell r="O192">
            <v>409.66559554534518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2966.8414113795143</v>
          </cell>
          <cell r="Y192">
            <v>-151.91800089166253</v>
          </cell>
          <cell r="Z192">
            <v>177257.64001346804</v>
          </cell>
          <cell r="AA192">
            <v>83.855095743156085</v>
          </cell>
          <cell r="AD192">
            <v>21.431795016987543</v>
          </cell>
        </row>
        <row r="193">
          <cell r="A193">
            <v>46384</v>
          </cell>
          <cell r="B193">
            <v>83.855095743156085</v>
          </cell>
          <cell r="C193" t="str">
            <v/>
          </cell>
          <cell r="D193">
            <v>177257.64001346804</v>
          </cell>
          <cell r="E193">
            <v>1255.607</v>
          </cell>
          <cell r="F193">
            <v>0</v>
          </cell>
          <cell r="G193">
            <v>166.40803655093663</v>
          </cell>
          <cell r="H193">
            <v>300</v>
          </cell>
          <cell r="I193">
            <v>1722.0150365509367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2143.8560259255446</v>
          </cell>
          <cell r="O193">
            <v>231.17939460629708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2786.1964205318418</v>
          </cell>
          <cell r="Y193">
            <v>-91.945271575950201</v>
          </cell>
          <cell r="Z193">
            <v>177165.6947418921</v>
          </cell>
          <cell r="AA193">
            <v>83.83461543954057</v>
          </cell>
          <cell r="AD193">
            <v>35.549462061155154</v>
          </cell>
        </row>
        <row r="194">
          <cell r="A194">
            <v>46385</v>
          </cell>
          <cell r="B194">
            <v>83.83461543954057</v>
          </cell>
          <cell r="C194" t="str">
            <v/>
          </cell>
          <cell r="D194">
            <v>177165.69474189213</v>
          </cell>
          <cell r="E194">
            <v>1107.9000000000001</v>
          </cell>
          <cell r="F194">
            <v>0</v>
          </cell>
          <cell r="G194">
            <v>349.73480263720165</v>
          </cell>
          <cell r="H194">
            <v>300</v>
          </cell>
          <cell r="I194">
            <v>1757.6348026372018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2142.5490140506836</v>
          </cell>
          <cell r="O194">
            <v>345.62178989293449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2899.3318039436181</v>
          </cell>
          <cell r="Y194">
            <v>-98.642620912874364</v>
          </cell>
          <cell r="Z194">
            <v>177067.05212097926</v>
          </cell>
          <cell r="AA194">
            <v>83.812637442420964</v>
          </cell>
          <cell r="AD194">
            <v>31.367497168742926</v>
          </cell>
        </row>
        <row r="195">
          <cell r="A195">
            <v>46386</v>
          </cell>
          <cell r="B195">
            <v>83.812637442420964</v>
          </cell>
          <cell r="C195" t="str">
            <v/>
          </cell>
          <cell r="D195">
            <v>177067.05212097932</v>
          </cell>
          <cell r="E195">
            <v>1832.559</v>
          </cell>
          <cell r="F195">
            <v>0</v>
          </cell>
          <cell r="G195">
            <v>297.70092958526288</v>
          </cell>
          <cell r="H195">
            <v>300</v>
          </cell>
          <cell r="I195">
            <v>2430.2599295852629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2141.1464223821099</v>
          </cell>
          <cell r="O195">
            <v>268.479893961502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2820.787316343612</v>
          </cell>
          <cell r="Y195">
            <v>-33.741566215921367</v>
          </cell>
          <cell r="Z195">
            <v>177033.31055476339</v>
          </cell>
          <cell r="AA195">
            <v>83.805118275695818</v>
          </cell>
          <cell r="AD195">
            <v>51.884456398640992</v>
          </cell>
        </row>
        <row r="196">
          <cell r="A196">
            <v>46387</v>
          </cell>
          <cell r="B196">
            <v>83.805118275695818</v>
          </cell>
          <cell r="C196" t="str">
            <v/>
          </cell>
          <cell r="D196">
            <v>177033.31055476336</v>
          </cell>
          <cell r="E196">
            <v>685.59500000000003</v>
          </cell>
          <cell r="F196">
            <v>0</v>
          </cell>
          <cell r="G196">
            <v>225.05930860400531</v>
          </cell>
          <cell r="H196">
            <v>0</v>
          </cell>
          <cell r="I196">
            <v>910.65430860400534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2140.666564251912</v>
          </cell>
          <cell r="O196">
            <v>432.86751646949818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2984.6950807214102</v>
          </cell>
          <cell r="Y196">
            <v>-179.1971227109438</v>
          </cell>
          <cell r="Z196">
            <v>176854.11343205243</v>
          </cell>
          <cell r="AA196">
            <v>83.765172962805792</v>
          </cell>
          <cell r="AD196">
            <v>19.410956964892414</v>
          </cell>
        </row>
        <row r="197">
          <cell r="A197">
            <v>46388</v>
          </cell>
          <cell r="B197">
            <v>83.765172962805792</v>
          </cell>
          <cell r="C197" t="str">
            <v/>
          </cell>
          <cell r="D197">
            <v>176854.11343205243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2138.1173345494408</v>
          </cell>
          <cell r="O197">
            <v>353.46031219523206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2902.7386467446731</v>
          </cell>
          <cell r="Y197">
            <v>-203.29528147873975</v>
          </cell>
          <cell r="Z197">
            <v>176650.8181505737</v>
          </cell>
          <cell r="AA197">
            <v>83.719831413521362</v>
          </cell>
          <cell r="AD197">
            <v>15.565798414496037</v>
          </cell>
        </row>
        <row r="198">
          <cell r="A198">
            <v>46389</v>
          </cell>
          <cell r="B198">
            <v>83.719831413521362</v>
          </cell>
          <cell r="C198" t="str">
            <v/>
          </cell>
          <cell r="D198">
            <v>176650.8181505737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2135.2237278699758</v>
          </cell>
          <cell r="O198">
            <v>394.45956222059067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2940.8442900905666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0E04-4B6A-40FC-A948-9C9520AEA927}">
  <sheetPr>
    <tabColor rgb="FF0B3041"/>
  </sheetPr>
  <dimension ref="A2:AP613"/>
  <sheetViews>
    <sheetView tabSelected="1" topLeftCell="B88" zoomScaleNormal="100" workbookViewId="0">
      <selection activeCell="D106" sqref="D106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37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46241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14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46255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8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46263</v>
      </c>
      <c r="AG17" s="34">
        <f>IFERROR(INDEX($V$14:$V$197,MATCH(ROWS($AF$14:AF17),$Y$14:$Y$197,0)),"")</f>
        <v>49</v>
      </c>
      <c r="AH17" s="34">
        <f>IFERROR(INDEX($X$14:$X$197,MATCH(ROWS($AF$14:AF17)+1,$Y$14:$Y$197,0))-AF17,"")</f>
        <v>21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46284</v>
      </c>
      <c r="AG18" s="34">
        <f>IFERROR(INDEX($V$14:$V$197,MATCH(ROWS($AF$14:AF18),$Y$14:$Y$197,0)),"")</f>
        <v>49.5</v>
      </c>
      <c r="AH18" s="34">
        <f>IFERROR(INDEX($X$14:$X$197,MATCH(ROWS($AF$14:AF18)+1,$Y$14:$Y$197,0))-AF18,"")</f>
        <v>11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46295</v>
      </c>
      <c r="AG19" s="34">
        <f>IFERROR(INDEX($V$14:$V$197,MATCH(ROWS($AF$14:AF19),$Y$14:$Y$197,0)),"")</f>
        <v>50</v>
      </c>
      <c r="AH19" s="34">
        <f>IFERROR(INDEX($X$14:$X$197,MATCH(ROWS($AF$14:AF19)+1,$Y$14:$Y$197,0))-AF19,"")</f>
        <v>11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46306</v>
      </c>
      <c r="AG20" s="34">
        <f>IFERROR(INDEX($V$14:$V$197,MATCH(ROWS($AF$14:AF20),$Y$14:$Y$197,0)),"")</f>
        <v>49.5</v>
      </c>
      <c r="AH20" s="34">
        <f>IFERROR(INDEX($X$14:$X$197,MATCH(ROWS($AF$14:AF20)+1,$Y$14:$Y$197,0))-AF20,"")</f>
        <v>36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46342</v>
      </c>
      <c r="AG21" s="34">
        <f>IFERROR(INDEX($V$14:$V$197,MATCH(ROWS($AF$14:AF21),$Y$14:$Y$197,0)),"")</f>
        <v>49</v>
      </c>
      <c r="AH21" s="34">
        <f>IFERROR(INDEX($X$14:$X$197,MATCH(ROWS($AF$14:AF21)+1,$Y$14:$Y$197,0))-AF21,"")</f>
        <v>2</v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>
        <f>IFERROR(INDEX($X$14:$X$197,MATCH(ROWS($AF$14:AF22),$Y$14:$Y$197,0)),"")</f>
        <v>46344</v>
      </c>
      <c r="AG22" s="34">
        <f>IFERROR(INDEX($V$14:$V$197,MATCH(ROWS($AF$14:AF22),$Y$14:$Y$197,0)),"")</f>
        <v>49.5</v>
      </c>
      <c r="AH22" s="34">
        <f>IFERROR(INDEX($X$14:$X$197,MATCH(ROWS($AF$14:AF22)+1,$Y$14:$Y$197,0))-AF22,"")</f>
        <v>8</v>
      </c>
      <c r="AI22" s="35" t="str">
        <f t="shared" si="2"/>
        <v>Cambio Calado</v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>
        <f>IFERROR(INDEX($X$14:$X$197,MATCH(ROWS($AF$14:AF23),$Y$14:$Y$197,0)),"")</f>
        <v>46352</v>
      </c>
      <c r="AG23" s="34">
        <f>IFERROR(INDEX($V$14:$V$197,MATCH(ROWS($AF$14:AF23),$Y$14:$Y$197,0)),"")</f>
        <v>49</v>
      </c>
      <c r="AH23" s="34">
        <f>IFERROR(INDEX($X$14:$X$197,MATCH(ROWS($AF$14:AF23)+1,$Y$14:$Y$197,0))-AF23,"")</f>
        <v>28</v>
      </c>
      <c r="AI23" s="35" t="str">
        <f t="shared" si="2"/>
        <v>Cambio Calado</v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>
        <f>IFERROR(INDEX($X$14:$X$197,MATCH(ROWS($AF$14:AF24),$Y$14:$Y$197,0)),"")</f>
        <v>46380</v>
      </c>
      <c r="AG24" s="34">
        <f>IFERROR(INDEX($V$14:$V$197,MATCH(ROWS($AF$14:AF24),$Y$14:$Y$197,0)),"")</f>
        <v>48.5</v>
      </c>
      <c r="AH24" s="34" t="str">
        <f>IFERROR(INDEX($X$14:$X$197,MATCH(ROWS($AF$14:AF24)+1,$Y$14:$Y$197,0))-AF24,"")</f>
        <v/>
      </c>
      <c r="AI24" s="35" t="str">
        <f t="shared" si="2"/>
        <v>Cambio Calado</v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226.54</v>
      </c>
      <c r="D40" s="25">
        <f>+VLOOKUP(B40,[1]Balance_Gatún!$A$13:$E$5087,2)</f>
        <v>84.864000000000004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7.8739775994003383</v>
      </c>
      <c r="P40" s="24">
        <f>+VLOOKUP(B40,[1]Balance_Madden!$A$12:$V$5087,12)/35.32</f>
        <v>0.85904814395330498</v>
      </c>
      <c r="Q40" s="25">
        <f>+VLOOKUP(B40,[1]Balance_Gatún!$A$13:$AD$5087,15)/35.32</f>
        <v>9.443217661926246</v>
      </c>
      <c r="R40" s="24">
        <f>+VLOOKUP(B40,[1]Balance_Madden!$A$12:$V$5087,14)/35.32</f>
        <v>21.493249729457268</v>
      </c>
      <c r="S40" s="26">
        <f>[1]Balance_Gatún!X39/35.32</f>
        <v>112.19677499134069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226.69</v>
      </c>
      <c r="D41" s="25">
        <f>+VLOOKUP(B41,[1]Balance_Gatún!$A$13:$E$5087,2)</f>
        <v>84.811999999999998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7.2441817549052248</v>
      </c>
      <c r="P41" s="24">
        <f>+VLOOKUP(B41,[1]Balance_Madden!$A$12:$V$5087,12)/35.32</f>
        <v>0.66171920953478203</v>
      </c>
      <c r="Q41" s="25">
        <f>+VLOOKUP(B41,[1]Balance_Gatún!$A$13:$AD$5087,15)/35.32</f>
        <v>7.2535264121404737</v>
      </c>
      <c r="R41" s="24">
        <f>+VLOOKUP(B41,[1]Balance_Madden!$A$12:$V$5087,14)/35.32</f>
        <v>21.295920795038743</v>
      </c>
      <c r="S41" s="26">
        <f>[1]Balance_Gatún!X40/35.32</f>
        <v>102.71949705850982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226.75</v>
      </c>
      <c r="D42" s="25">
        <f>+VLOOKUP(B42,[1]Balance_Gatún!$A$13:$E$5087,2)</f>
        <v>84.747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7.8466332502699387</v>
      </c>
      <c r="P42" s="24">
        <f>+VLOOKUP(B42,[1]Balance_Madden!$A$12:$V$5087,12)/35.32</f>
        <v>1.2007365798434204</v>
      </c>
      <c r="Q42" s="25">
        <f>+VLOOKUP(B42,[1]Balance_Gatún!$A$13:$AD$5087,15)/35.32</f>
        <v>13.139799888590744</v>
      </c>
      <c r="R42" s="24">
        <f>+VLOOKUP(B42,[1]Balance_Madden!$A$12:$V$5087,14)/35.32</f>
        <v>21.834938165347381</v>
      </c>
      <c r="S42" s="26">
        <f>[1]Balance_Gatún!X41/35.32</f>
        <v>115.57694624717863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226.78</v>
      </c>
      <c r="D43" s="25">
        <f>+VLOOKUP(B43,[1]Balance_Gatún!$A$13:$E$5087,2)</f>
        <v>84.715999999999994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7.2237004079063798</v>
      </c>
      <c r="P43" s="24">
        <f>+VLOOKUP(B43,[1]Balance_Madden!$A$12:$V$5087,12)/35.32</f>
        <v>1.0918644625348153</v>
      </c>
      <c r="Q43" s="25">
        <f>+VLOOKUP(B43,[1]Balance_Gatún!$A$13:$AD$5087,15)/35.32</f>
        <v>11.938527402854453</v>
      </c>
      <c r="R43" s="24">
        <f>+VLOOKUP(B43,[1]Balance_Madden!$A$12:$V$5087,14)/35.32</f>
        <v>21.726066048038778</v>
      </c>
      <c r="S43" s="26">
        <f>[1]Balance_Gatún!X42/35.32</f>
        <v>107.16750126217885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226.84</v>
      </c>
      <c r="D44" s="25">
        <f>+VLOOKUP(B44,[1]Balance_Gatún!$A$13:$E$5087,2)</f>
        <v>84.653000000000006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0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7.8246642860113296</v>
      </c>
      <c r="P44" s="24">
        <f>+VLOOKUP(B44,[1]Balance_Madden!$A$12:$V$5087,12)/35.32</f>
        <v>1.6318763953452498</v>
      </c>
      <c r="Q44" s="25">
        <f>+VLOOKUP(B44,[1]Balance_Gatún!$A$13:$AD$5087,15)/35.32</f>
        <v>17.813355751869182</v>
      </c>
      <c r="R44" s="24">
        <f>+VLOOKUP(B44,[1]Balance_Madden!$A$12:$V$5087,14)/35.32</f>
        <v>13.885557029546835</v>
      </c>
      <c r="S44" s="26">
        <f>[1]Balance_Gatún!X43/35.32</f>
        <v>119.99629158688704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226.98</v>
      </c>
      <c r="D45" s="25">
        <f>+VLOOKUP(B45,[1]Balance_Gatún!$A$13:$E$5087,2)</f>
        <v>84.594999999999999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0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6.1500946505673664</v>
      </c>
      <c r="P45" s="24">
        <f>+VLOOKUP(B45,[1]Balance_Madden!$A$12:$V$5087,12)/35.32</f>
        <v>1.5376901139338528</v>
      </c>
      <c r="Q45" s="25">
        <f>+VLOOKUP(B45,[1]Balance_Gatún!$A$13:$AD$5087,15)/35.32</f>
        <v>16.739063207631908</v>
      </c>
      <c r="R45" s="24">
        <f>+VLOOKUP(B45,[1]Balance_Madden!$A$12:$V$5087,14)/35.32</f>
        <v>13.791370748135439</v>
      </c>
      <c r="S45" s="26">
        <f>[1]Balance_Gatún!X44/35.32</f>
        <v>99.544971579287704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</v>
      </c>
      <c r="D46" s="25">
        <f>+VLOOKUP(B46,[1]Balance_Gatún!$A$13:$E$5087,2)</f>
        <v>84.548000000000002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0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6.1413970162542677</v>
      </c>
      <c r="P46" s="24">
        <f>+VLOOKUP(B46,[1]Balance_Madden!$A$12:$V$5087,12)/35.32</f>
        <v>1.5475585494937192</v>
      </c>
      <c r="Q46" s="25">
        <f>+VLOOKUP(B46,[1]Balance_Gatún!$A$13:$AD$5087,15)/35.32</f>
        <v>16.807370815481899</v>
      </c>
      <c r="R46" s="24">
        <f>+VLOOKUP(B46,[1]Balance_Madden!$A$12:$V$5087,14)/35.32</f>
        <v>13.801239183695305</v>
      </c>
      <c r="S46" s="26">
        <f>[1]Balance_Gatún!X45/35.32</f>
        <v>99.512635836521511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227.23</v>
      </c>
      <c r="D47" s="25">
        <f>+VLOOKUP(B47,[1]Balance_Gatún!$A$13:$E$5087,2)</f>
        <v>84.513000000000005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0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6.1349200545317508</v>
      </c>
      <c r="P47" s="24">
        <f>+VLOOKUP(B47,[1]Balance_Madden!$A$12:$V$5087,12)/35.32</f>
        <v>1.4334379703597988</v>
      </c>
      <c r="Q47" s="25">
        <f>+VLOOKUP(B47,[1]Balance_Gatún!$A$13:$AD$5087,15)/35.32</f>
        <v>15.531972697286001</v>
      </c>
      <c r="R47" s="24">
        <f>+VLOOKUP(B47,[1]Balance_Madden!$A$12:$V$5087,14)/35.32</f>
        <v>13.687118604561386</v>
      </c>
      <c r="S47" s="26">
        <f>[1]Balance_Gatún!X46/35.32</f>
        <v>98.162290542334873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227.34</v>
      </c>
      <c r="D48" s="25">
        <f>+VLOOKUP(B48,[1]Balance_Gatún!$A$13:$E$5087,2)</f>
        <v>84.492999999999995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0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6.1312189335474505</v>
      </c>
      <c r="P48" s="24">
        <f>+VLOOKUP(B48,[1]Balance_Madden!$A$12:$V$5087,12)/35.32</f>
        <v>1.351648294771407</v>
      </c>
      <c r="Q48" s="25">
        <f>+VLOOKUP(B48,[1]Balance_Gatún!$A$13:$AD$5087,15)/35.32</f>
        <v>14.618907273184323</v>
      </c>
      <c r="R48" s="24">
        <f>+VLOOKUP(B48,[1]Balance_Madden!$A$12:$V$5087,14)/35.32</f>
        <v>13.605328928972993</v>
      </c>
      <c r="S48" s="26">
        <f>[1]Balance_Gatún!X47/35.32</f>
        <v>97.206398160524159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228.11</v>
      </c>
      <c r="D49" s="25">
        <f>+VLOOKUP(B49,[1]Balance_Gatún!$A$13:$E$5087,2)</f>
        <v>84.507999999999996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0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6.1339947742856733</v>
      </c>
      <c r="P49" s="24">
        <f>+VLOOKUP(B49,[1]Balance_Madden!$A$12:$V$5087,12)/35.32</f>
        <v>1.9248387854772364</v>
      </c>
      <c r="Q49" s="25">
        <f>+VLOOKUP(B49,[1]Balance_Gatún!$A$13:$AD$5087,15)/35.32</f>
        <v>20.594234196796425</v>
      </c>
      <c r="R49" s="24">
        <f>+VLOOKUP(B49,[1]Balance_Madden!$A$12:$V$5087,14)/35.32</f>
        <v>14.178519419678821</v>
      </c>
      <c r="S49" s="26">
        <f>[1]Balance_Gatún!X48/35.32</f>
        <v>103.21384530241802</v>
      </c>
      <c r="T49" s="25">
        <v>2.3679030475897203</v>
      </c>
      <c r="U49" s="25">
        <v>37.379598388711905</v>
      </c>
      <c r="V49" s="29">
        <f>LOOKUP(D49,[1]Parámetros!$A$7:$A$24,[1]Parámetros!$B$7:$B$24)</f>
        <v>49.5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49.5</v>
      </c>
      <c r="AC49" s="32">
        <f>IFERROR($A50-LOOKUP($A50,$Z$14:$Z49),"")</f>
        <v>36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228.67</v>
      </c>
      <c r="D50" s="25">
        <f>+VLOOKUP(B50,[1]Balance_Gatún!$A$13:$E$5087,2)</f>
        <v>84.512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0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6.134734998482533</v>
      </c>
      <c r="P50" s="24">
        <f>+VLOOKUP(B50,[1]Balance_Madden!$A$12:$V$5087,12)/35.32</f>
        <v>1.7658741569845855</v>
      </c>
      <c r="Q50" s="25">
        <f>+VLOOKUP(B50,[1]Balance_Gatún!$A$13:$AD$5087,15)/35.32</f>
        <v>18.744488283003385</v>
      </c>
      <c r="R50" s="24">
        <f>+VLOOKUP(B50,[1]Balance_Madden!$A$12:$V$5087,14)/35.32</f>
        <v>14.019554791186172</v>
      </c>
      <c r="S50" s="26">
        <f>[1]Balance_Gatún!X49/35.32</f>
        <v>101.37266478016679</v>
      </c>
      <c r="T50" s="25">
        <v>40.428391232336431</v>
      </c>
      <c r="U50" s="25">
        <v>25.718645250401529</v>
      </c>
      <c r="V50" s="29">
        <f>LOOKUP(D50,[1]Parámetros!$A$7:$A$24,[1]Parámetros!$B$7:$B$24)</f>
        <v>49.5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49.5</v>
      </c>
      <c r="AC50" s="32">
        <f>IFERROR($A51-LOOKUP($A51,$Z$14:$Z50),"")</f>
        <v>37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228.85</v>
      </c>
      <c r="D51" s="25">
        <f>+VLOOKUP(B51,[1]Balance_Gatún!$A$13:$E$5087,2)</f>
        <v>84.483000000000004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0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6.1293683730553017</v>
      </c>
      <c r="P51" s="24">
        <f>+VLOOKUP(B51,[1]Balance_Madden!$A$12:$V$5087,12)/35.32</f>
        <v>1.4502383321749417</v>
      </c>
      <c r="Q51" s="25">
        <f>+VLOOKUP(B51,[1]Balance_Gatún!$A$13:$AD$5087,15)/35.32</f>
        <v>15.349137648807657</v>
      </c>
      <c r="R51" s="24">
        <f>+VLOOKUP(B51,[1]Balance_Madden!$A$12:$V$5087,14)/35.32</f>
        <v>13.703918966376527</v>
      </c>
      <c r="S51" s="26">
        <f>[1]Balance_Gatún!X50/35.32</f>
        <v>97.915215057292983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>Cambio Calado</v>
      </c>
      <c r="X51" s="31">
        <f t="shared" si="3"/>
        <v>46241</v>
      </c>
      <c r="Y51" s="30">
        <f>IF($W51="Cambio Calado",COUNTIF($W$14:W51,"Cambio Calado"),"")</f>
        <v>2</v>
      </c>
      <c r="Z51" s="31">
        <f t="shared" si="4"/>
        <v>46241</v>
      </c>
      <c r="AA51" s="30">
        <f t="shared" si="5"/>
        <v>49</v>
      </c>
      <c r="AB51" s="29">
        <f>IFERROR(LOOKUP($A51,$Z$14:$Z51,$AA$14:$AA51),$U51)</f>
        <v>49</v>
      </c>
      <c r="AC51" s="32">
        <f>IFERROR($A52-LOOKUP($A52,$Z$14:$Z51),"")</f>
        <v>1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228.97</v>
      </c>
      <c r="D52" s="25">
        <f>+VLOOKUP(B52,[1]Balance_Gatún!$A$13:$E$5087,2)</f>
        <v>84.427999999999997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0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6.1191902903484863</v>
      </c>
      <c r="P52" s="24">
        <f>+VLOOKUP(B52,[1]Balance_Madden!$A$12:$V$5087,12)/35.32</f>
        <v>1.9630022100236726</v>
      </c>
      <c r="Q52" s="25">
        <f>+VLOOKUP(B52,[1]Balance_Gatún!$A$13:$AD$5087,15)/35.32</f>
        <v>20.726333112810813</v>
      </c>
      <c r="R52" s="24">
        <f>+VLOOKUP(B52,[1]Balance_Madden!$A$12:$V$5087,14)/35.32</f>
        <v>14.216682844225257</v>
      </c>
      <c r="S52" s="26">
        <f>[1]Balance_Gatún!X51/35.32</f>
        <v>103.17463638759638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2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229.15</v>
      </c>
      <c r="D53" s="25">
        <f>+VLOOKUP(B53,[1]Balance_Gatún!$A$13:$E$5087,2)</f>
        <v>84.4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0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6.1140087209704719</v>
      </c>
      <c r="P53" s="24">
        <f>+VLOOKUP(B53,[1]Balance_Madden!$A$12:$V$5087,12)/35.32</f>
        <v>1.6061838943184943</v>
      </c>
      <c r="Q53" s="25">
        <f>+VLOOKUP(B53,[1]Balance_Gatún!$A$13:$AD$5087,15)/35.32</f>
        <v>16.909695626300302</v>
      </c>
      <c r="R53" s="24">
        <f>+VLOOKUP(B53,[1]Balance_Madden!$A$12:$V$5087,14)/35.32</f>
        <v>13.859864528520079</v>
      </c>
      <c r="S53" s="26">
        <f>[1]Balance_Gatún!X52/35.32</f>
        <v>99.29804116029328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3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229.26</v>
      </c>
      <c r="D54" s="25">
        <f>+VLOOKUP(B54,[1]Balance_Gatún!$A$13:$E$5087,2)</f>
        <v>84.328000000000003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0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6.1006846854270025</v>
      </c>
      <c r="P54" s="24">
        <f>+VLOOKUP(B54,[1]Balance_Madden!$A$12:$V$5087,12)/35.32</f>
        <v>1.422078457706194</v>
      </c>
      <c r="Q54" s="25">
        <f>+VLOOKUP(B54,[1]Balance_Gatún!$A$13:$AD$5087,15)/35.32</f>
        <v>14.934464415312565</v>
      </c>
      <c r="R54" s="24">
        <f>+VLOOKUP(B54,[1]Balance_Madden!$A$12:$V$5087,14)/35.32</f>
        <v>13.675759091907778</v>
      </c>
      <c r="S54" s="26">
        <f>[1]Balance_Gatún!X53/35.32</f>
        <v>97.168632901553096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4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229.35</v>
      </c>
      <c r="D55" s="25">
        <f>+VLOOKUP(B55,[1]Balance_Gatún!$A$13:$E$5087,2)</f>
        <v>84.268000000000001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0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6.0895813224741113</v>
      </c>
      <c r="P55" s="24">
        <f>+VLOOKUP(B55,[1]Balance_Madden!$A$12:$V$5087,12)/35.32</f>
        <v>1.493469524721897</v>
      </c>
      <c r="Q55" s="25">
        <f>+VLOOKUP(B55,[1]Balance_Gatún!$A$13:$AD$5087,15)/35.32</f>
        <v>15.652276017646489</v>
      </c>
      <c r="R55" s="24">
        <f>+VLOOKUP(B55,[1]Balance_Madden!$A$12:$V$5087,14)/35.32</f>
        <v>13.747150158923484</v>
      </c>
      <c r="S55" s="26">
        <f>[1]Balance_Gatún!X54/35.32</f>
        <v>97.757963630760003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5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229.45</v>
      </c>
      <c r="D56" s="25">
        <f>+VLOOKUP(B56,[1]Balance_Gatún!$A$13:$E$5087,2)</f>
        <v>84.218000000000004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0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6.0803285200133681</v>
      </c>
      <c r="P56" s="24">
        <f>+VLOOKUP(B56,[1]Balance_Madden!$A$12:$V$5087,12)/35.32</f>
        <v>1.7929260186111242</v>
      </c>
      <c r="Q56" s="25">
        <f>+VLOOKUP(B56,[1]Balance_Gatún!$A$13:$AD$5087,15)/35.32</f>
        <v>18.752233903169056</v>
      </c>
      <c r="R56" s="24">
        <f>+VLOOKUP(B56,[1]Balance_Madden!$A$12:$V$5087,14)/35.32</f>
        <v>14.046606652812709</v>
      </c>
      <c r="S56" s="26">
        <f>[1]Balance_Gatún!X55/35.32</f>
        <v>100.75085412201005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6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229.51</v>
      </c>
      <c r="D57" s="25">
        <f>+VLOOKUP(B57,[1]Balance_Gatún!$A$13:$E$5087,2)</f>
        <v>84.168999999999997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0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6.0712607736018391</v>
      </c>
      <c r="P57" s="24">
        <f>+VLOOKUP(B57,[1]Balance_Madden!$A$12:$V$5087,12)/35.32</f>
        <v>2.3930387708907324</v>
      </c>
      <c r="Q57" s="25">
        <f>+VLOOKUP(B57,[1]Balance_Gatún!$A$13:$AD$5087,15)/35.32</f>
        <v>24.991976093083917</v>
      </c>
      <c r="R57" s="24">
        <f>+VLOOKUP(B57,[1]Balance_Madden!$A$12:$V$5087,14)/35.32</f>
        <v>14.64671940509232</v>
      </c>
      <c r="S57" s="26">
        <f>[1]Balance_Gatún!X56/35.32</f>
        <v>106.88567026553781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7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229.58</v>
      </c>
      <c r="D58" s="25">
        <f>+VLOOKUP(B58,[1]Balance_Gatún!$A$13:$E$5087,2)</f>
        <v>84.123000000000005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0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6.0627481953379592</v>
      </c>
      <c r="P58" s="24">
        <f>+VLOOKUP(B58,[1]Balance_Madden!$A$12:$V$5087,12)/35.32</f>
        <v>2.2835719439769582</v>
      </c>
      <c r="Q58" s="25">
        <f>+VLOOKUP(B58,[1]Balance_Gatún!$A$13:$AD$5087,15)/35.32</f>
        <v>23.811200608264315</v>
      </c>
      <c r="R58" s="24">
        <f>+VLOOKUP(B58,[1]Balance_Madden!$A$12:$V$5087,14)/35.32</f>
        <v>14.537252578178546</v>
      </c>
      <c r="S58" s="26">
        <f>[1]Balance_Gatún!X57/35.32</f>
        <v>105.60639277798752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8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229.67</v>
      </c>
      <c r="D59" s="47">
        <f>+VLOOKUP(B59,[1]Balance_Gatún!$A$13:$E$5087,2)</f>
        <v>84.063000000000002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0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6.0516448323850662</v>
      </c>
      <c r="P59" s="46">
        <f>+VLOOKUP(B59,[1]Balance_Madden!$A$12:$V$5087,12)/35.32</f>
        <v>2.0083825456842255</v>
      </c>
      <c r="Q59" s="47">
        <f>+VLOOKUP(B59,[1]Balance_Gatún!$A$13:$AD$5087,15)/35.32</f>
        <v>20.899150061442949</v>
      </c>
      <c r="R59" s="46">
        <f>+VLOOKUP(B59,[1]Balance_Madden!$A$12:$V$5087,14)/35.32</f>
        <v>14.262063179885811</v>
      </c>
      <c r="S59" s="48">
        <f>[1]Balance_Gatún!X58/35.32</f>
        <v>102.56586135803911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9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229.9</v>
      </c>
      <c r="D60" s="25">
        <f>+VLOOKUP(B60,[1]Balance_Gatún!$A$13:$E$5087,2)</f>
        <v>84.024000000000001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0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6.0444276464656861</v>
      </c>
      <c r="P60" s="24">
        <f>+VLOOKUP(B60,[1]Balance_Madden!$A$12:$V$5087,12)/35.32</f>
        <v>2.1755871648941327</v>
      </c>
      <c r="Q60" s="25">
        <f>+VLOOKUP(B60,[1]Balance_Gatún!$A$13:$AD$5087,15)/35.32</f>
        <v>22.554674997725048</v>
      </c>
      <c r="R60" s="24">
        <f>+VLOOKUP(B60,[1]Balance_Madden!$A$12:$V$5087,14)/35.32</f>
        <v>14.429267799095719</v>
      </c>
      <c r="S60" s="26">
        <f>[1]Balance_Gatún!X59/35.32</f>
        <v>104.13787372678864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10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230.11</v>
      </c>
      <c r="D61" s="25">
        <f>+VLOOKUP(B61,[1]Balance_Gatún!$A$13:$E$5087,2)</f>
        <v>84.138000000000005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0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6.0655240360761811</v>
      </c>
      <c r="P61" s="24">
        <f>+VLOOKUP(B61,[1]Balance_Madden!$A$12:$V$5087,12)/35.32</f>
        <v>1.6855129113256277</v>
      </c>
      <c r="Q61" s="25">
        <f>+VLOOKUP(B61,[1]Balance_Gatún!$A$13:$AD$5087,15)/35.32</f>
        <v>17.448027549851965</v>
      </c>
      <c r="R61" s="24">
        <f>+VLOOKUP(B61,[1]Balance_Madden!$A$12:$V$5087,14)/35.32</f>
        <v>13.939193545527214</v>
      </c>
      <c r="S61" s="26">
        <f>[1]Balance_Gatún!X60/35.32</f>
        <v>99.275339937856927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11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230.23</v>
      </c>
      <c r="D62" s="25">
        <f>+VLOOKUP(B62,[1]Balance_Gatún!$A$13:$E$5087,2)</f>
        <v>84.135999999999996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0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6.0651539239777517</v>
      </c>
      <c r="P62" s="24">
        <f>+VLOOKUP(B62,[1]Balance_Madden!$A$12:$V$5087,12)/35.32</f>
        <v>0.95740920059586365</v>
      </c>
      <c r="Q62" s="25">
        <f>+VLOOKUP(B62,[1]Balance_Gatún!$A$13:$AD$5087,15)/35.32</f>
        <v>9.8939568029652634</v>
      </c>
      <c r="R62" s="24">
        <f>+VLOOKUP(B62,[1]Balance_Madden!$A$12:$V$5087,14)/35.32</f>
        <v>13.21108983479745</v>
      </c>
      <c r="S62" s="26">
        <f>[1]Balance_Gatún!X61/35.32</f>
        <v>91.716986495199322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12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230.33</v>
      </c>
      <c r="D63" s="25">
        <f>+VLOOKUP(B63,[1]Balance_Gatún!$A$13:$E$5087,2)</f>
        <v>84.094999999999999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0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6.0575666259599421</v>
      </c>
      <c r="P63" s="24">
        <f>+VLOOKUP(B63,[1]Balance_Madden!$A$12:$V$5087,12)/35.32</f>
        <v>1.8950918869482938</v>
      </c>
      <c r="Q63" s="25">
        <f>+VLOOKUP(B63,[1]Balance_Gatún!$A$13:$AD$5087,15)/35.32</f>
        <v>19.54637173365434</v>
      </c>
      <c r="R63" s="24">
        <f>+VLOOKUP(B63,[1]Balance_Madden!$A$12:$V$5087,14)/35.32</f>
        <v>14.14877252114988</v>
      </c>
      <c r="S63" s="26">
        <f>[1]Balance_Gatún!X62/35.32</f>
        <v>101.28160616258492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13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230.44</v>
      </c>
      <c r="D64" s="25">
        <f>+VLOOKUP(B64,[1]Balance_Gatún!$A$13:$E$5087,2)</f>
        <v>84.051000000000002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0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6.0494241597944898</v>
      </c>
      <c r="P64" s="24">
        <f>+VLOOKUP(B64,[1]Balance_Madden!$A$12:$V$5087,12)/35.32</f>
        <v>2.6199438364051546</v>
      </c>
      <c r="Q64" s="25">
        <f>+VLOOKUP(B64,[1]Balance_Gatún!$A$13:$AD$5087,15)/35.32</f>
        <v>26.965857149859396</v>
      </c>
      <c r="R64" s="24">
        <f>+VLOOKUP(B64,[1]Balance_Madden!$A$12:$V$5087,14)/35.32</f>
        <v>14.873624470606739</v>
      </c>
      <c r="S64" s="26">
        <f>[1]Balance_Gatún!X63/35.32</f>
        <v>108.60687227183017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14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230.58</v>
      </c>
      <c r="D65" s="25">
        <f>+VLOOKUP(B65,[1]Balance_Gatún!$A$13:$E$5087,2)</f>
        <v>83.991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2.7027027027027026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6.0383207968415968</v>
      </c>
      <c r="P65" s="24">
        <f>+VLOOKUP(B65,[1]Balance_Madden!$A$12:$V$5087,12)/35.32</f>
        <v>2.2875373419826119</v>
      </c>
      <c r="Q65" s="25">
        <f>+VLOOKUP(B65,[1]Balance_Gatún!$A$13:$AD$5087,15)/35.32</f>
        <v>23.480427198173576</v>
      </c>
      <c r="R65" s="24">
        <f>+VLOOKUP(B65,[1]Balance_Madden!$A$12:$V$5087,14)/35.32</f>
        <v>23.034989210612281</v>
      </c>
      <c r="S65" s="26">
        <f>[1]Balance_Gatún!X64/35.32</f>
        <v>104.99296144701731</v>
      </c>
      <c r="T65" s="25">
        <v>43.116805062479528</v>
      </c>
      <c r="U65" s="25">
        <v>19.103404318615215</v>
      </c>
      <c r="V65" s="29">
        <f>LOOKUP(D65,[1]Parámetros!$A$7:$A$24,[1]Parámetros!$B$7:$B$24)</f>
        <v>48.5</v>
      </c>
      <c r="W65" s="30" t="str">
        <f t="shared" si="1"/>
        <v>Cambio Calado</v>
      </c>
      <c r="X65" s="31">
        <f t="shared" si="3"/>
        <v>46255</v>
      </c>
      <c r="Y65" s="30">
        <f>IF($W65="Cambio Calado",COUNTIF($W$14:W65,"Cambio Calado"),"")</f>
        <v>3</v>
      </c>
      <c r="Z65" s="31">
        <f t="shared" si="4"/>
        <v>46255</v>
      </c>
      <c r="AA65" s="30">
        <f t="shared" si="5"/>
        <v>48.5</v>
      </c>
      <c r="AB65" s="29">
        <f>IFERROR(LOOKUP($A65,$Z$14:$Z65,$AA$14:$AA65),$U65)</f>
        <v>48.5</v>
      </c>
      <c r="AC65" s="32">
        <f>IFERROR($A66-LOOKUP($A66,$Z$14:$Z65),"")</f>
        <v>1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230.79</v>
      </c>
      <c r="D66" s="25">
        <f>+VLOOKUP(B66,[1]Balance_Gatún!$A$13:$E$5087,2)</f>
        <v>83.971000000000004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2.7027027027027026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6.034619675857301</v>
      </c>
      <c r="P66" s="24">
        <f>+VLOOKUP(B66,[1]Balance_Madden!$A$12:$V$5087,12)/35.32</f>
        <v>2.3581417076675275</v>
      </c>
      <c r="Q66" s="25">
        <f>+VLOOKUP(B66,[1]Balance_Gatún!$A$13:$AD$5087,15)/35.32</f>
        <v>24.128078650099226</v>
      </c>
      <c r="R66" s="24">
        <f>+VLOOKUP(B66,[1]Balance_Madden!$A$12:$V$5087,14)/35.32</f>
        <v>23.105593576297196</v>
      </c>
      <c r="S66" s="26">
        <f>[1]Balance_Gatún!X65/35.32</f>
        <v>105.59778594123397</v>
      </c>
      <c r="T66" s="25">
        <v>32.629790076573506</v>
      </c>
      <c r="U66" s="25">
        <v>27.198264263303258</v>
      </c>
      <c r="V66" s="29">
        <f>LOOKUP(D66,[1]Parámetros!$A$7:$A$24,[1]Parámetros!$B$7:$B$24)</f>
        <v>48.5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48.5</v>
      </c>
      <c r="AC66" s="32">
        <f>IFERROR($A67-LOOKUP($A67,$Z$14:$Z66),"")</f>
        <v>2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231.52</v>
      </c>
      <c r="D67" s="25">
        <f>+VLOOKUP(B67,[1]Balance_Gatún!$A$13:$E$5087,2)</f>
        <v>83.929000000000002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2.7027027027027026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6.026847321790278</v>
      </c>
      <c r="P67" s="24">
        <f>+VLOOKUP(B67,[1]Balance_Madden!$A$12:$V$5087,12)/35.32</f>
        <v>2.1232837186108946</v>
      </c>
      <c r="Q67" s="25">
        <f>+VLOOKUP(B67,[1]Balance_Gatún!$A$13:$AD$5087,15)/35.32</f>
        <v>21.493956716813653</v>
      </c>
      <c r="R67" s="24">
        <f>+VLOOKUP(B67,[1]Balance_Madden!$A$12:$V$5087,14)/35.32</f>
        <v>22.870735587240564</v>
      </c>
      <c r="S67" s="26">
        <f>[1]Balance_Gatún!X66/35.32</f>
        <v>102.87372739675948</v>
      </c>
      <c r="T67" s="25">
        <v>30.806257871366842</v>
      </c>
      <c r="U67" s="25">
        <v>22.56107787988439</v>
      </c>
      <c r="V67" s="29">
        <f>LOOKUP(D67,[1]Parámetros!$A$7:$A$24,[1]Parámetros!$B$7:$B$24)</f>
        <v>48.5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48.5</v>
      </c>
      <c r="AC67" s="32">
        <f>IFERROR($A68-LOOKUP($A68,$Z$14:$Z67),"")</f>
        <v>3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231.75</v>
      </c>
      <c r="D68" s="25">
        <f>+VLOOKUP(B68,[1]Balance_Gatún!$A$13:$E$5087,2)</f>
        <v>83.869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2.7027027027027026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6.015743958837386</v>
      </c>
      <c r="P68" s="24">
        <f>+VLOOKUP(B68,[1]Balance_Madden!$A$12:$V$5087,12)/35.32</f>
        <v>1.8989934002273319</v>
      </c>
      <c r="Q68" s="25">
        <f>+VLOOKUP(B68,[1]Balance_Gatún!$A$13:$AD$5087,15)/35.32</f>
        <v>19.147529703997733</v>
      </c>
      <c r="R68" s="24">
        <f>+VLOOKUP(B68,[1]Balance_Madden!$A$12:$V$5087,14)/35.32</f>
        <v>22.646445268857001</v>
      </c>
      <c r="S68" s="26">
        <f>[1]Balance_Gatún!X67/35.32</f>
        <v>100.39881951081652</v>
      </c>
      <c r="T68" s="25">
        <v>43.836846218050006</v>
      </c>
      <c r="U68" s="25">
        <v>21.870665446627079</v>
      </c>
      <c r="V68" s="29">
        <f>LOOKUP(D68,[1]Parámetros!$A$7:$A$24,[1]Parámetros!$B$7:$B$24)</f>
        <v>48.5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48.5</v>
      </c>
      <c r="AC68" s="32">
        <f>IFERROR($A69-LOOKUP($A69,$Z$14:$Z68),"")</f>
        <v>4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231.88</v>
      </c>
      <c r="D69" s="25">
        <f>+VLOOKUP(B69,[1]Balance_Gatún!$A$13:$E$5087,2)</f>
        <v>83.844999999999999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2.7027027027027026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6.0113026136562304</v>
      </c>
      <c r="P69" s="24">
        <f>+VLOOKUP(B69,[1]Balance_Madden!$A$12:$V$5087,12)/35.32</f>
        <v>1.4996919651508314</v>
      </c>
      <c r="Q69" s="25">
        <f>+VLOOKUP(B69,[1]Balance_Gatún!$A$13:$AD$5087,15)/35.32</f>
        <v>15.089542895543737</v>
      </c>
      <c r="R69" s="24">
        <f>+VLOOKUP(B69,[1]Balance_Madden!$A$12:$V$5087,14)/35.32</f>
        <v>22.247143833780502</v>
      </c>
      <c r="S69" s="26">
        <f>[1]Balance_Gatún!X68/35.32</f>
        <v>96.289440353111729</v>
      </c>
      <c r="T69" s="25">
        <v>35.299781612116988</v>
      </c>
      <c r="U69" s="25">
        <v>29.358718025440297</v>
      </c>
      <c r="V69" s="29">
        <f>LOOKUP(D69,[1]Parámetros!$A$7:$A$24,[1]Parámetros!$B$7:$B$24)</f>
        <v>48.5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48.5</v>
      </c>
      <c r="AC69" s="32">
        <f>IFERROR($A70-LOOKUP($A70,$Z$14:$Z69),"")</f>
        <v>5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232.04</v>
      </c>
      <c r="D70" s="25">
        <f>+VLOOKUP(B70,[1]Balance_Gatún!$A$13:$E$5087,2)</f>
        <v>83.8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2.7027027027027026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6.002975091441562</v>
      </c>
      <c r="P70" s="24">
        <f>+VLOOKUP(B70,[1]Balance_Madden!$A$12:$V$5087,12)/35.32</f>
        <v>0.61638233560019806</v>
      </c>
      <c r="Q70" s="25">
        <f>+VLOOKUP(B70,[1]Balance_Gatún!$A$13:$AD$5087,15)/35.32</f>
        <v>6.1846108680145395</v>
      </c>
      <c r="R70" s="24">
        <f>+VLOOKUP(B70,[1]Balance_Madden!$A$12:$V$5087,14)/35.32</f>
        <v>21.363834204229867</v>
      </c>
      <c r="S70" s="26">
        <f>[1]Balance_Gatún!X69/35.32</f>
        <v>87.28814767073726</v>
      </c>
      <c r="T70" s="25">
        <v>136.38732333840935</v>
      </c>
      <c r="U70" s="25">
        <v>29.047012019575938</v>
      </c>
      <c r="V70" s="29">
        <f>LOOKUP(D70,[1]Parámetros!$A$7:$A$24,[1]Parámetros!$B$7:$B$24)</f>
        <v>48.5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48.5</v>
      </c>
      <c r="AC70" s="32">
        <f>IFERROR($A71-LOOKUP($A71,$Z$14:$Z70),"")</f>
        <v>6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232.27</v>
      </c>
      <c r="D71" s="25">
        <f>+VLOOKUP(B71,[1]Balance_Gatún!$A$13:$E$5087,2)</f>
        <v>83.843000000000004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2.7027027027027026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6.010932501557801</v>
      </c>
      <c r="P71" s="24">
        <f>+VLOOKUP(B71,[1]Balance_Madden!$A$12:$V$5087,12)/35.32</f>
        <v>0.51360923009249959</v>
      </c>
      <c r="Q71" s="25">
        <f>+VLOOKUP(B71,[1]Balance_Gatún!$A$13:$AD$5087,15)/35.32</f>
        <v>5.1399230633559378</v>
      </c>
      <c r="R71" s="24">
        <f>+VLOOKUP(B71,[1]Balance_Madden!$A$12:$V$5087,14)/35.32</f>
        <v>21.26106109872217</v>
      </c>
      <c r="S71" s="26">
        <f>[1]Balance_Gatún!X70/35.32</f>
        <v>86.335537825153025</v>
      </c>
      <c r="T71" s="25">
        <v>62.622801902766405</v>
      </c>
      <c r="U71" s="25">
        <v>30.440860926161371</v>
      </c>
      <c r="V71" s="29">
        <f>LOOKUP(D71,[1]Parámetros!$A$7:$A$24,[1]Parámetros!$B$7:$B$24)</f>
        <v>48.5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48.5</v>
      </c>
      <c r="AC71" s="32">
        <f>IFERROR($A72-LOOKUP($A72,$Z$14:$Z71),"")</f>
        <v>7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232.97</v>
      </c>
      <c r="D72" s="25">
        <f>+VLOOKUP(B72,[1]Balance_Gatún!$A$13:$E$5087,2)</f>
        <v>83.882000000000005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2.7027027027027026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6.0181496874771812</v>
      </c>
      <c r="P72" s="24">
        <f>+VLOOKUP(B72,[1]Balance_Madden!$A$12:$V$5087,12)/35.32</f>
        <v>1.4435622163737518</v>
      </c>
      <c r="Q72" s="25">
        <f>+VLOOKUP(B72,[1]Balance_Gatún!$A$13:$AD$5087,15)/35.32</f>
        <v>14.315176138165613</v>
      </c>
      <c r="R72" s="24">
        <f>+VLOOKUP(B72,[1]Balance_Madden!$A$12:$V$5087,14)/35.32</f>
        <v>22.19101408500342</v>
      </c>
      <c r="S72" s="26">
        <f>[1]Balance_Gatún!X71/35.32</f>
        <v>95.59430346749528</v>
      </c>
      <c r="T72" s="25">
        <v>96.045098294117167</v>
      </c>
      <c r="U72" s="25">
        <v>33.113790895568194</v>
      </c>
      <c r="V72" s="29">
        <f>LOOKUP(D72,[1]Parámetros!$A$7:$A$24,[1]Parámetros!$B$7:$B$24)</f>
        <v>48.5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48.5</v>
      </c>
      <c r="AC72" s="32">
        <f>IFERROR($A73-LOOKUP($A73,$Z$14:$Z72),"")</f>
        <v>8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233.24</v>
      </c>
      <c r="D73" s="25">
        <f>+VLOOKUP(B73,[1]Balance_Gatún!$A$13:$E$5087,2)</f>
        <v>84.01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2.7027027027027026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6.0418368617766811</v>
      </c>
      <c r="P73" s="24">
        <f>+VLOOKUP(B73,[1]Balance_Madden!$A$12:$V$5087,12)/35.32</f>
        <v>1.307588577725721</v>
      </c>
      <c r="Q73" s="25">
        <f>+VLOOKUP(B73,[1]Balance_Gatún!$A$13:$AD$5087,15)/35.32</f>
        <v>12.940164896009987</v>
      </c>
      <c r="R73" s="24">
        <f>+VLOOKUP(B73,[1]Balance_Madden!$A$12:$V$5087,14)/35.32</f>
        <v>22.055040446355392</v>
      </c>
      <c r="S73" s="26">
        <f>[1]Balance_Gatún!X72/35.32</f>
        <v>94.493384754677308</v>
      </c>
      <c r="T73" s="25">
        <v>52.305411226169149</v>
      </c>
      <c r="U73" s="25">
        <v>34.022432854390715</v>
      </c>
      <c r="V73" s="29">
        <f>LOOKUP(D73,[1]Parámetros!$A$7:$A$24,[1]Parámetros!$B$7:$B$24)</f>
        <v>49</v>
      </c>
      <c r="W73" s="30" t="str">
        <f t="shared" si="1"/>
        <v>Cambio Calado</v>
      </c>
      <c r="X73" s="31">
        <f t="shared" si="3"/>
        <v>46263</v>
      </c>
      <c r="Y73" s="30">
        <f>IF($W73="Cambio Calado",COUNTIF($W$14:W73,"Cambio Calado"),"")</f>
        <v>4</v>
      </c>
      <c r="Z73" s="31">
        <f t="shared" si="4"/>
        <v>46263</v>
      </c>
      <c r="AA73" s="30">
        <f t="shared" si="5"/>
        <v>49</v>
      </c>
      <c r="AB73" s="29">
        <f>IFERROR(LOOKUP($A73,$Z$14:$Z73,$AA$14:$AA73),$U73)</f>
        <v>49</v>
      </c>
      <c r="AC73" s="32">
        <f>IFERROR($A74-LOOKUP($A74,$Z$14:$Z73),"")</f>
        <v>1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236.1</v>
      </c>
      <c r="D74" s="25">
        <f>+VLOOKUP(B74,[1]Balance_Gatún!$A$13:$E$5087,2)</f>
        <v>84.087999999999994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2.7027027027027026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6.0562712336154378</v>
      </c>
      <c r="P74" s="24">
        <f>+VLOOKUP(B74,[1]Balance_Madden!$A$12:$V$5087,12)/35.32</f>
        <v>1.2411714341936917</v>
      </c>
      <c r="Q74" s="25">
        <f>+VLOOKUP(B74,[1]Balance_Gatún!$A$13:$AD$5087,15)/35.32</f>
        <v>11.828368828204178</v>
      </c>
      <c r="R74" s="24">
        <f>+VLOOKUP(B74,[1]Balance_Madden!$A$12:$V$5087,14)/35.32</f>
        <v>21.988623302823363</v>
      </c>
      <c r="S74" s="26">
        <f>[1]Balance_Gatún!X73/35.32</f>
        <v>93.548613821936613</v>
      </c>
      <c r="T74" s="25">
        <v>57.900335015474653</v>
      </c>
      <c r="U74" s="25">
        <v>23.61187492162292</v>
      </c>
      <c r="V74" s="29">
        <f>LOOKUP(D74,[1]Parámetros!$A$7:$A$24,[1]Parámetros!$B$7:$B$24)</f>
        <v>49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49</v>
      </c>
      <c r="AC74" s="32">
        <f>IFERROR($A75-LOOKUP($A75,$Z$14:$Z74),"")</f>
        <v>2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236.59</v>
      </c>
      <c r="D75" s="25">
        <f>+VLOOKUP(B75,[1]Balance_Gatún!$A$13:$E$5087,2)</f>
        <v>84.075000000000003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2.7027027027027026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6.0538655049756462</v>
      </c>
      <c r="P75" s="24">
        <f>+VLOOKUP(B75,[1]Balance_Madden!$A$12:$V$5087,12)/35.32</f>
        <v>1.28108995382197</v>
      </c>
      <c r="Q75" s="25">
        <f>+VLOOKUP(B75,[1]Balance_Gatún!$A$13:$AD$5087,15)/35.32</f>
        <v>12.127104018698361</v>
      </c>
      <c r="R75" s="24">
        <f>+VLOOKUP(B75,[1]Balance_Madden!$A$12:$V$5087,14)/35.32</f>
        <v>22.02854182245164</v>
      </c>
      <c r="S75" s="26">
        <f>[1]Balance_Gatún!X74/35.32</f>
        <v>93.819511489919961</v>
      </c>
      <c r="T75" s="25">
        <v>59.697825154719006</v>
      </c>
      <c r="U75" s="25">
        <v>25.497506041491771</v>
      </c>
      <c r="V75" s="29">
        <f>LOOKUP(D75,[1]Parámetros!$A$7:$A$24,[1]Parámetros!$B$7:$B$24)</f>
        <v>49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49</v>
      </c>
      <c r="AC75" s="32">
        <f>IFERROR($A76-LOOKUP($A76,$Z$14:$Z75),"")</f>
        <v>3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236.87</v>
      </c>
      <c r="D76" s="25">
        <f>+VLOOKUP(B76,[1]Balance_Gatún!$A$13:$E$5087,2)</f>
        <v>84.042000000000002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2.7027027027027026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6.0477586553515543</v>
      </c>
      <c r="P76" s="24">
        <f>+VLOOKUP(B76,[1]Balance_Madden!$A$12:$V$5087,12)/35.32</f>
        <v>2.0621212208577657</v>
      </c>
      <c r="Q76" s="25">
        <f>+VLOOKUP(B76,[1]Balance_Gatún!$A$13:$AD$5087,15)/35.32</f>
        <v>19.439627397602568</v>
      </c>
      <c r="R76" s="24">
        <f>+VLOOKUP(B76,[1]Balance_Madden!$A$12:$V$5087,14)/35.32</f>
        <v>22.809573089487436</v>
      </c>
      <c r="S76" s="26">
        <f>[1]Balance_Gatún!X75/35.32</f>
        <v>101.06137038860427</v>
      </c>
      <c r="T76" s="25">
        <v>37.998584185008561</v>
      </c>
      <c r="U76" s="25">
        <v>24.871109839943596</v>
      </c>
      <c r="V76" s="29">
        <f>LOOKUP(D76,[1]Parámetros!$A$7:$A$24,[1]Parámetros!$B$7:$B$24)</f>
        <v>49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49</v>
      </c>
      <c r="AC76" s="32">
        <f>IFERROR($A77-LOOKUP($A77,$Z$14:$Z76),"")</f>
        <v>4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237.06</v>
      </c>
      <c r="D77" s="25">
        <f>+VLOOKUP(B77,[1]Balance_Gatún!$A$13:$E$5087,2)</f>
        <v>84.006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2.7027027027027026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6.0410966375798214</v>
      </c>
      <c r="P77" s="24">
        <f>+VLOOKUP(B77,[1]Balance_Madden!$A$12:$V$5087,12)/35.32</f>
        <v>2.2604449553582304</v>
      </c>
      <c r="Q77" s="25">
        <f>+VLOOKUP(B77,[1]Balance_Gatún!$A$13:$AD$5087,15)/35.32</f>
        <v>21.24563966701113</v>
      </c>
      <c r="R77" s="24">
        <f>+VLOOKUP(B77,[1]Balance_Madden!$A$12:$V$5087,14)/35.32</f>
        <v>23.007896823987902</v>
      </c>
      <c r="S77" s="26">
        <f>[1]Balance_Gatún!X76/35.32</f>
        <v>102.79029413413664</v>
      </c>
      <c r="T77" s="25">
        <v>52.634280014108285</v>
      </c>
      <c r="U77" s="25">
        <v>24.085584621298647</v>
      </c>
      <c r="V77" s="29">
        <f>LOOKUP(D77,[1]Parámetros!$A$7:$A$24,[1]Parámetros!$B$7:$B$24)</f>
        <v>49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49</v>
      </c>
      <c r="AC77" s="32">
        <f>IFERROR($A78-LOOKUP($A78,$Z$14:$Z77),"")</f>
        <v>5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237.24</v>
      </c>
      <c r="D78" s="25">
        <f>+VLOOKUP(B78,[1]Balance_Gatún!$A$13:$E$5087,2)</f>
        <v>84.028000000000006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2.7027027027027026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6.0451678706625493</v>
      </c>
      <c r="P78" s="24">
        <f>+VLOOKUP(B78,[1]Balance_Madden!$A$12:$V$5087,12)/35.32</f>
        <v>1.3247844964363999</v>
      </c>
      <c r="Q78" s="25">
        <f>+VLOOKUP(B78,[1]Balance_Gatún!$A$13:$AD$5087,15)/35.32</f>
        <v>12.425262454042546</v>
      </c>
      <c r="R78" s="24">
        <f>+VLOOKUP(B78,[1]Balance_Madden!$A$12:$V$5087,14)/35.32</f>
        <v>22.072236365066068</v>
      </c>
      <c r="S78" s="26">
        <f>[1]Balance_Gatún!X77/35.32</f>
        <v>94.017026574647986</v>
      </c>
      <c r="T78" s="25">
        <v>28.772576361785138</v>
      </c>
      <c r="U78" s="25">
        <v>19.451824900617922</v>
      </c>
      <c r="V78" s="29">
        <f>LOOKUP(D78,[1]Parámetros!$A$7:$A$24,[1]Parámetros!$B$7:$B$24)</f>
        <v>49</v>
      </c>
      <c r="W78" s="30" t="str">
        <f t="shared" ref="W78:W141" si="7">IF(V78&lt;&gt;V77,"Cambio Calado","")</f>
        <v/>
      </c>
      <c r="X78" s="31" t="str">
        <f t="shared" si="3"/>
        <v/>
      </c>
      <c r="Y78" s="30" t="str">
        <f>IF($W78="Cambio Calado",COUNTIF($W$14:W78,"Cambio Calado"),"")</f>
        <v/>
      </c>
      <c r="Z78" s="31" t="str">
        <f t="shared" si="4"/>
        <v/>
      </c>
      <c r="AA78" s="30" t="str">
        <f t="shared" si="5"/>
        <v/>
      </c>
      <c r="AB78" s="29">
        <f>IFERROR(LOOKUP($A78,$Z$14:$Z78,$AA$14:$AA78),$U78)</f>
        <v>49</v>
      </c>
      <c r="AC78" s="32">
        <f>IFERROR($A79-LOOKUP($A79,$Z$14:$Z78),"")</f>
        <v>6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237.54</v>
      </c>
      <c r="D79" s="25">
        <f>+VLOOKUP(B79,[1]Balance_Gatún!$A$13:$E$5087,2)</f>
        <v>84.001000000000005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2.7027027027027026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6.0401713573337465</v>
      </c>
      <c r="P79" s="24">
        <f>+VLOOKUP(B79,[1]Balance_Madden!$A$12:$V$5087,12)/35.32</f>
        <v>1.6252313801382259</v>
      </c>
      <c r="Q79" s="25">
        <f>+VLOOKUP(B79,[1]Balance_Gatún!$A$13:$AD$5087,15)/35.32</f>
        <v>15.177422901314053</v>
      </c>
      <c r="R79" s="24">
        <f>+VLOOKUP(B79,[1]Balance_Madden!$A$12:$V$5087,14)/35.32</f>
        <v>22.372683248767895</v>
      </c>
      <c r="S79" s="26">
        <f>[1]Balance_Gatún!X78/35.32</f>
        <v>96.711370629012308</v>
      </c>
      <c r="T79" s="25">
        <v>31.227806991970528</v>
      </c>
      <c r="U79" s="25">
        <v>18.754835386152774</v>
      </c>
      <c r="V79" s="29">
        <f>LOOKUP(D79,[1]Parámetros!$A$7:$A$24,[1]Parámetros!$B$7:$B$24)</f>
        <v>49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49</v>
      </c>
      <c r="AC79" s="32">
        <f>IFERROR($A80-LOOKUP($A80,$Z$14:$Z79),"")</f>
        <v>7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237.64</v>
      </c>
      <c r="D80" s="25">
        <f>+VLOOKUP(B80,[1]Balance_Gatún!$A$13:$E$5087,2)</f>
        <v>84.001000000000005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2.7027027027027026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6.0401713573337465</v>
      </c>
      <c r="P80" s="24">
        <f>+VLOOKUP(B80,[1]Balance_Madden!$A$12:$V$5087,12)/35.32</f>
        <v>1.3357080117772056</v>
      </c>
      <c r="Q80" s="25">
        <f>+VLOOKUP(B80,[1]Balance_Gatún!$A$13:$AD$5087,15)/35.32</f>
        <v>12.457174382396746</v>
      </c>
      <c r="R80" s="24">
        <f>+VLOOKUP(B80,[1]Balance_Madden!$A$12:$V$5087,14)/35.32</f>
        <v>22.083159880406875</v>
      </c>
      <c r="S80" s="26">
        <f>[1]Balance_Gatún!X79/35.32</f>
        <v>93.991122110094992</v>
      </c>
      <c r="T80" s="25">
        <v>25.407716808397296</v>
      </c>
      <c r="U80" s="25">
        <v>17.207083965648565</v>
      </c>
      <c r="V80" s="29">
        <f>LOOKUP(D80,[1]Parámetros!$A$7:$A$24,[1]Parámetros!$B$7:$B$24)</f>
        <v>49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49</v>
      </c>
      <c r="AC80" s="32">
        <f>IFERROR($A81-LOOKUP($A81,$Z$14:$Z80),"")</f>
        <v>8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238.33</v>
      </c>
      <c r="D81" s="25">
        <f>+VLOOKUP(B81,[1]Balance_Gatún!$A$13:$E$5087,2)</f>
        <v>84.100999999999999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2.7027027027027026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6.0586769622552303</v>
      </c>
      <c r="P81" s="24">
        <f>+VLOOKUP(B81,[1]Balance_Madden!$A$12:$V$5087,12)/35.32</f>
        <v>0.84277667816951496</v>
      </c>
      <c r="Q81" s="25">
        <f>+VLOOKUP(B81,[1]Balance_Gatún!$A$13:$AD$5087,15)/35.32</f>
        <v>7.7987115574686765</v>
      </c>
      <c r="R81" s="24">
        <f>+VLOOKUP(B81,[1]Balance_Madden!$A$12:$V$5087,14)/35.32</f>
        <v>21.590228546799185</v>
      </c>
      <c r="S81" s="26">
        <f>[1]Balance_Gatún!X80/35.32</f>
        <v>89.546794073711951</v>
      </c>
      <c r="T81" s="25">
        <v>61.487595438029231</v>
      </c>
      <c r="U81" s="25">
        <v>28.464518269144584</v>
      </c>
      <c r="V81" s="29">
        <f>LOOKUP(D81,[1]Parámetros!$A$7:$A$24,[1]Parámetros!$B$7:$B$24)</f>
        <v>49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49</v>
      </c>
      <c r="AC81" s="32">
        <f>IFERROR($A82-LOOKUP($A82,$Z$14:$Z81),"")</f>
        <v>9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238.52</v>
      </c>
      <c r="D82" s="25">
        <f>+VLOOKUP(B82,[1]Balance_Gatún!$A$13:$E$5087,2)</f>
        <v>84.091999999999999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2.7027027027027026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6.0570114578122993</v>
      </c>
      <c r="P82" s="24">
        <f>+VLOOKUP(B82,[1]Balance_Madden!$A$12:$V$5087,12)/35.32</f>
        <v>0.9281866177098641</v>
      </c>
      <c r="Q82" s="25">
        <f>+VLOOKUP(B82,[1]Balance_Gatún!$A$13:$AD$5087,15)/35.32</f>
        <v>8.5666336916315871</v>
      </c>
      <c r="R82" s="24">
        <f>+VLOOKUP(B82,[1]Balance_Madden!$A$12:$V$5087,14)/35.32</f>
        <v>21.675638486339537</v>
      </c>
      <c r="S82" s="26">
        <f>[1]Balance_Gatún!X81/35.32</f>
        <v>90.295444076905838</v>
      </c>
      <c r="T82" s="25">
        <v>38.389779908224725</v>
      </c>
      <c r="U82" s="25">
        <v>21.043888227808537</v>
      </c>
      <c r="V82" s="29">
        <f>LOOKUP(D82,[1]Parámetros!$A$7:$A$24,[1]Parámetros!$B$7:$B$24)</f>
        <v>49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49</v>
      </c>
      <c r="AC82" s="32">
        <f>IFERROR($A83-LOOKUP($A83,$Z$14:$Z82),"")</f>
        <v>10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238.59</v>
      </c>
      <c r="D83" s="25">
        <f>+VLOOKUP(B83,[1]Balance_Gatún!$A$13:$E$5087,2)</f>
        <v>84.066999999999993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2.7027027027027026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6.052385056581925</v>
      </c>
      <c r="P83" s="24">
        <f>+VLOOKUP(B83,[1]Balance_Madden!$A$12:$V$5087,12)/35.32</f>
        <v>0.8857761173750055</v>
      </c>
      <c r="Q83" s="25">
        <f>+VLOOKUP(B83,[1]Balance_Gatún!$A$13:$AD$5087,15)/35.32</f>
        <v>8.1650754743870042</v>
      </c>
      <c r="R83" s="24">
        <f>+VLOOKUP(B83,[1]Balance_Madden!$A$12:$V$5087,14)/35.32</f>
        <v>21.633227986004677</v>
      </c>
      <c r="S83" s="26">
        <f>[1]Balance_Gatún!X82/35.32</f>
        <v>89.840352162524965</v>
      </c>
      <c r="T83" s="25">
        <v>78.11855316117628</v>
      </c>
      <c r="U83" s="25">
        <v>215.95760409284713</v>
      </c>
      <c r="V83" s="29">
        <f>LOOKUP(D83,[1]Parámetros!$A$7:$A$24,[1]Parámetros!$B$7:$B$24)</f>
        <v>49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49</v>
      </c>
      <c r="AC83" s="32">
        <f>IFERROR($A84-LOOKUP($A84,$Z$14:$Z83),"")</f>
        <v>11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238.71</v>
      </c>
      <c r="D84" s="25">
        <f>+VLOOKUP(B84,[1]Balance_Gatún!$A$13:$E$5087,2)</f>
        <v>84.091999999999999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2.7027027027027026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6.0570114578122993</v>
      </c>
      <c r="P84" s="24">
        <f>+VLOOKUP(B84,[1]Balance_Madden!$A$12:$V$5087,12)/35.32</f>
        <v>1.358837562980898</v>
      </c>
      <c r="Q84" s="25">
        <f>+VLOOKUP(B84,[1]Balance_Gatún!$A$13:$AD$5087,15)/35.32</f>
        <v>12.510037455705064</v>
      </c>
      <c r="R84" s="24">
        <f>+VLOOKUP(B84,[1]Balance_Madden!$A$12:$V$5087,14)/35.32</f>
        <v>22.106289431610566</v>
      </c>
      <c r="S84" s="26">
        <f>[1]Balance_Gatún!X83/35.32</f>
        <v>94.238847840979318</v>
      </c>
      <c r="T84" s="25">
        <v>35.715572560368528</v>
      </c>
      <c r="U84" s="25">
        <v>51.776497186311381</v>
      </c>
      <c r="V84" s="29">
        <f>LOOKUP(D84,[1]Parámetros!$A$7:$A$24,[1]Parámetros!$B$7:$B$24)</f>
        <v>49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49</v>
      </c>
      <c r="AC84" s="32">
        <f>IFERROR($A85-LOOKUP($A85,$Z$14:$Z84),"")</f>
        <v>12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238.92</v>
      </c>
      <c r="D85" s="25">
        <f>+VLOOKUP(B85,[1]Balance_Gatún!$A$13:$E$5087,2)</f>
        <v>84.046999999999997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2.7027027027027026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6.0486839355976283</v>
      </c>
      <c r="P85" s="24">
        <f>+VLOOKUP(B85,[1]Balance_Madden!$A$12:$V$5087,12)/35.32</f>
        <v>1.0246651749116165</v>
      </c>
      <c r="Q85" s="25">
        <f>+VLOOKUP(B85,[1]Balance_Gatún!$A$13:$AD$5087,15)/35.32</f>
        <v>9.4021323863034016</v>
      </c>
      <c r="R85" s="24">
        <f>+VLOOKUP(B85,[1]Balance_Madden!$A$12:$V$5087,14)/35.32</f>
        <v>21.772117043541286</v>
      </c>
      <c r="S85" s="26">
        <f>[1]Balance_Gatún!X84/35.32</f>
        <v>91.034582116732352</v>
      </c>
      <c r="T85" s="25">
        <v>42.290543146477667</v>
      </c>
      <c r="U85" s="25">
        <v>37.199709277309118</v>
      </c>
      <c r="V85" s="29">
        <f>LOOKUP(D85,[1]Parámetros!$A$7:$A$24,[1]Parámetros!$B$7:$B$24)</f>
        <v>49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49</v>
      </c>
      <c r="AC85" s="32">
        <f>IFERROR($A86-LOOKUP($A86,$Z$14:$Z85),"")</f>
        <v>13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238.96</v>
      </c>
      <c r="D86" s="25">
        <f>+VLOOKUP(B86,[1]Balance_Gatún!$A$13:$E$5087,2)</f>
        <v>84.076999999999998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2.7027027027027026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6.0542356170740748</v>
      </c>
      <c r="P86" s="24">
        <f>+VLOOKUP(B86,[1]Balance_Madden!$A$12:$V$5087,12)/35.32</f>
        <v>0.77879100645002142</v>
      </c>
      <c r="Q86" s="25">
        <f>+VLOOKUP(B86,[1]Balance_Gatún!$A$13:$AD$5087,15)/35.32</f>
        <v>7.1450411709777661</v>
      </c>
      <c r="R86" s="24">
        <f>+VLOOKUP(B86,[1]Balance_Madden!$A$12:$V$5087,14)/35.32</f>
        <v>21.526242875079692</v>
      </c>
      <c r="S86" s="26">
        <f>[1]Balance_Gatún!X85/35.32</f>
        <v>88.841731337970245</v>
      </c>
      <c r="T86" s="25">
        <v>31.893359897482441</v>
      </c>
      <c r="U86" s="25">
        <v>29.797920761988347</v>
      </c>
      <c r="V86" s="29">
        <f>LOOKUP(D86,[1]Parámetros!$A$7:$A$24,[1]Parámetros!$B$7:$B$24)</f>
        <v>49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49</v>
      </c>
      <c r="AC86" s="32">
        <f>IFERROR($A87-LOOKUP($A87,$Z$14:$Z86),"")</f>
        <v>14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239.04</v>
      </c>
      <c r="D87" s="25">
        <f>+VLOOKUP(B87,[1]Balance_Gatún!$A$13:$E$5087,2)</f>
        <v>84.081999999999994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2.7027027027027026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6.055160897320147</v>
      </c>
      <c r="P87" s="24">
        <f>+VLOOKUP(B87,[1]Balance_Madden!$A$12:$V$5087,12)/35.32</f>
        <v>2.2158268184542149</v>
      </c>
      <c r="Q87" s="25">
        <f>+VLOOKUP(B87,[1]Balance_Gatún!$A$13:$AD$5087,15)/35.32</f>
        <v>20.309181083889495</v>
      </c>
      <c r="R87" s="24">
        <f>+VLOOKUP(B87,[1]Balance_Madden!$A$12:$V$5087,14)/35.32</f>
        <v>22.963278687083886</v>
      </c>
      <c r="S87" s="26">
        <f>[1]Balance_Gatún!X86/35.32</f>
        <v>102.0165779903092</v>
      </c>
      <c r="T87" s="25">
        <v>43.144456966685432</v>
      </c>
      <c r="U87" s="25">
        <v>37.794355521625505</v>
      </c>
      <c r="V87" s="29">
        <f>LOOKUP(D87,[1]Parámetros!$A$7:$A$24,[1]Parámetros!$B$7:$B$24)</f>
        <v>49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49</v>
      </c>
      <c r="AC87" s="32">
        <f>IFERROR($A88-LOOKUP($A88,$Z$14:$Z87),"")</f>
        <v>15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239.54</v>
      </c>
      <c r="D88" s="25">
        <f>+VLOOKUP(B88,[1]Balance_Gatún!$A$13:$E$5087,2)</f>
        <v>84.19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2.7027027027027026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6.0751469506353537</v>
      </c>
      <c r="P88" s="24">
        <f>+VLOOKUP(B88,[1]Balance_Madden!$A$12:$V$5087,12)/35.32</f>
        <v>2.6616639034410041</v>
      </c>
      <c r="Q88" s="25">
        <f>+VLOOKUP(B88,[1]Balance_Gatún!$A$13:$AD$5087,15)/35.32</f>
        <v>24.270161983795774</v>
      </c>
      <c r="R88" s="24">
        <f>+VLOOKUP(B88,[1]Balance_Madden!$A$12:$V$5087,14)/35.32</f>
        <v>23.409115772070674</v>
      </c>
      <c r="S88" s="26">
        <f>[1]Balance_Gatún!X87/35.32</f>
        <v>106.20882446184416</v>
      </c>
      <c r="T88" s="25">
        <v>56.246436803878893</v>
      </c>
      <c r="U88" s="25">
        <v>35.724110384315956</v>
      </c>
      <c r="V88" s="29">
        <f>LOOKUP(D88,[1]Parámetros!$A$7:$A$24,[1]Parámetros!$B$7:$B$24)</f>
        <v>49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49</v>
      </c>
      <c r="AC88" s="32">
        <f>IFERROR($A89-LOOKUP($A89,$Z$14:$Z88),"")</f>
        <v>16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239.62</v>
      </c>
      <c r="D89" s="25">
        <f>+VLOOKUP(B89,[1]Balance_Gatún!$A$13:$E$5087,2)</f>
        <v>84.289000000000001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2.7027027027027026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6.0934674995076232</v>
      </c>
      <c r="P89" s="24">
        <f>+VLOOKUP(B89,[1]Balance_Madden!$A$12:$V$5087,12)/35.32</f>
        <v>2.5130864246682476</v>
      </c>
      <c r="Q89" s="25">
        <f>+VLOOKUP(B89,[1]Balance_Gatún!$A$13:$AD$5087,15)/35.32</f>
        <v>22.920484194239606</v>
      </c>
      <c r="R89" s="24">
        <f>+VLOOKUP(B89,[1]Balance_Madden!$A$12:$V$5087,14)/35.32</f>
        <v>23.260538293297916</v>
      </c>
      <c r="S89" s="26">
        <f>[1]Balance_Gatún!X88/35.32</f>
        <v>105.07114011294757</v>
      </c>
      <c r="T89" s="25">
        <v>20.655212741567915</v>
      </c>
      <c r="U89" s="25">
        <v>28.145020430518777</v>
      </c>
      <c r="V89" s="29">
        <f>LOOKUP(D89,[1]Parámetros!$A$7:$A$24,[1]Parámetros!$B$7:$B$24)</f>
        <v>49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49</v>
      </c>
      <c r="AC89" s="32">
        <f>IFERROR($A90-LOOKUP($A90,$Z$14:$Z89),"")</f>
        <v>17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239.65</v>
      </c>
      <c r="D90" s="25">
        <f>+VLOOKUP(B90,[1]Balance_Gatún!$A$13:$E$5087,2)</f>
        <v>84.403999999999996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2.7027027027027026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6.114748945167328</v>
      </c>
      <c r="P90" s="24">
        <f>+VLOOKUP(B90,[1]Balance_Madden!$A$12:$V$5087,12)/35.32</f>
        <v>2.4906911631655126</v>
      </c>
      <c r="Q90" s="25">
        <f>+VLOOKUP(B90,[1]Balance_Gatún!$A$13:$AD$5087,15)/35.32</f>
        <v>22.740730819821824</v>
      </c>
      <c r="R90" s="24">
        <f>+VLOOKUP(B90,[1]Balance_Madden!$A$12:$V$5087,14)/35.32</f>
        <v>23.238143031795182</v>
      </c>
      <c r="S90" s="26">
        <f>[1]Balance_Gatún!X89/35.32</f>
        <v>105.13764174535658</v>
      </c>
      <c r="T90" s="25">
        <v>26.443413481667108</v>
      </c>
      <c r="U90" s="25">
        <v>21.078527619610782</v>
      </c>
      <c r="V90" s="29">
        <f>LOOKUP(D90,[1]Parámetros!$A$7:$A$24,[1]Parámetros!$B$7:$B$24)</f>
        <v>49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49</v>
      </c>
      <c r="AC90" s="32">
        <f>IFERROR($A91-LOOKUP($A91,$Z$14:$Z90),"")</f>
        <v>18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240.15</v>
      </c>
      <c r="D91" s="25">
        <f>+VLOOKUP(B91,[1]Balance_Gatún!$A$13:$E$5087,2)</f>
        <v>84.477000000000004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2.7027027027027026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6.1282580367600143</v>
      </c>
      <c r="P91" s="24">
        <f>+VLOOKUP(B91,[1]Balance_Madden!$A$12:$V$5087,12)/35.32</f>
        <v>2.4263670761372991</v>
      </c>
      <c r="Q91" s="25">
        <f>+VLOOKUP(B91,[1]Balance_Gatún!$A$13:$AD$5087,15)/35.32</f>
        <v>22.030297799485659</v>
      </c>
      <c r="R91" s="24">
        <f>+VLOOKUP(B91,[1]Balance_Madden!$A$12:$V$5087,14)/35.32</f>
        <v>23.173818944766971</v>
      </c>
      <c r="S91" s="26">
        <f>[1]Balance_Gatún!X90/35.32</f>
        <v>104.5835271206583</v>
      </c>
      <c r="T91" s="25">
        <v>26.641096769612801</v>
      </c>
      <c r="U91" s="25">
        <v>23.504636737283047</v>
      </c>
      <c r="V91" s="29">
        <f>LOOKUP(D91,[1]Parámetros!$A$7:$A$24,[1]Parámetros!$B$7:$B$24)</f>
        <v>49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49</v>
      </c>
      <c r="AC91" s="32">
        <f>IFERROR($A92-LOOKUP($A92,$Z$14:$Z91),"")</f>
        <v>19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240.41</v>
      </c>
      <c r="D92" s="25">
        <f>+VLOOKUP(B92,[1]Balance_Gatún!$A$13:$E$5087,2)</f>
        <v>84.471999999999994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2.7027027027027026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6.1273327565139386</v>
      </c>
      <c r="P92" s="24">
        <f>+VLOOKUP(B92,[1]Balance_Madden!$A$12:$V$5087,12)/35.32</f>
        <v>1.4896026404141114</v>
      </c>
      <c r="Q92" s="25">
        <f>+VLOOKUP(B92,[1]Balance_Gatún!$A$13:$AD$5087,15)/35.32</f>
        <v>13.478501163020201</v>
      </c>
      <c r="R92" s="24">
        <f>+VLOOKUP(B92,[1]Balance_Madden!$A$12:$V$5087,14)/35.32</f>
        <v>22.23705450904378</v>
      </c>
      <c r="S92" s="26">
        <f>[1]Balance_Gatún!X91/35.32</f>
        <v>96.021023744765586</v>
      </c>
      <c r="T92" s="25">
        <v>50.347524403101964</v>
      </c>
      <c r="U92" s="25">
        <v>22.617956743483411</v>
      </c>
      <c r="V92" s="29">
        <f>LOOKUP(D92,[1]Parámetros!$A$7:$A$24,[1]Parámetros!$B$7:$B$24)</f>
        <v>49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49</v>
      </c>
      <c r="AC92" s="32">
        <f>IFERROR($A93-LOOKUP($A93,$Z$14:$Z92),"")</f>
        <v>20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240.66</v>
      </c>
      <c r="D93" s="25">
        <f>+VLOOKUP(B93,[1]Balance_Gatún!$A$13:$E$5087,2)</f>
        <v>84.475999999999999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2.7027027027027026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6.1280729807107974</v>
      </c>
      <c r="P93" s="24">
        <f>+VLOOKUP(B93,[1]Balance_Madden!$A$12:$V$5087,12)/35.32</f>
        <v>1.0931326654809794</v>
      </c>
      <c r="Q93" s="25">
        <f>+VLOOKUP(B93,[1]Balance_Gatún!$A$13:$AD$5087,15)/35.32</f>
        <v>9.859619805041925</v>
      </c>
      <c r="R93" s="24">
        <f>+VLOOKUP(B93,[1]Balance_Madden!$A$12:$V$5087,14)/35.32</f>
        <v>21.840584534110651</v>
      </c>
      <c r="S93" s="26">
        <f>[1]Balance_Gatún!X92/35.32</f>
        <v>92.410707778329098</v>
      </c>
      <c r="T93" s="25">
        <v>99.838942374957213</v>
      </c>
      <c r="U93" s="25">
        <v>81.133860951367282</v>
      </c>
      <c r="V93" s="29">
        <f>LOOKUP(D93,[1]Parámetros!$A$7:$A$24,[1]Parámetros!$B$7:$B$24)</f>
        <v>49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49</v>
      </c>
      <c r="AC93" s="32">
        <f>IFERROR($A94-LOOKUP($A94,$Z$14:$Z93),"")</f>
        <v>21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240.9</v>
      </c>
      <c r="D94" s="25">
        <f>+VLOOKUP(B94,[1]Balance_Gatún!$A$13:$E$5087,2)</f>
        <v>84.546999999999997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2.7027027027027026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6.1412119602050534</v>
      </c>
      <c r="P94" s="24">
        <f>+VLOOKUP(B94,[1]Balance_Madden!$A$12:$V$5087,12)/35.32</f>
        <v>2.0193674081308548</v>
      </c>
      <c r="Q94" s="25">
        <f>+VLOOKUP(B94,[1]Balance_Gatún!$A$13:$AD$5087,15)/35.32</f>
        <v>18.173908868909972</v>
      </c>
      <c r="R94" s="24">
        <f>+VLOOKUP(B94,[1]Balance_Madden!$A$12:$V$5087,14)/35.32</f>
        <v>22.766819276760526</v>
      </c>
      <c r="S94" s="26">
        <f>[1]Balance_Gatún!X93/35.32</f>
        <v>100.87703254206414</v>
      </c>
      <c r="T94" s="25">
        <v>62.497494206702974</v>
      </c>
      <c r="U94" s="25">
        <v>49.22671790919064</v>
      </c>
      <c r="V94" s="29">
        <f>LOOKUP(D94,[1]Parámetros!$A$7:$A$24,[1]Parámetros!$B$7:$B$24)</f>
        <v>49.5</v>
      </c>
      <c r="W94" s="30" t="str">
        <f t="shared" si="7"/>
        <v>Cambio Calado</v>
      </c>
      <c r="X94" s="31">
        <f t="shared" si="8"/>
        <v>46284</v>
      </c>
      <c r="Y94" s="30">
        <f>IF($W94="Cambio Calado",COUNTIF($W$14:W94,"Cambio Calado"),"")</f>
        <v>5</v>
      </c>
      <c r="Z94" s="31">
        <f t="shared" si="9"/>
        <v>46284</v>
      </c>
      <c r="AA94" s="30">
        <f t="shared" si="10"/>
        <v>49.5</v>
      </c>
      <c r="AB94" s="29">
        <f>IFERROR(LOOKUP($A94,$Z$14:$Z94,$AA$14:$AA94),$U94)</f>
        <v>49.5</v>
      </c>
      <c r="AC94" s="32">
        <f>IFERROR($A95-LOOKUP($A95,$Z$14:$Z94),"")</f>
        <v>1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241.06</v>
      </c>
      <c r="D95" s="25">
        <f>+VLOOKUP(B95,[1]Balance_Gatún!$A$13:$E$5087,2)</f>
        <v>84.552000000000007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2.7027027027027026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6.1421372404511274</v>
      </c>
      <c r="P95" s="24">
        <f>+VLOOKUP(B95,[1]Balance_Madden!$A$12:$V$5087,12)/35.32</f>
        <v>1.9785531237611607</v>
      </c>
      <c r="Q95" s="25">
        <f>+VLOOKUP(B95,[1]Balance_Gatún!$A$13:$AD$5087,15)/35.32</f>
        <v>17.770982952017949</v>
      </c>
      <c r="R95" s="24">
        <f>+VLOOKUP(B95,[1]Balance_Madden!$A$12:$V$5087,14)/35.32</f>
        <v>22.72600499239083</v>
      </c>
      <c r="S95" s="26">
        <f>[1]Balance_Gatún!X94/35.32</f>
        <v>100.48481336459938</v>
      </c>
      <c r="T95" s="25">
        <v>45.41809416430668</v>
      </c>
      <c r="U95" s="25">
        <v>30.305279317689177</v>
      </c>
      <c r="V95" s="29">
        <f>LOOKUP(D95,[1]Parámetros!$A$7:$A$24,[1]Parámetros!$B$7:$B$24)</f>
        <v>49.5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49.5</v>
      </c>
      <c r="AC95" s="32">
        <f>IFERROR($A96-LOOKUP($A96,$Z$14:$Z95),"")</f>
        <v>2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241.17</v>
      </c>
      <c r="D96" s="25">
        <f>+VLOOKUP(B96,[1]Balance_Gatún!$A$13:$E$5087,2)</f>
        <v>84.546000000000006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2.7027027027027026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6.1410269041558392</v>
      </c>
      <c r="P96" s="24">
        <f>+VLOOKUP(B96,[1]Balance_Madden!$A$12:$V$5087,12)/35.32</f>
        <v>1.3606468246794436</v>
      </c>
      <c r="Q96" s="25">
        <f>+VLOOKUP(B96,[1]Balance_Gatún!$A$13:$AD$5087,15)/35.32</f>
        <v>12.202811640211722</v>
      </c>
      <c r="R96" s="24">
        <f>+VLOOKUP(B96,[1]Balance_Madden!$A$12:$V$5087,14)/35.32</f>
        <v>22.108098693309113</v>
      </c>
      <c r="S96" s="26">
        <f>[1]Balance_Gatún!X95/35.32</f>
        <v>94.903793965480446</v>
      </c>
      <c r="T96" s="25">
        <v>43.613178070981867</v>
      </c>
      <c r="U96" s="25">
        <v>23.572027405610466</v>
      </c>
      <c r="V96" s="29">
        <f>LOOKUP(D96,[1]Parámetros!$A$7:$A$24,[1]Parámetros!$B$7:$B$24)</f>
        <v>49.5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49.5</v>
      </c>
      <c r="AC96" s="32">
        <f>IFERROR($A97-LOOKUP($A97,$Z$14:$Z96),"")</f>
        <v>3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241.57</v>
      </c>
      <c r="D97" s="25">
        <f>+VLOOKUP(B97,[1]Balance_Gatún!$A$13:$E$5087,2)</f>
        <v>84.59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2.7027027027027026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6.1491693703212924</v>
      </c>
      <c r="P97" s="24">
        <f>+VLOOKUP(B97,[1]Balance_Madden!$A$12:$V$5087,12)/35.32</f>
        <v>2.3783045274584351</v>
      </c>
      <c r="Q97" s="25">
        <f>+VLOOKUP(B97,[1]Balance_Gatún!$A$13:$AD$5087,15)/35.32</f>
        <v>21.231926014815492</v>
      </c>
      <c r="R97" s="24">
        <f>+VLOOKUP(B97,[1]Balance_Madden!$A$12:$V$5087,14)/35.32</f>
        <v>23.125756396088104</v>
      </c>
      <c r="S97" s="26">
        <f>[1]Balance_Gatún!X96/35.32</f>
        <v>104.02712764704404</v>
      </c>
      <c r="T97" s="25">
        <v>67.805431719465801</v>
      </c>
      <c r="U97" s="25">
        <v>37.950228960192611</v>
      </c>
      <c r="V97" s="29">
        <f>LOOKUP(D97,[1]Parámetros!$A$7:$A$24,[1]Parámetros!$B$7:$B$24)</f>
        <v>49.5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49.5</v>
      </c>
      <c r="AC97" s="32">
        <f>IFERROR($A98-LOOKUP($A98,$Z$14:$Z97),"")</f>
        <v>4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241.85</v>
      </c>
      <c r="D98" s="25">
        <f>+VLOOKUP(B98,[1]Balance_Gatún!$A$13:$E$5087,2)</f>
        <v>84.593999999999994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2.7027027027027026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6.1499095945181494</v>
      </c>
      <c r="P98" s="24">
        <f>+VLOOKUP(B98,[1]Balance_Madden!$A$12:$V$5087,12)/35.32</f>
        <v>2.4367471560324159</v>
      </c>
      <c r="Q98" s="25">
        <f>+VLOOKUP(B98,[1]Balance_Gatún!$A$13:$AD$5087,15)/35.32</f>
        <v>21.676700925933964</v>
      </c>
      <c r="R98" s="24">
        <f>+VLOOKUP(B98,[1]Balance_Madden!$A$12:$V$5087,14)/35.32</f>
        <v>23.184199024662085</v>
      </c>
      <c r="S98" s="26">
        <f>[1]Balance_Gatún!X97/35.32</f>
        <v>104.48046794970428</v>
      </c>
      <c r="T98" s="25">
        <v>48.734463531571286</v>
      </c>
      <c r="U98" s="25">
        <v>38.627017706436348</v>
      </c>
      <c r="V98" s="29">
        <f>LOOKUP(D98,[1]Parámetros!$A$7:$A$24,[1]Parámetros!$B$7:$B$24)</f>
        <v>49.5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49.5</v>
      </c>
      <c r="AC98" s="32">
        <f>IFERROR($A99-LOOKUP($A99,$Z$14:$Z98),"")</f>
        <v>5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242.76</v>
      </c>
      <c r="D99" s="25">
        <f>+VLOOKUP(B99,[1]Balance_Gatún!$A$13:$E$5087,2)</f>
        <v>84.635000000000005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2.7027027027027026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6.1574968925359608</v>
      </c>
      <c r="P99" s="24">
        <f>+VLOOKUP(B99,[1]Balance_Madden!$A$12:$V$5087,12)/35.32</f>
        <v>1.9144862532835385</v>
      </c>
      <c r="Q99" s="25">
        <f>+VLOOKUP(B99,[1]Balance_Gatún!$A$13:$AD$5087,15)/35.32</f>
        <v>16.842597828806689</v>
      </c>
      <c r="R99" s="24">
        <f>+VLOOKUP(B99,[1]Balance_Madden!$A$12:$V$5087,14)/35.32</f>
        <v>22.661938121913209</v>
      </c>
      <c r="S99" s="26">
        <f>[1]Balance_Gatún!X98/35.32</f>
        <v>99.734160115880513</v>
      </c>
      <c r="T99" s="25">
        <v>17.275308391534619</v>
      </c>
      <c r="U99" s="25">
        <v>25.263727309246644</v>
      </c>
      <c r="V99" s="29">
        <f>LOOKUP(D99,[1]Parámetros!$A$7:$A$24,[1]Parámetros!$B$7:$B$24)</f>
        <v>49.5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49.5</v>
      </c>
      <c r="AC99" s="32">
        <f>IFERROR($A100-LOOKUP($A100,$Z$14:$Z99),"")</f>
        <v>6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243.13</v>
      </c>
      <c r="D100" s="25">
        <f>+VLOOKUP(B100,[1]Balance_Gatún!$A$13:$E$5087,2)</f>
        <v>84.616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2.7027027027027026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6.1539808276008783</v>
      </c>
      <c r="P100" s="24">
        <f>+VLOOKUP(B100,[1]Balance_Madden!$A$12:$V$5087,12)/35.32</f>
        <v>2.62889871303353</v>
      </c>
      <c r="Q100" s="25">
        <f>+VLOOKUP(B100,[1]Balance_Gatún!$A$13:$AD$5087,15)/35.32</f>
        <v>23.013397205674952</v>
      </c>
      <c r="R100" s="24">
        <f>+VLOOKUP(B100,[1]Balance_Madden!$A$12:$V$5087,14)/35.32</f>
        <v>23.3763505816632</v>
      </c>
      <c r="S100" s="26">
        <f>[1]Balance_Gatún!X99/35.32</f>
        <v>105.8642738829252</v>
      </c>
      <c r="T100" s="25">
        <v>28.599194885211464</v>
      </c>
      <c r="U100" s="25">
        <v>23.2424212681867</v>
      </c>
      <c r="V100" s="29">
        <f>LOOKUP(D100,[1]Parámetros!$A$7:$A$24,[1]Parámetros!$B$7:$B$24)</f>
        <v>49.5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49.5</v>
      </c>
      <c r="AC100" s="32">
        <f>IFERROR($A101-LOOKUP($A101,$Z$14:$Z100),"")</f>
        <v>7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243.58</v>
      </c>
      <c r="D101" s="25">
        <f>+VLOOKUP(B101,[1]Balance_Gatún!$A$13:$E$5087,2)</f>
        <v>84.664000000000001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2.7027027027027026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6.1628635179631903</v>
      </c>
      <c r="P101" s="24">
        <f>+VLOOKUP(B101,[1]Balance_Madden!$A$12:$V$5087,12)/35.32</f>
        <v>2.446524381674994</v>
      </c>
      <c r="Q101" s="25">
        <f>+VLOOKUP(B101,[1]Balance_Gatún!$A$13:$AD$5087,15)/35.32</f>
        <v>21.307964756647966</v>
      </c>
      <c r="R101" s="24">
        <f>+VLOOKUP(B101,[1]Balance_Madden!$A$12:$V$5087,14)/35.32</f>
        <v>23.193976250304665</v>
      </c>
      <c r="S101" s="26">
        <f>[1]Balance_Gatún!X100/35.32</f>
        <v>104.26162613239983</v>
      </c>
      <c r="T101" s="25">
        <v>117.50874721896638</v>
      </c>
      <c r="U101" s="25">
        <v>46.51026447447974</v>
      </c>
      <c r="V101" s="29">
        <f>LOOKUP(D101,[1]Parámetros!$A$7:$A$24,[1]Parámetros!$B$7:$B$24)</f>
        <v>49.5</v>
      </c>
      <c r="W101" s="30" t="str">
        <f t="shared" si="7"/>
        <v/>
      </c>
      <c r="X101" s="31" t="str">
        <f t="shared" si="8"/>
        <v/>
      </c>
      <c r="Y101" s="30" t="str">
        <f>IF($W101="Cambio Calado",COUNTIF($W$14:W101,"Cambio Calado"),"")</f>
        <v/>
      </c>
      <c r="Z101" s="31" t="str">
        <f t="shared" si="9"/>
        <v/>
      </c>
      <c r="AA101" s="30" t="str">
        <f t="shared" si="10"/>
        <v/>
      </c>
      <c r="AB101" s="29">
        <f>IFERROR(LOOKUP($A101,$Z$14:$Z101,$AA$14:$AA101),$U101)</f>
        <v>49.5</v>
      </c>
      <c r="AC101" s="32">
        <f>IFERROR($A102-LOOKUP($A102,$Z$14:$Z101),"")</f>
        <v>8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243.89</v>
      </c>
      <c r="D102" s="25">
        <f>+VLOOKUP(B102,[1]Balance_Gatún!$A$13:$E$5087,2)</f>
        <v>84.745999999999995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2.7027027027027026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6.1780381139988076</v>
      </c>
      <c r="P102" s="24">
        <f>+VLOOKUP(B102,[1]Balance_Madden!$A$12:$V$5087,12)/35.32</f>
        <v>1.5618068307574444</v>
      </c>
      <c r="Q102" s="25">
        <f>+VLOOKUP(B102,[1]Balance_Gatún!$A$13:$AD$5087,15)/35.32</f>
        <v>13.563411598396133</v>
      </c>
      <c r="R102" s="24">
        <f>+VLOOKUP(B102,[1]Balance_Madden!$A$12:$V$5087,14)/35.32</f>
        <v>22.309258699387115</v>
      </c>
      <c r="S102" s="26">
        <f>[1]Balance_Gatún!X101/35.32</f>
        <v>96.692663500754932</v>
      </c>
      <c r="T102" s="25">
        <v>39.605802753482372</v>
      </c>
      <c r="U102" s="25">
        <v>34.384243234767155</v>
      </c>
      <c r="V102" s="29">
        <f>LOOKUP(D102,[1]Parámetros!$A$7:$A$24,[1]Parámetros!$B$7:$B$24)</f>
        <v>49.5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49.5</v>
      </c>
      <c r="AC102" s="32">
        <f>IFERROR($A103-LOOKUP($A103,$Z$14:$Z102),"")</f>
        <v>9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244.18</v>
      </c>
      <c r="D103" s="25">
        <f>+VLOOKUP(B103,[1]Balance_Gatún!$A$13:$E$5087,2)</f>
        <v>84.795000000000002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2.7027027027027026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6.1871058604103357</v>
      </c>
      <c r="P103" s="24">
        <f>+VLOOKUP(B103,[1]Balance_Madden!$A$12:$V$5087,12)/35.32</f>
        <v>1.3690375838438715</v>
      </c>
      <c r="Q103" s="25">
        <f>+VLOOKUP(B103,[1]Balance_Gatún!$A$13:$AD$5087,15)/35.32</f>
        <v>11.853238776737241</v>
      </c>
      <c r="R103" s="24">
        <f>+VLOOKUP(B103,[1]Balance_Madden!$A$12:$V$5087,14)/35.32</f>
        <v>22.116489452473541</v>
      </c>
      <c r="S103" s="26">
        <f>[1]Balance_Gatún!X102/35.32</f>
        <v>95.087416725483124</v>
      </c>
      <c r="T103" s="25">
        <v>33.074210259485035</v>
      </c>
      <c r="U103" s="25">
        <v>28.58886482546875</v>
      </c>
      <c r="V103" s="29">
        <f>LOOKUP(D103,[1]Parámetros!$A$7:$A$24,[1]Parámetros!$B$7:$B$24)</f>
        <v>49.5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49.5</v>
      </c>
      <c r="AC103" s="32">
        <f>IFERROR($A104-LOOKUP($A104,$Z$14:$Z103),"")</f>
        <v>10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243.32</v>
      </c>
      <c r="D104" s="25">
        <f>+VLOOKUP(B104,[1]Balance_Gatún!$A$13:$E$5087,2)</f>
        <v>84.887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2.7027027027027026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6.2041310169381019</v>
      </c>
      <c r="P104" s="24">
        <f>+VLOOKUP(B104,[1]Balance_Madden!$A$12:$V$5087,12)/35.32</f>
        <v>1.1777715112161964</v>
      </c>
      <c r="Q104" s="25">
        <f>+VLOOKUP(B104,[1]Balance_Gatún!$A$13:$AD$5087,15)/35.32</f>
        <v>10.320855598209551</v>
      </c>
      <c r="R104" s="24">
        <f>+VLOOKUP(B104,[1]Balance_Madden!$A$12:$V$5087,14)/35.32</f>
        <v>21.925223379845868</v>
      </c>
      <c r="S104" s="26">
        <f>[1]Balance_Gatún!X103/35.32</f>
        <v>93.752037552416866</v>
      </c>
      <c r="T104" s="25">
        <v>46.315581836797037</v>
      </c>
      <c r="U104" s="25">
        <v>32.267276974351454</v>
      </c>
      <c r="V104" s="29">
        <f>LOOKUP(D104,[1]Parámetros!$A$7:$A$24,[1]Parámetros!$B$7:$B$24)</f>
        <v>49.5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49.5</v>
      </c>
      <c r="AC104" s="32">
        <f>IFERROR($A105-LOOKUP($A105,$Z$14:$Z104),"")</f>
        <v>11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242.66</v>
      </c>
      <c r="D105" s="25">
        <f>+VLOOKUP(B105,[1]Balance_Gatún!$A$13:$E$5087,2)</f>
        <v>85.010999999999996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2.7027027027027026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6.2270779670407421</v>
      </c>
      <c r="P105" s="24">
        <f>+VLOOKUP(B105,[1]Balance_Madden!$A$12:$V$5087,12)/35.32</f>
        <v>1.2244902658274892</v>
      </c>
      <c r="Q105" s="25">
        <f>+VLOOKUP(B105,[1]Balance_Gatún!$A$13:$AD$5087,15)/35.32</f>
        <v>10.837751598675574</v>
      </c>
      <c r="R105" s="24">
        <f>+VLOOKUP(B105,[1]Balance_Madden!$A$12:$V$5087,14)/35.32</f>
        <v>21.971942134457159</v>
      </c>
      <c r="S105" s="26">
        <f>[1]Balance_Gatún!X104/35.32</f>
        <v>94.534460690678728</v>
      </c>
      <c r="T105" s="25">
        <v>43.29790228335429</v>
      </c>
      <c r="U105" s="25">
        <v>23.886961083390851</v>
      </c>
      <c r="V105" s="29">
        <f>LOOKUP(D105,[1]Parámetros!$A$7:$A$24,[1]Parámetros!$B$7:$B$24)</f>
        <v>50</v>
      </c>
      <c r="W105" s="30" t="str">
        <f t="shared" si="7"/>
        <v>Cambio Calado</v>
      </c>
      <c r="X105" s="31">
        <f t="shared" si="8"/>
        <v>46295</v>
      </c>
      <c r="Y105" s="30">
        <f>IF($W105="Cambio Calado",COUNTIF($W$14:W105,"Cambio Calado"),"")</f>
        <v>6</v>
      </c>
      <c r="Z105" s="31">
        <f t="shared" si="9"/>
        <v>46295</v>
      </c>
      <c r="AA105" s="30">
        <f t="shared" si="10"/>
        <v>50</v>
      </c>
      <c r="AB105" s="29">
        <f>IFERROR(LOOKUP($A105,$Z$14:$Z105,$AA$14:$AA105),$U105)</f>
        <v>50</v>
      </c>
      <c r="AC105" s="32">
        <f>IFERROR($A106-LOOKUP($A106,$Z$14:$Z105),"")</f>
        <v>1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242.64</v>
      </c>
      <c r="D106" s="25">
        <f>+VLOOKUP(B106,[1]Balance_Gatún!$A$13:$E$5087,2)</f>
        <v>85.039000000000001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2.7027027027027026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5.4304145329634954</v>
      </c>
      <c r="P106" s="24">
        <f>+VLOOKUP(B106,[1]Balance_Madden!$A$12:$V$5087,12)/35.32</f>
        <v>2.037000533718381</v>
      </c>
      <c r="Q106" s="25">
        <f>+VLOOKUP(B106,[1]Balance_Gatún!$A$13:$AD$5087,15)/35.32</f>
        <v>18.040134728839455</v>
      </c>
      <c r="R106" s="24">
        <f>+VLOOKUP(B106,[1]Balance_Madden!$A$12:$V$5087,14)/35.32</f>
        <v>22.784452402348052</v>
      </c>
      <c r="S106" s="26">
        <f>[1]Balance_Gatún!X105/35.32</f>
        <v>92.51837424249122</v>
      </c>
      <c r="T106" s="25">
        <v>43.445725335284848</v>
      </c>
      <c r="U106" s="25">
        <v>22.784704413547551</v>
      </c>
      <c r="V106" s="29">
        <f>LOOKUP(D106,[1]Parámetros!$A$7:$A$24,[1]Parámetros!$B$7:$B$24)</f>
        <v>50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50</v>
      </c>
      <c r="AC106" s="32">
        <f>IFERROR($A107-LOOKUP($A107,$Z$14:$Z106),"")</f>
        <v>2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242.66</v>
      </c>
      <c r="D107" s="25">
        <f>+VLOOKUP(B107,[1]Balance_Gatún!$A$13:$E$5087,2)</f>
        <v>85.096000000000004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2.7027027027027026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5.439315011570816</v>
      </c>
      <c r="P107" s="24">
        <f>+VLOOKUP(B107,[1]Balance_Madden!$A$12:$V$5087,12)/35.32</f>
        <v>1.8464378756533215</v>
      </c>
      <c r="Q107" s="25">
        <f>+VLOOKUP(B107,[1]Balance_Gatún!$A$13:$AD$5087,15)/35.32</f>
        <v>16.360098426891945</v>
      </c>
      <c r="R107" s="24">
        <f>+VLOOKUP(B107,[1]Balance_Madden!$A$12:$V$5087,14)/35.32</f>
        <v>22.593889744282993</v>
      </c>
      <c r="S107" s="26">
        <f>[1]Balance_Gatún!X106/35.32</f>
        <v>90.941328473012902</v>
      </c>
      <c r="T107" s="25">
        <v>59.570332851783952</v>
      </c>
      <c r="U107" s="25">
        <v>22.80393099216375</v>
      </c>
      <c r="V107" s="29">
        <f>LOOKUP(D107,[1]Parámetros!$A$7:$A$24,[1]Parámetros!$B$7:$B$24)</f>
        <v>50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50</v>
      </c>
      <c r="AC107" s="32">
        <f>IFERROR($A108-LOOKUP($A108,$Z$14:$Z107),"")</f>
        <v>3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242.62</v>
      </c>
      <c r="D108" s="25">
        <f>+VLOOKUP(B108,[1]Balance_Gatún!$A$13:$E$5087,2)</f>
        <v>85.147999999999996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2.7027027027027026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5.4474347464406501</v>
      </c>
      <c r="P108" s="24">
        <f>+VLOOKUP(B108,[1]Balance_Madden!$A$12:$V$5087,12)/35.32</f>
        <v>0.50347119773724669</v>
      </c>
      <c r="Q108" s="25">
        <f>+VLOOKUP(B108,[1]Balance_Gatún!$A$13:$AD$5087,15)/35.32</f>
        <v>4.4661475077141102</v>
      </c>
      <c r="R108" s="24">
        <f>+VLOOKUP(B108,[1]Balance_Madden!$A$12:$V$5087,14)/35.32</f>
        <v>21.250923066366916</v>
      </c>
      <c r="S108" s="26">
        <f>[1]Balance_Gatún!X107/35.32</f>
        <v>79.141333829070092</v>
      </c>
      <c r="T108" s="25">
        <v>118.38852410411407</v>
      </c>
      <c r="U108" s="25">
        <v>51.044064501527423</v>
      </c>
      <c r="V108" s="29">
        <f>LOOKUP(D108,[1]Parámetros!$A$7:$A$24,[1]Parámetros!$B$7:$B$24)</f>
        <v>50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50</v>
      </c>
      <c r="AC108" s="32">
        <f>IFERROR($A109-LOOKUP($A109,$Z$14:$Z108),"")</f>
        <v>4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242.61</v>
      </c>
      <c r="D109" s="25">
        <f>+VLOOKUP(B109,[1]Balance_Gatún!$A$13:$E$5087,2)</f>
        <v>85.153000000000006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2.7027027027027026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5.4482154901781348</v>
      </c>
      <c r="P109" s="24">
        <f>+VLOOKUP(B109,[1]Balance_Madden!$A$12:$V$5087,12)/35.32</f>
        <v>1.0680982852670373</v>
      </c>
      <c r="Q109" s="25">
        <f>+VLOOKUP(B109,[1]Balance_Gatún!$A$13:$AD$5087,15)/35.32</f>
        <v>9.4765990587197493</v>
      </c>
      <c r="R109" s="24">
        <f>+VLOOKUP(B109,[1]Balance_Madden!$A$12:$V$5087,14)/35.32</f>
        <v>21.815550153896705</v>
      </c>
      <c r="S109" s="26">
        <f>[1]Balance_Gatún!X108/35.32</f>
        <v>84.160819637309885</v>
      </c>
      <c r="T109" s="25">
        <v>52.397743735287953</v>
      </c>
      <c r="U109" s="25">
        <v>35.020775475747669</v>
      </c>
      <c r="V109" s="29">
        <f>LOOKUP(D109,[1]Parámetros!$A$7:$A$24,[1]Parámetros!$B$7:$B$24)</f>
        <v>50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50</v>
      </c>
      <c r="AC109" s="32">
        <f>IFERROR($A110-LOOKUP($A110,$Z$14:$Z109),"")</f>
        <v>5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242.71899999999999</v>
      </c>
      <c r="D110" s="25">
        <f>+VLOOKUP(B110,[1]Balance_Gatún!$A$13:$E$5087,2)</f>
        <v>85.123241483256109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2.7027027027027026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5.4435687350612127</v>
      </c>
      <c r="P110" s="24">
        <f>+VLOOKUP(B110,[1]Balance_Madden!$A$12:$V$5087,12)/35.32</f>
        <v>1.2409190438597231</v>
      </c>
      <c r="Q110" s="25">
        <f>+VLOOKUP(B110,[1]Balance_Gatún!$A$13:$AD$5087,15)/35.32</f>
        <v>10.990505268440094</v>
      </c>
      <c r="R110" s="24">
        <f>+VLOOKUP(B110,[1]Balance_Madden!$A$12:$V$5087,14)/35.32</f>
        <v>21.988370912489394</v>
      </c>
      <c r="S110" s="26">
        <f>[1]Balance_Gatún!X109/35.32</f>
        <v>85.62095662799608</v>
      </c>
      <c r="T110" s="25">
        <v>32.556971259099619</v>
      </c>
      <c r="U110" s="25">
        <v>18.692628400028969</v>
      </c>
      <c r="V110" s="29">
        <f>LOOKUP(D110,[1]Parámetros!$A$7:$A$24,[1]Parámetros!$B$7:$B$24)</f>
        <v>50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50</v>
      </c>
      <c r="AC110" s="32">
        <f>IFERROR($A111-LOOKUP($A111,$Z$14:$Z110),"")</f>
        <v>6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243.01400000000001</v>
      </c>
      <c r="D111" s="25">
        <f>+VLOOKUP(B111,[1]Balance_Gatún!$A$13:$E$5087,2)</f>
        <v>85.110456156854852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2.7027027027027026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5.4415723223573176</v>
      </c>
      <c r="P111" s="24">
        <f>+VLOOKUP(B111,[1]Balance_Madden!$A$12:$V$5087,12)/35.32</f>
        <v>1.122624532615816</v>
      </c>
      <c r="Q111" s="25">
        <f>+VLOOKUP(B111,[1]Balance_Gatún!$A$13:$AD$5087,15)/35.32</f>
        <v>9.9039212329059065</v>
      </c>
      <c r="R111" s="24">
        <f>+VLOOKUP(B111,[1]Balance_Madden!$A$12:$V$5087,14)/35.32</f>
        <v>21.870076401245488</v>
      </c>
      <c r="S111" s="26">
        <f>[1]Balance_Gatún!X110/35.32</f>
        <v>84.511271406955615</v>
      </c>
      <c r="T111" s="25">
        <v>39.691461499170678</v>
      </c>
      <c r="U111" s="25">
        <v>28.988720564165657</v>
      </c>
      <c r="V111" s="29">
        <f>LOOKUP(D111,[1]Parámetros!$A$7:$A$24,[1]Parámetros!$B$7:$B$24)</f>
        <v>50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50</v>
      </c>
      <c r="AC111" s="32">
        <f>IFERROR($A112-LOOKUP($A112,$Z$14:$Z111),"")</f>
        <v>7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243.096</v>
      </c>
      <c r="D112" s="25">
        <f>+VLOOKUP(B112,[1]Balance_Gatún!$A$13:$E$5087,2)</f>
        <v>85.093090407914616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2.7027027027027026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5.4388606824109553</v>
      </c>
      <c r="P112" s="24">
        <f>+VLOOKUP(B112,[1]Balance_Madden!$A$12:$V$5087,12)/35.32</f>
        <v>2.3788777226094839</v>
      </c>
      <c r="Q112" s="25">
        <f>+VLOOKUP(B112,[1]Balance_Gatún!$A$13:$AD$5087,15)/35.32</f>
        <v>20.960252284871157</v>
      </c>
      <c r="R112" s="24">
        <f>+VLOOKUP(B112,[1]Balance_Madden!$A$12:$V$5087,14)/35.32</f>
        <v>23.126329591239156</v>
      </c>
      <c r="S112" s="26">
        <f>[1]Balance_Gatún!X111/35.32</f>
        <v>95.536225130322961</v>
      </c>
      <c r="T112" s="25">
        <v>67.585516310929094</v>
      </c>
      <c r="U112" s="25">
        <v>25.081329634056036</v>
      </c>
      <c r="V112" s="29">
        <f>LOOKUP(D112,[1]Parámetros!$A$7:$A$24,[1]Parámetros!$B$7:$B$24)</f>
        <v>50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50</v>
      </c>
      <c r="AC112" s="32">
        <f>IFERROR($A113-LOOKUP($A113,$Z$14:$Z112),"")</f>
        <v>8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243.126</v>
      </c>
      <c r="D113" s="25">
        <f>+VLOOKUP(B113,[1]Balance_Gatún!$A$13:$E$5087,2)</f>
        <v>85.094450616978918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2.7027027027027026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5.4390730773526794</v>
      </c>
      <c r="P113" s="24">
        <f>+VLOOKUP(B113,[1]Balance_Madden!$A$12:$V$5087,12)/35.32</f>
        <v>2.7039565746928393</v>
      </c>
      <c r="Q113" s="25">
        <f>+VLOOKUP(B113,[1]Balance_Gatún!$A$13:$AD$5087,15)/35.32</f>
        <v>23.8158434934758</v>
      </c>
      <c r="R113" s="24">
        <f>+VLOOKUP(B113,[1]Balance_Madden!$A$12:$V$5087,14)/35.32</f>
        <v>23.451408443322507</v>
      </c>
      <c r="S113" s="26">
        <f>[1]Balance_Gatún!X112/35.32</f>
        <v>98.394274034643416</v>
      </c>
      <c r="T113" s="25">
        <v>204.69380258397032</v>
      </c>
      <c r="U113" s="25">
        <v>35.857551461759215</v>
      </c>
      <c r="V113" s="29">
        <f>LOOKUP(D113,[1]Parámetros!$A$7:$A$24,[1]Parámetros!$B$7:$B$24)</f>
        <v>50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50</v>
      </c>
      <c r="AC113" s="32">
        <f>IFERROR($A114-LOOKUP($A114,$Z$14:$Z113),"")</f>
        <v>9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243.19300000000001</v>
      </c>
      <c r="D114" s="25">
        <f>+VLOOKUP(B114,[1]Balance_Gatún!$A$13:$E$5087,2)</f>
        <v>85.052569170368997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2.7027027027027026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5.4325333419211859</v>
      </c>
      <c r="P114" s="24">
        <f>+VLOOKUP(B114,[1]Balance_Madden!$A$12:$V$5087,12)/35.32</f>
        <v>1.4180477326601186</v>
      </c>
      <c r="Q114" s="25">
        <f>+VLOOKUP(B114,[1]Balance_Gatún!$A$13:$AD$5087,15)/35.32</f>
        <v>12.472604760031974</v>
      </c>
      <c r="R114" s="24">
        <f>+VLOOKUP(B114,[1]Balance_Madden!$A$12:$V$5087,14)/35.32</f>
        <v>22.165499601289788</v>
      </c>
      <c r="S114" s="26">
        <f>[1]Balance_Gatún!X113/35.32</f>
        <v>86.975361748797226</v>
      </c>
      <c r="T114" s="25">
        <v>47.734117403704545</v>
      </c>
      <c r="U114" s="25">
        <v>28.785252665853712</v>
      </c>
      <c r="V114" s="29">
        <f>LOOKUP(D114,[1]Parámetros!$A$7:$A$24,[1]Parámetros!$B$7:$B$24)</f>
        <v>50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50</v>
      </c>
      <c r="AC114" s="32">
        <f>IFERROR($A115-LOOKUP($A115,$Z$14:$Z114),"")</f>
        <v>10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243.21100000000001</v>
      </c>
      <c r="D115" s="25">
        <f>+VLOOKUP(B115,[1]Balance_Gatún!$A$13:$E$5087,2)</f>
        <v>85.01341743841067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2.7027027027027026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5.4264198480135626</v>
      </c>
      <c r="P115" s="24">
        <f>+VLOOKUP(B115,[1]Balance_Madden!$A$12:$V$5087,12)/35.32</f>
        <v>0.93324931268848577</v>
      </c>
      <c r="Q115" s="25">
        <f>+VLOOKUP(B115,[1]Balance_Gatún!$A$13:$AD$5087,15)/35.32</f>
        <v>8.2025590586612189</v>
      </c>
      <c r="R115" s="24">
        <f>+VLOOKUP(B115,[1]Balance_Madden!$A$12:$V$5087,14)/35.32</f>
        <v>21.680701181318156</v>
      </c>
      <c r="S115" s="26">
        <f>[1]Balance_Gatún!X114/35.32</f>
        <v>82.634574683891771</v>
      </c>
      <c r="T115" s="25">
        <v>37.875891094260012</v>
      </c>
      <c r="U115" s="25">
        <v>20.27148025772458</v>
      </c>
      <c r="V115" s="29">
        <f>LOOKUP(D115,[1]Parámetros!$A$7:$A$24,[1]Parámetros!$B$7:$B$24)</f>
        <v>50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50</v>
      </c>
      <c r="AC115" s="32">
        <f>IFERROR($A116-LOOKUP($A116,$Z$14:$Z115),"")</f>
        <v>11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243.251</v>
      </c>
      <c r="D116" s="25">
        <f>+VLOOKUP(B116,[1]Balance_Gatún!$A$13:$E$5087,2)</f>
        <v>84.990581216860122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2.7027027027027026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5.4228540006208821</v>
      </c>
      <c r="P116" s="24">
        <f>+VLOOKUP(B116,[1]Balance_Madden!$A$12:$V$5087,12)/35.32</f>
        <v>1.0726715999110392</v>
      </c>
      <c r="Q116" s="25">
        <f>+VLOOKUP(B116,[1]Balance_Gatún!$A$13:$AD$5087,15)/35.32</f>
        <v>9.4204621337132597</v>
      </c>
      <c r="R116" s="24">
        <f>+VLOOKUP(B116,[1]Balance_Madden!$A$12:$V$5087,14)/35.32</f>
        <v>21.820123468540711</v>
      </c>
      <c r="S116" s="26">
        <f>[1]Balance_Gatún!X115/35.32</f>
        <v>83.811216098995104</v>
      </c>
      <c r="T116" s="25">
        <v>46.651994581617785</v>
      </c>
      <c r="U116" s="25">
        <v>29.953333522022159</v>
      </c>
      <c r="V116" s="29">
        <f>LOOKUP(D116,[1]Parámetros!$A$7:$A$24,[1]Parámetros!$B$7:$B$24)</f>
        <v>49.5</v>
      </c>
      <c r="W116" s="30" t="str">
        <f t="shared" si="7"/>
        <v>Cambio Calado</v>
      </c>
      <c r="X116" s="31">
        <f t="shared" si="8"/>
        <v>46306</v>
      </c>
      <c r="Y116" s="30">
        <f>IF($W116="Cambio Calado",COUNTIF($W$14:W116,"Cambio Calado"),"")</f>
        <v>7</v>
      </c>
      <c r="Z116" s="31">
        <f t="shared" si="9"/>
        <v>46306</v>
      </c>
      <c r="AA116" s="30">
        <f t="shared" si="10"/>
        <v>49.5</v>
      </c>
      <c r="AB116" s="29">
        <f>IFERROR(LOOKUP($A116,$Z$14:$Z116,$AA$14:$AA116),$U116)</f>
        <v>49.5</v>
      </c>
      <c r="AC116" s="32">
        <f>IFERROR($A117-LOOKUP($A117,$Z$14:$Z116),"")</f>
        <v>1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243.26599999999999</v>
      </c>
      <c r="D117" s="25">
        <f>+VLOOKUP(B117,[1]Balance_Gatún!$A$13:$E$5087,2)</f>
        <v>84.956322217584699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2.7027027027027026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5.4175045007935321</v>
      </c>
      <c r="P117" s="24">
        <f>+VLOOKUP(B117,[1]Balance_Madden!$A$12:$V$5087,12)/35.32</f>
        <v>0.77931117238395997</v>
      </c>
      <c r="Q117" s="25">
        <f>+VLOOKUP(B117,[1]Balance_Gatún!$A$13:$AD$5087,15)/35.32</f>
        <v>6.8398260170985239</v>
      </c>
      <c r="R117" s="24">
        <f>+VLOOKUP(B117,[1]Balance_Madden!$A$12:$V$5087,14)/35.32</f>
        <v>21.526763041013631</v>
      </c>
      <c r="S117" s="26">
        <f>[1]Balance_Gatún!X116/35.32</f>
        <v>81.168679059972732</v>
      </c>
      <c r="T117" s="25">
        <v>58.55144899206865</v>
      </c>
      <c r="U117" s="25">
        <v>34.15898559240533</v>
      </c>
      <c r="V117" s="29">
        <f>LOOKUP(D117,[1]Parámetros!$A$7:$A$24,[1]Parámetros!$B$7:$B$24)</f>
        <v>49.5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49.5</v>
      </c>
      <c r="AC117" s="32">
        <f>IFERROR($A118-LOOKUP($A118,$Z$14:$Z117),"")</f>
        <v>2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243.34</v>
      </c>
      <c r="D118" s="25">
        <f>+VLOOKUP(B118,[1]Balance_Gatún!$A$13:$E$5087,2)</f>
        <v>84.962769307748729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2.7027027027027026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5.4185112058476452</v>
      </c>
      <c r="P118" s="24">
        <f>+VLOOKUP(B118,[1]Balance_Madden!$A$12:$V$5087,12)/35.32</f>
        <v>1.4562332778825315</v>
      </c>
      <c r="Q118" s="25">
        <f>+VLOOKUP(B118,[1]Balance_Gatún!$A$13:$AD$5087,15)/35.32</f>
        <v>12.770051806688977</v>
      </c>
      <c r="R118" s="24">
        <f>+VLOOKUP(B118,[1]Balance_Madden!$A$12:$V$5087,14)/35.32</f>
        <v>22.2036851465122</v>
      </c>
      <c r="S118" s="26">
        <f>[1]Balance_Gatún!X117/35.32</f>
        <v>87.110553783753886</v>
      </c>
      <c r="T118" s="25">
        <v>71.876754401139422</v>
      </c>
      <c r="U118" s="25">
        <v>126.47774129636791</v>
      </c>
      <c r="V118" s="29">
        <f>LOOKUP(D118,[1]Parámetros!$A$7:$A$24,[1]Parámetros!$B$7:$B$24)</f>
        <v>49.5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49.5</v>
      </c>
      <c r="AC118" s="32">
        <f>IFERROR($A119-LOOKUP($A119,$Z$14:$Z118),"")</f>
        <v>3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243.65</v>
      </c>
      <c r="D119" s="25">
        <f>+VLOOKUP(B119,[1]Balance_Gatún!$A$13:$E$5087,2)</f>
        <v>84.966508690771235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2.7027027027027026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5.4190951058230201</v>
      </c>
      <c r="P119" s="24">
        <f>+VLOOKUP(B119,[1]Balance_Madden!$A$12:$V$5087,12)/35.32</f>
        <v>2.646440457926166</v>
      </c>
      <c r="Q119" s="25">
        <f>+VLOOKUP(B119,[1]Balance_Gatún!$A$13:$AD$5087,15)/35.32</f>
        <v>23.117339083365643</v>
      </c>
      <c r="R119" s="24">
        <f>+VLOOKUP(B119,[1]Balance_Madden!$A$12:$V$5087,14)/35.32</f>
        <v>23.393892326555836</v>
      </c>
      <c r="S119" s="26">
        <f>[1]Balance_Gatún!X118/35.32</f>
        <v>97.464597570055005</v>
      </c>
      <c r="T119" s="25">
        <v>59.137939329785709</v>
      </c>
      <c r="U119" s="25">
        <v>51.371757915392124</v>
      </c>
      <c r="V119" s="29">
        <f>LOOKUP(D119,[1]Parámetros!$A$7:$A$24,[1]Parámetros!$B$7:$B$24)</f>
        <v>49.5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49.5</v>
      </c>
      <c r="AC119" s="32">
        <f>IFERROR($A120-LOOKUP($A120,$Z$14:$Z119),"")</f>
        <v>4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243.684</v>
      </c>
      <c r="D120" s="25">
        <f>+VLOOKUP(B120,[1]Balance_Gatún!$A$13:$E$5087,2)</f>
        <v>84.928825446137665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2.7027027027027026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5.4132109143718719</v>
      </c>
      <c r="P120" s="24">
        <f>+VLOOKUP(B120,[1]Balance_Madden!$A$12:$V$5087,12)/35.32</f>
        <v>0.79900740609047993</v>
      </c>
      <c r="Q120" s="25">
        <f>+VLOOKUP(B120,[1]Balance_Gatún!$A$13:$AD$5087,15)/35.32</f>
        <v>6.9731997430800146</v>
      </c>
      <c r="R120" s="24">
        <f>+VLOOKUP(B120,[1]Balance_Madden!$A$12:$V$5087,14)/35.32</f>
        <v>21.546459274720149</v>
      </c>
      <c r="S120" s="26">
        <f>[1]Balance_Gatún!X119/35.32</f>
        <v>81.252370204682052</v>
      </c>
      <c r="T120" s="25">
        <v>56.833445306837056</v>
      </c>
      <c r="U120" s="25">
        <v>31.990266633606449</v>
      </c>
      <c r="V120" s="29">
        <f>LOOKUP(D120,[1]Parámetros!$A$7:$A$24,[1]Parámetros!$B$7:$B$24)</f>
        <v>49.5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49.5</v>
      </c>
      <c r="AC120" s="32">
        <f>IFERROR($A121-LOOKUP($A121,$Z$14:$Z120),"")</f>
        <v>5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243.69800000000001</v>
      </c>
      <c r="D121" s="25">
        <f>+VLOOKUP(B121,[1]Balance_Gatún!$A$13:$E$5087,2)</f>
        <v>84.895703528452088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2.7027027027027026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5.4080389684105752</v>
      </c>
      <c r="P121" s="24">
        <f>+VLOOKUP(B121,[1]Balance_Madden!$A$12:$V$5087,12)/35.32</f>
        <v>1.1367053587161033</v>
      </c>
      <c r="Q121" s="25">
        <f>+VLOOKUP(B121,[1]Balance_Gatún!$A$13:$AD$5087,15)/35.32</f>
        <v>9.9144768670024153</v>
      </c>
      <c r="R121" s="24">
        <f>+VLOOKUP(B121,[1]Balance_Madden!$A$12:$V$5087,14)/35.32</f>
        <v>21.884157227345771</v>
      </c>
      <c r="S121" s="26">
        <f>[1]Balance_Gatún!X120/35.32</f>
        <v>84.133800943712558</v>
      </c>
      <c r="T121" s="25">
        <v>99.547395493714404</v>
      </c>
      <c r="U121" s="25">
        <v>73.72867094699798</v>
      </c>
      <c r="V121" s="29">
        <f>LOOKUP(D121,[1]Parámetros!$A$7:$A$24,[1]Parámetros!$B$7:$B$24)</f>
        <v>49.5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49.5</v>
      </c>
      <c r="AC121" s="32">
        <f>IFERROR($A122-LOOKUP($A122,$Z$14:$Z121),"")</f>
        <v>6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243.69499999999999</v>
      </c>
      <c r="D122" s="25">
        <f>+VLOOKUP(B122,[1]Balance_Gatún!$A$13:$E$5087,2)</f>
        <v>84.861102359445738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2.7027027027027026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5.4026360392083088</v>
      </c>
      <c r="P122" s="24">
        <f>+VLOOKUP(B122,[1]Balance_Madden!$A$12:$V$5087,12)/35.32</f>
        <v>2.4437425910169654</v>
      </c>
      <c r="Q122" s="25">
        <f>+VLOOKUP(B122,[1]Balance_Gatún!$A$13:$AD$5087,15)/35.32</f>
        <v>21.30606145691269</v>
      </c>
      <c r="R122" s="24">
        <f>+VLOOKUP(B122,[1]Balance_Madden!$A$12:$V$5087,14)/35.32</f>
        <v>23.191194459646635</v>
      </c>
      <c r="S122" s="26">
        <f>[1]Balance_Gatún!X121/35.32</f>
        <v>95.462866361341781</v>
      </c>
      <c r="T122" s="25">
        <v>75.515808974979151</v>
      </c>
      <c r="U122" s="25">
        <v>77.051664943345386</v>
      </c>
      <c r="V122" s="29">
        <f>LOOKUP(D122,[1]Parámetros!$A$7:$A$24,[1]Parámetros!$B$7:$B$24)</f>
        <v>49.5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49.5</v>
      </c>
      <c r="AC122" s="32">
        <f>IFERROR($A123-LOOKUP($A123,$Z$14:$Z122),"")</f>
        <v>7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243.80500000000001</v>
      </c>
      <c r="D123" s="25">
        <f>+VLOOKUP(B123,[1]Balance_Gatún!$A$13:$E$5087,2)</f>
        <v>84.827573752262509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2.7027027027027026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5.3974005891913341</v>
      </c>
      <c r="P123" s="24">
        <f>+VLOOKUP(B123,[1]Balance_Madden!$A$12:$V$5087,12)/35.32</f>
        <v>1.0400383315132247</v>
      </c>
      <c r="Q123" s="25">
        <f>+VLOOKUP(B123,[1]Balance_Gatún!$A$13:$AD$5087,15)/35.32</f>
        <v>9.0512334053163421</v>
      </c>
      <c r="R123" s="24">
        <f>+VLOOKUP(B123,[1]Balance_Madden!$A$12:$V$5087,14)/35.32</f>
        <v>21.787490200142894</v>
      </c>
      <c r="S123" s="26">
        <f>[1]Balance_Gatún!X122/35.32</f>
        <v>83.147457097346305</v>
      </c>
      <c r="T123" s="25">
        <v>60.474222055556616</v>
      </c>
      <c r="U123" s="25">
        <v>54.672552926518669</v>
      </c>
      <c r="V123" s="29">
        <f>LOOKUP(D123,[1]Parámetros!$A$7:$A$24,[1]Parámetros!$B$7:$B$24)</f>
        <v>49.5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49.5</v>
      </c>
      <c r="AC123" s="32">
        <f>IFERROR($A124-LOOKUP($A124,$Z$14:$Z123),"")</f>
        <v>8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243.86500000000001</v>
      </c>
      <c r="D124" s="25">
        <f>+VLOOKUP(B124,[1]Balance_Gatún!$A$13:$E$5087,2)</f>
        <v>84.800858906780448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2.7027027027027026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5.3932290995297389</v>
      </c>
      <c r="P124" s="24">
        <f>+VLOOKUP(B124,[1]Balance_Madden!$A$12:$V$5087,12)/35.32</f>
        <v>0.92757679015598316</v>
      </c>
      <c r="Q124" s="25">
        <f>+VLOOKUP(B124,[1]Balance_Gatún!$A$13:$AD$5087,15)/35.32</f>
        <v>8.0636459936567739</v>
      </c>
      <c r="R124" s="24">
        <f>+VLOOKUP(B124,[1]Balance_Madden!$A$12:$V$5087,14)/35.32</f>
        <v>21.675028658785653</v>
      </c>
      <c r="S124" s="26">
        <f>[1]Balance_Gatún!X123/35.32</f>
        <v>82.111599928475684</v>
      </c>
      <c r="T124" s="25">
        <v>45.903176419873461</v>
      </c>
      <c r="U124" s="25">
        <v>44.427563304352809</v>
      </c>
      <c r="V124" s="29">
        <f>LOOKUP(D124,[1]Parámetros!$A$7:$A$24,[1]Parámetros!$B$7:$B$24)</f>
        <v>49.5</v>
      </c>
      <c r="W124" s="30" t="str">
        <f t="shared" si="7"/>
        <v/>
      </c>
      <c r="X124" s="31" t="str">
        <f t="shared" si="8"/>
        <v/>
      </c>
      <c r="Y124" s="30" t="str">
        <f>IF($W124="Cambio Calado",COUNTIF($W$14:W124,"Cambio Calado"),"")</f>
        <v/>
      </c>
      <c r="Z124" s="31" t="str">
        <f t="shared" si="9"/>
        <v/>
      </c>
      <c r="AA124" s="30" t="str">
        <f t="shared" si="10"/>
        <v/>
      </c>
      <c r="AB124" s="29">
        <f>IFERROR(LOOKUP($A124,$Z$14:$Z124,$AA$14:$AA124),$U124)</f>
        <v>49.5</v>
      </c>
      <c r="AC124" s="32">
        <f>IFERROR($A125-LOOKUP($A125,$Z$14:$Z124),"")</f>
        <v>9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243.9</v>
      </c>
      <c r="D125" s="25">
        <f>+VLOOKUP(B125,[1]Balance_Gatún!$A$13:$E$5087,2)</f>
        <v>84.769374629771363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2.7027027027027026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5.388312869108927</v>
      </c>
      <c r="P125" s="24">
        <f>+VLOOKUP(B125,[1]Balance_Madden!$A$12:$V$5087,12)/35.32</f>
        <v>2.3234849150268997</v>
      </c>
      <c r="Q125" s="25">
        <f>+VLOOKUP(B125,[1]Balance_Gatún!$A$13:$AD$5087,15)/35.32</f>
        <v>20.181599821863266</v>
      </c>
      <c r="R125" s="24">
        <f>+VLOOKUP(B125,[1]Balance_Madden!$A$12:$V$5087,14)/35.32</f>
        <v>23.07093678365657</v>
      </c>
      <c r="S125" s="26">
        <f>[1]Balance_Gatún!X124/35.32</f>
        <v>94.172666345215987</v>
      </c>
      <c r="T125" s="25">
        <v>100.09624266776075</v>
      </c>
      <c r="U125" s="25">
        <v>69.10508592452905</v>
      </c>
      <c r="V125" s="29">
        <f>LOOKUP(D125,[1]Parámetros!$A$7:$A$24,[1]Parámetros!$B$7:$B$24)</f>
        <v>49.5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49.5</v>
      </c>
      <c r="AC125" s="32">
        <f>IFERROR($A126-LOOKUP($A126,$Z$14:$Z125),"")</f>
        <v>10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243.92500000000001</v>
      </c>
      <c r="D126" s="25">
        <f>+VLOOKUP(B126,[1]Balance_Gatún!$A$13:$E$5087,2)</f>
        <v>84.773754386300453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2.7027027027027026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5.3889967626052862</v>
      </c>
      <c r="P126" s="24">
        <f>+VLOOKUP(B126,[1]Balance_Madden!$A$12:$V$5087,12)/35.32</f>
        <v>1.0325236250791696</v>
      </c>
      <c r="Q126" s="25">
        <f>+VLOOKUP(B126,[1]Balance_Gatún!$A$13:$AD$5087,15)/35.32</f>
        <v>8.9660814526714212</v>
      </c>
      <c r="R126" s="24">
        <f>+VLOOKUP(B126,[1]Balance_Madden!$A$12:$V$5087,14)/35.32</f>
        <v>21.779975493708839</v>
      </c>
      <c r="S126" s="26">
        <f>[1]Balance_Gatún!X125/35.32</f>
        <v>82.965061545445494</v>
      </c>
      <c r="T126" s="25">
        <v>113.75105955066908</v>
      </c>
      <c r="U126" s="25">
        <v>97.620255058317312</v>
      </c>
      <c r="V126" s="29">
        <f>LOOKUP(D126,[1]Parámetros!$A$7:$A$24,[1]Parámetros!$B$7:$B$24)</f>
        <v>49.5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49.5</v>
      </c>
      <c r="AC126" s="32">
        <f>IFERROR($A127-LOOKUP($A127,$Z$14:$Z126),"")</f>
        <v>11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244.327</v>
      </c>
      <c r="D127" s="25">
        <f>+VLOOKUP(B127,[1]Balance_Gatún!$A$13:$E$5087,2)</f>
        <v>84.763677422488271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2.7027027027027026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5.387423257327443</v>
      </c>
      <c r="P127" s="24">
        <f>+VLOOKUP(B127,[1]Balance_Madden!$A$12:$V$5087,12)/35.32</f>
        <v>1.4024126902783192</v>
      </c>
      <c r="Q127" s="25">
        <f>+VLOOKUP(B127,[1]Balance_Gatún!$A$13:$AD$5087,15)/35.32</f>
        <v>12.114898566926623</v>
      </c>
      <c r="R127" s="24">
        <f>+VLOOKUP(B127,[1]Balance_Madden!$A$12:$V$5087,14)/35.32</f>
        <v>22.149864558907989</v>
      </c>
      <c r="S127" s="26">
        <f>[1]Balance_Gatún!X126/35.32</f>
        <v>86.095671083057042</v>
      </c>
      <c r="T127" s="25">
        <v>57.053931840383413</v>
      </c>
      <c r="U127" s="25">
        <v>58.894078501749277</v>
      </c>
      <c r="V127" s="29">
        <f>LOOKUP(D127,[1]Parámetros!$A$7:$A$24,[1]Parámetros!$B$7:$B$24)</f>
        <v>49.5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49.5</v>
      </c>
      <c r="AC127" s="32">
        <f>IFERROR($A128-LOOKUP($A128,$Z$14:$Z127),"")</f>
        <v>12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244.422</v>
      </c>
      <c r="D128" s="25">
        <f>+VLOOKUP(B128,[1]Balance_Gatún!$A$13:$E$5087,2)</f>
        <v>84.746839974127852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2.7027027027027026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5.3847941108549211</v>
      </c>
      <c r="P128" s="24">
        <f>+VLOOKUP(B128,[1]Balance_Madden!$A$12:$V$5087,12)/35.32</f>
        <v>1.3352190734754363</v>
      </c>
      <c r="Q128" s="25">
        <f>+VLOOKUP(B128,[1]Balance_Gatún!$A$13:$AD$5087,15)/35.32</f>
        <v>11.518179074924072</v>
      </c>
      <c r="R128" s="24">
        <f>+VLOOKUP(B128,[1]Balance_Madden!$A$12:$V$5087,14)/35.32</f>
        <v>22.082670942105107</v>
      </c>
      <c r="S128" s="26">
        <f>[1]Balance_Gatún!X127/35.32</f>
        <v>85.468528823123563</v>
      </c>
      <c r="T128" s="25">
        <v>60.969628923458295</v>
      </c>
      <c r="U128" s="25">
        <v>43.867333741881502</v>
      </c>
      <c r="V128" s="29">
        <f>LOOKUP(D128,[1]Parámetros!$A$7:$A$24,[1]Parámetros!$B$7:$B$24)</f>
        <v>49.5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49.5</v>
      </c>
      <c r="AC128" s="32">
        <f>IFERROR($A129-LOOKUP($A129,$Z$14:$Z128),"")</f>
        <v>13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244.477</v>
      </c>
      <c r="D129" s="25">
        <f>+VLOOKUP(B129,[1]Balance_Gatún!$A$13:$E$5087,2)</f>
        <v>84.725041359563974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2.7027027027027026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5.3813902844936052</v>
      </c>
      <c r="P129" s="24">
        <f>+VLOOKUP(B129,[1]Balance_Madden!$A$12:$V$5087,12)/35.32</f>
        <v>2.0464599637539584</v>
      </c>
      <c r="Q129" s="25">
        <f>+VLOOKUP(B129,[1]Balance_Gatún!$A$13:$AD$5087,15)/35.32</f>
        <v>17.636543749898099</v>
      </c>
      <c r="R129" s="24">
        <f>+VLOOKUP(B129,[1]Balance_Madden!$A$12:$V$5087,14)/35.32</f>
        <v>22.793911832383628</v>
      </c>
      <c r="S129" s="26">
        <f>[1]Balance_Gatún!X128/35.32</f>
        <v>91.547506639834026</v>
      </c>
      <c r="T129" s="25">
        <v>51.39400126353123</v>
      </c>
      <c r="U129" s="25">
        <v>74.251272557746603</v>
      </c>
      <c r="V129" s="29">
        <f>LOOKUP(D129,[1]Parámetros!$A$7:$A$24,[1]Parámetros!$B$7:$B$24)</f>
        <v>49.5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49.5</v>
      </c>
      <c r="AC129" s="32">
        <f>IFERROR($A130-LOOKUP($A130,$Z$14:$Z129),"")</f>
        <v>14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244.85400000000001</v>
      </c>
      <c r="D130" s="25">
        <f>+VLOOKUP(B130,[1]Balance_Gatún!$A$13:$E$5087,2)</f>
        <v>84.74787387912734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2.7027027027027026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5.3849555538256224</v>
      </c>
      <c r="P130" s="24">
        <f>+VLOOKUP(B130,[1]Balance_Madden!$A$12:$V$5087,12)/35.32</f>
        <v>0.72308483188786821</v>
      </c>
      <c r="Q130" s="25">
        <f>+VLOOKUP(B130,[1]Balance_Gatún!$A$13:$AD$5087,15)/35.32</f>
        <v>6.2039357208588548</v>
      </c>
      <c r="R130" s="24">
        <f>+VLOOKUP(B130,[1]Balance_Madden!$A$12:$V$5087,14)/35.32</f>
        <v>21.470536700517538</v>
      </c>
      <c r="S130" s="26">
        <f>[1]Balance_Gatún!X129/35.32</f>
        <v>80.156153581802556</v>
      </c>
      <c r="T130" s="25">
        <v>85.433425096942514</v>
      </c>
      <c r="U130" s="25">
        <v>72.800633080122722</v>
      </c>
      <c r="V130" s="29">
        <f>LOOKUP(D130,[1]Parámetros!$A$7:$A$24,[1]Parámetros!$B$7:$B$24)</f>
        <v>49.5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49.5</v>
      </c>
      <c r="AC130" s="32">
        <f>IFERROR($A131-LOOKUP($A131,$Z$14:$Z130),"")</f>
        <v>15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245.142</v>
      </c>
      <c r="D131" s="25">
        <f>+VLOOKUP(B131,[1]Balance_Gatún!$A$13:$E$5087,2)</f>
        <v>84.752900075140985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2.7027027027027026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5.3857403880378261</v>
      </c>
      <c r="P131" s="24">
        <f>+VLOOKUP(B131,[1]Balance_Madden!$A$12:$V$5087,12)/35.32</f>
        <v>0.67574008579561773</v>
      </c>
      <c r="Q131" s="25">
        <f>+VLOOKUP(B131,[1]Balance_Gatún!$A$13:$AD$5087,15)/35.32</f>
        <v>5.7771921081619526</v>
      </c>
      <c r="R131" s="24">
        <f>+VLOOKUP(B131,[1]Balance_Madden!$A$12:$V$5087,14)/35.32</f>
        <v>21.423191954425288</v>
      </c>
      <c r="S131" s="26">
        <f>[1]Balance_Gatún!X130/35.32</f>
        <v>79.738491558644952</v>
      </c>
      <c r="T131" s="25">
        <v>71.62648060046638</v>
      </c>
      <c r="U131" s="25">
        <v>46.148220617700396</v>
      </c>
      <c r="V131" s="29">
        <f>LOOKUP(D131,[1]Parámetros!$A$7:$A$24,[1]Parámetros!$B$7:$B$24)</f>
        <v>49.5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49.5</v>
      </c>
      <c r="AC131" s="32">
        <f>IFERROR($A132-LOOKUP($A132,$Z$14:$Z131),"")</f>
        <v>16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245.364</v>
      </c>
      <c r="D132" s="25">
        <f>+VLOOKUP(B132,[1]Balance_Gatún!$A$13:$E$5087,2)</f>
        <v>84.740496557317769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2.7027027027027026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5.383803594265177</v>
      </c>
      <c r="P132" s="24">
        <f>+VLOOKUP(B132,[1]Balance_Madden!$A$12:$V$5087,12)/35.32</f>
        <v>0.6187480431415513</v>
      </c>
      <c r="Q132" s="25">
        <f>+VLOOKUP(B132,[1]Balance_Gatún!$A$13:$AD$5087,15)/35.32</f>
        <v>5.2744295959350156</v>
      </c>
      <c r="R132" s="24">
        <f>+VLOOKUP(B132,[1]Balance_Madden!$A$12:$V$5087,14)/35.32</f>
        <v>21.366199911771222</v>
      </c>
      <c r="S132" s="26">
        <f>[1]Balance_Gatún!X131/35.32</f>
        <v>79.21331773229339</v>
      </c>
      <c r="T132" s="25">
        <v>43.717313470291721</v>
      </c>
      <c r="U132" s="25">
        <v>40.497187379686039</v>
      </c>
      <c r="V132" s="29">
        <f>LOOKUP(D132,[1]Parámetros!$A$7:$A$24,[1]Parámetros!$B$7:$B$24)</f>
        <v>49.5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49.5</v>
      </c>
      <c r="AC132" s="32">
        <f>IFERROR($A133-LOOKUP($A133,$Z$14:$Z132),"")</f>
        <v>17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245.55</v>
      </c>
      <c r="D133" s="25">
        <f>+VLOOKUP(B133,[1]Balance_Gatún!$A$13:$E$5087,2)</f>
        <v>84.727558411418428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2.7027027027027026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5.3817833189880631</v>
      </c>
      <c r="P133" s="24">
        <f>+VLOOKUP(B133,[1]Balance_Madden!$A$12:$V$5087,12)/35.32</f>
        <v>1.2768671558451605</v>
      </c>
      <c r="Q133" s="25">
        <f>+VLOOKUP(B133,[1]Balance_Gatún!$A$13:$AD$5087,15)/35.32</f>
        <v>10.857407244730805</v>
      </c>
      <c r="R133" s="24">
        <f>+VLOOKUP(B133,[1]Balance_Madden!$A$12:$V$5087,14)/35.32</f>
        <v>22.024319024474831</v>
      </c>
      <c r="S133" s="26">
        <f>[1]Balance_Gatún!X132/35.32</f>
        <v>84.772918073451677</v>
      </c>
      <c r="T133" s="25">
        <v>94.845521073450229</v>
      </c>
      <c r="U133" s="25">
        <v>44.838127189272456</v>
      </c>
      <c r="V133" s="29">
        <f>LOOKUP(D133,[1]Parámetros!$A$7:$A$24,[1]Parámetros!$B$7:$B$24)</f>
        <v>49.5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49.5</v>
      </c>
      <c r="AC133" s="32">
        <f>IFERROR($A134-LOOKUP($A134,$Z$14:$Z133),"")</f>
        <v>18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245.71600000000001</v>
      </c>
      <c r="D134" s="25">
        <f>+VLOOKUP(B134,[1]Balance_Gatún!$A$13:$E$5087,2)</f>
        <v>84.706228835039298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2.7027027027027026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5.3784527323518221</v>
      </c>
      <c r="P134" s="24">
        <f>+VLOOKUP(B134,[1]Balance_Madden!$A$12:$V$5087,12)/35.32</f>
        <v>1.1724127297177123</v>
      </c>
      <c r="Q134" s="25">
        <f>+VLOOKUP(B134,[1]Balance_Gatún!$A$13:$AD$5087,15)/35.32</f>
        <v>9.9458757932361852</v>
      </c>
      <c r="R134" s="24">
        <f>+VLOOKUP(B134,[1]Balance_Madden!$A$12:$V$5087,14)/35.32</f>
        <v>21.919864598347385</v>
      </c>
      <c r="S134" s="26">
        <f>[1]Balance_Gatún!X133/35.32</f>
        <v>83.822847246016181</v>
      </c>
      <c r="T134" s="25">
        <v>85.908200429490464</v>
      </c>
      <c r="U134" s="25">
        <v>40.291184593691185</v>
      </c>
      <c r="V134" s="29">
        <f>LOOKUP(D134,[1]Parámetros!$A$7:$A$24,[1]Parámetros!$B$7:$B$24)</f>
        <v>49.5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49.5</v>
      </c>
      <c r="AC134" s="32">
        <f>IFERROR($A135-LOOKUP($A135,$Z$14:$Z134),"")</f>
        <v>19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245.86500000000001</v>
      </c>
      <c r="D135" s="25">
        <f>+VLOOKUP(B135,[1]Balance_Gatún!$A$13:$E$5087,2)</f>
        <v>84.68484576275543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2.7027027027027026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5.3751137923970633</v>
      </c>
      <c r="P135" s="24">
        <f>+VLOOKUP(B135,[1]Balance_Madden!$A$12:$V$5087,12)/35.32</f>
        <v>0.93507467603961303</v>
      </c>
      <c r="Q135" s="25">
        <f>+VLOOKUP(B135,[1]Balance_Gatún!$A$13:$AD$5087,15)/35.32</f>
        <v>7.9155963793546222</v>
      </c>
      <c r="R135" s="24">
        <f>+VLOOKUP(B135,[1]Balance_Madden!$A$12:$V$5087,14)/35.32</f>
        <v>21.682526544669283</v>
      </c>
      <c r="S135" s="26">
        <f>[1]Balance_Gatún!X134/35.32</f>
        <v>81.753931797040906</v>
      </c>
      <c r="T135" s="25">
        <v>40.034455211041333</v>
      </c>
      <c r="U135" s="25">
        <v>39.557654685497894</v>
      </c>
      <c r="V135" s="29">
        <f>LOOKUP(D135,[1]Parámetros!$A$7:$A$24,[1]Parámetros!$B$7:$B$24)</f>
        <v>49.5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49.5</v>
      </c>
      <c r="AC135" s="32">
        <f>IFERROR($A136-LOOKUP($A136,$Z$14:$Z135),"")</f>
        <v>20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246.001</v>
      </c>
      <c r="D136" s="25">
        <f>+VLOOKUP(B136,[1]Balance_Gatún!$A$13:$E$5087,2)</f>
        <v>84.662300327172417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2.7027027027027026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5.3715933508690066</v>
      </c>
      <c r="P136" s="24">
        <f>+VLOOKUP(B136,[1]Balance_Madden!$A$12:$V$5087,12)/35.32</f>
        <v>1.5166265968254253</v>
      </c>
      <c r="Q136" s="25">
        <f>+VLOOKUP(B136,[1]Balance_Gatún!$A$13:$AD$5087,15)/35.32</f>
        <v>12.81313926948604</v>
      </c>
      <c r="R136" s="24">
        <f>+VLOOKUP(B136,[1]Balance_Madden!$A$12:$V$5087,14)/35.32</f>
        <v>22.264078465455096</v>
      </c>
      <c r="S136" s="26">
        <f>[1]Balance_Gatún!X135/35.32</f>
        <v>86.61073843426982</v>
      </c>
      <c r="T136" s="25">
        <v>154.68412596180875</v>
      </c>
      <c r="U136" s="25">
        <v>56.949022130690039</v>
      </c>
      <c r="V136" s="29">
        <f>LOOKUP(D136,[1]Parámetros!$A$7:$A$24,[1]Parámetros!$B$7:$B$24)</f>
        <v>49.5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49.5</v>
      </c>
      <c r="AC136" s="32">
        <f>IFERROR($A137-LOOKUP($A137,$Z$14:$Z136),"")</f>
        <v>21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246.09200000000001</v>
      </c>
      <c r="D137" s="25">
        <f>+VLOOKUP(B137,[1]Balance_Gatún!$A$13:$E$5087,2)</f>
        <v>84.640918587184402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2.7027027027027026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5.3682546189505747</v>
      </c>
      <c r="P137" s="24">
        <f>+VLOOKUP(B137,[1]Balance_Madden!$A$12:$V$5087,12)/35.32</f>
        <v>1.4916408293916972</v>
      </c>
      <c r="Q137" s="25">
        <f>+VLOOKUP(B137,[1]Balance_Gatún!$A$13:$AD$5087,15)/35.32</f>
        <v>12.584354951305231</v>
      </c>
      <c r="R137" s="24">
        <f>+VLOOKUP(B137,[1]Balance_Madden!$A$12:$V$5087,14)/35.32</f>
        <v>22.239092698021366</v>
      </c>
      <c r="S137" s="26">
        <f>[1]Balance_Gatún!X136/35.32</f>
        <v>86.343320488255969</v>
      </c>
      <c r="T137" s="25">
        <v>134.47879779015221</v>
      </c>
      <c r="U137" s="25">
        <v>45.026535618167458</v>
      </c>
      <c r="V137" s="29">
        <f>LOOKUP(D137,[1]Parámetros!$A$7:$A$24,[1]Parámetros!$B$7:$B$24)</f>
        <v>49.5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49.5</v>
      </c>
      <c r="AC137" s="32">
        <f>IFERROR($A138-LOOKUP($A138,$Z$14:$Z137),"")</f>
        <v>22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246.35499999999999</v>
      </c>
      <c r="D138" s="25">
        <f>+VLOOKUP(B138,[1]Balance_Gatún!$A$13:$E$5087,2)</f>
        <v>84.625917588865946</v>
      </c>
      <c r="E138" s="24">
        <f>+VLOOKUP(B138,[1]Balance_Madden!$A$12:$E$5087,5)/35.32</f>
        <v>112.39493204983013</v>
      </c>
      <c r="F138" s="26">
        <f>+VLOOKUP(B138,[1]Balance_Gatún!$A$13:$E$5087,5)/35.32</f>
        <v>84.937712344280854</v>
      </c>
      <c r="G138" s="24">
        <f>+VLOOKUP(B138,[1]Balance_Madden!$A$12:$K$5087,9)/111</f>
        <v>2.7027027027027026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5.3659122318519463</v>
      </c>
      <c r="P138" s="24">
        <f>+VLOOKUP(B138,[1]Balance_Madden!$A$12:$V$5087,12)/35.32</f>
        <v>1.2990622097164537</v>
      </c>
      <c r="Q138" s="25">
        <f>+VLOOKUP(B138,[1]Balance_Gatún!$A$13:$AD$5087,15)/35.32</f>
        <v>10.921781837252466</v>
      </c>
      <c r="R138" s="24">
        <f>+VLOOKUP(B138,[1]Balance_Madden!$A$12:$V$5087,14)/35.32</f>
        <v>22.046514078346121</v>
      </c>
      <c r="S138" s="26">
        <f>[1]Balance_Gatún!X137/35.32</f>
        <v>84.653642798687642</v>
      </c>
      <c r="T138" s="25">
        <v>147.32603309026803</v>
      </c>
      <c r="U138" s="25">
        <v>108.19965762334256</v>
      </c>
      <c r="V138" s="29">
        <f>LOOKUP(D138,[1]Parámetros!$A$7:$A$24,[1]Parámetros!$B$7:$B$24)</f>
        <v>49.5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49.5</v>
      </c>
      <c r="AC138" s="32">
        <f>IFERROR($A139-LOOKUP($A139,$Z$14:$Z138),"")</f>
        <v>23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246.92</v>
      </c>
      <c r="D139" s="25">
        <f>+VLOOKUP(B139,[1]Balance_Gatún!$A$13:$E$5087,2)</f>
        <v>84.631825687260616</v>
      </c>
      <c r="E139" s="24">
        <f>+VLOOKUP(B139,[1]Balance_Madden!$A$12:$E$5087,5)/35.32</f>
        <v>57.508805209513021</v>
      </c>
      <c r="F139" s="26">
        <f>+VLOOKUP(B139,[1]Balance_Gatún!$A$13:$E$5087,5)/35.32</f>
        <v>56.625141562853905</v>
      </c>
      <c r="G139" s="24">
        <f>+VLOOKUP(B139,[1]Balance_Madden!$A$12:$K$5087,9)/111</f>
        <v>2.7027027027027026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5.3668347740163611</v>
      </c>
      <c r="P139" s="24">
        <f>+VLOOKUP(B139,[1]Balance_Madden!$A$12:$V$5087,12)/35.32</f>
        <v>1.8002080155919566</v>
      </c>
      <c r="Q139" s="25">
        <f>+VLOOKUP(B139,[1]Balance_Gatún!$A$13:$AD$5087,15)/35.32</f>
        <v>15.030610548076275</v>
      </c>
      <c r="R139" s="24">
        <f>+VLOOKUP(B139,[1]Balance_Madden!$A$12:$V$5087,14)/35.32</f>
        <v>22.547659884221627</v>
      </c>
      <c r="S139" s="26">
        <f>[1]Balance_Gatún!X138/35.32</f>
        <v>88.773146565643842</v>
      </c>
      <c r="T139" s="25">
        <v>153.71348700386881</v>
      </c>
      <c r="U139" s="25">
        <v>72.267083988264702</v>
      </c>
      <c r="V139" s="29">
        <f>LOOKUP(D139,[1]Parámetros!$A$7:$A$24,[1]Parámetros!$B$7:$B$24)</f>
        <v>49.5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49.5</v>
      </c>
      <c r="AC139" s="32">
        <f>IFERROR($A140-LOOKUP($A140,$Z$14:$Z139),"")</f>
        <v>24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247.13800000000001</v>
      </c>
      <c r="D140" s="25">
        <f>+VLOOKUP(B140,[1]Balance_Gatún!$A$13:$E$5087,2)</f>
        <v>84.615903742467822</v>
      </c>
      <c r="E140" s="24">
        <f>+VLOOKUP(B140,[1]Balance_Madden!$A$12:$E$5087,5)/35.32</f>
        <v>46.483125707814274</v>
      </c>
      <c r="F140" s="26">
        <f>+VLOOKUP(B140,[1]Balance_Gatún!$A$13:$E$5087,5)/35.32</f>
        <v>113.25028312570781</v>
      </c>
      <c r="G140" s="24">
        <f>+VLOOKUP(B140,[1]Balance_Madden!$A$12:$K$5087,9)/111</f>
        <v>2.7027027027027026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5.3643485822792529</v>
      </c>
      <c r="P140" s="24">
        <f>+VLOOKUP(B140,[1]Balance_Madden!$A$12:$V$5087,12)/35.32</f>
        <v>2.196571790457214</v>
      </c>
      <c r="Q140" s="25">
        <f>+VLOOKUP(B140,[1]Balance_Gatún!$A$13:$AD$5087,15)/35.32</f>
        <v>18.28692415073764</v>
      </c>
      <c r="R140" s="24">
        <f>+VLOOKUP(B140,[1]Balance_Madden!$A$12:$V$5087,14)/35.32</f>
        <v>22.944023659086884</v>
      </c>
      <c r="S140" s="26">
        <f>[1]Balance_Gatún!X139/35.32</f>
        <v>92.000691579320048</v>
      </c>
      <c r="T140" s="25">
        <v>92.294960472008114</v>
      </c>
      <c r="U140" s="25">
        <v>47.76335913785843</v>
      </c>
      <c r="V140" s="29">
        <f>LOOKUP(D140,[1]Parámetros!$A$7:$A$24,[1]Parámetros!$B$7:$B$24)</f>
        <v>49.5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49.5</v>
      </c>
      <c r="AC140" s="32">
        <f>IFERROR($A141-LOOKUP($A141,$Z$14:$Z140),"")</f>
        <v>25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247.285</v>
      </c>
      <c r="D141" s="25">
        <f>+VLOOKUP(B141,[1]Balance_Gatún!$A$13:$E$5087,2)</f>
        <v>84.635923838766459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2.7027027027027026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5.3674746952410501</v>
      </c>
      <c r="P141" s="24">
        <f>+VLOOKUP(B141,[1]Balance_Madden!$A$12:$V$5087,12)/35.32</f>
        <v>1.0587039454877138</v>
      </c>
      <c r="Q141" s="25">
        <f>+VLOOKUP(B141,[1]Balance_Gatún!$A$13:$AD$5087,15)/35.32</f>
        <v>8.8001907383684106</v>
      </c>
      <c r="R141" s="24">
        <f>+VLOOKUP(B141,[1]Balance_Madden!$A$12:$V$5087,14)/35.32</f>
        <v>21.806155814117385</v>
      </c>
      <c r="S141" s="26">
        <f>[1]Balance_Gatún!X140/35.32</f>
        <v>82.55013150691363</v>
      </c>
      <c r="T141" s="25">
        <v>72.899853934388091</v>
      </c>
      <c r="U141" s="25">
        <v>38.617409553917199</v>
      </c>
      <c r="V141" s="29">
        <f>LOOKUP(D141,[1]Parámetros!$A$7:$A$24,[1]Parámetros!$B$7:$B$24)</f>
        <v>49.5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49.5</v>
      </c>
      <c r="AC141" s="32">
        <f>IFERROR($A142-LOOKUP($A142,$Z$14:$Z141),"")</f>
        <v>26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247.50200000000001</v>
      </c>
      <c r="D142" s="25">
        <f>+VLOOKUP(B142,[1]Balance_Gatún!$A$13:$E$5087,2)</f>
        <v>84.617818542379467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2.7027027027027026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5.3646475758871635</v>
      </c>
      <c r="P142" s="24">
        <f>+VLOOKUP(B142,[1]Balance_Madden!$A$12:$V$5087,12)/35.32</f>
        <v>1.8641406930211997</v>
      </c>
      <c r="Q142" s="25">
        <f>+VLOOKUP(B142,[1]Balance_Gatún!$A$13:$AD$5087,15)/35.32</f>
        <v>15.450189512304688</v>
      </c>
      <c r="R142" s="24">
        <f>+VLOOKUP(B142,[1]Balance_Madden!$A$12:$V$5087,14)/35.32</f>
        <v>22.61159256165087</v>
      </c>
      <c r="S142" s="26">
        <f>[1]Balance_Gatún!X141/35.32</f>
        <v>89.167416699877847</v>
      </c>
      <c r="T142" s="25">
        <v>55.520688700808741</v>
      </c>
      <c r="U142" s="25">
        <v>34.356003309927182</v>
      </c>
      <c r="V142" s="29">
        <f>LOOKUP(D142,[1]Parámetros!$A$7:$A$24,[1]Parámetros!$B$7:$B$24)</f>
        <v>49.5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49.5</v>
      </c>
      <c r="AC142" s="32">
        <f>IFERROR($A143-LOOKUP($A143,$Z$14:$Z142),"")</f>
        <v>27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247.62</v>
      </c>
      <c r="D143" s="25">
        <f>+VLOOKUP(B143,[1]Balance_Gatún!$A$13:$E$5087,2)</f>
        <v>84.584485989913006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2.7027027027027026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5.3594427395686539</v>
      </c>
      <c r="P143" s="24">
        <f>+VLOOKUP(B143,[1]Balance_Madden!$A$12:$V$5087,12)/35.32</f>
        <v>1.7995921091792304</v>
      </c>
      <c r="Q143" s="25">
        <f>+VLOOKUP(B143,[1]Balance_Gatún!$A$13:$AD$5087,15)/35.32</f>
        <v>14.887218086099857</v>
      </c>
      <c r="R143" s="24">
        <f>+VLOOKUP(B143,[1]Balance_Madden!$A$12:$V$5087,14)/35.32</f>
        <v>22.547043977808901</v>
      </c>
      <c r="S143" s="26">
        <f>[1]Balance_Gatún!X142/35.32</f>
        <v>88.544218303022532</v>
      </c>
      <c r="T143" s="25">
        <v>84.332708855904201</v>
      </c>
      <c r="U143" s="25">
        <v>34.304646299100277</v>
      </c>
      <c r="V143" s="29">
        <f>LOOKUP(D143,[1]Parámetros!$A$7:$A$24,[1]Parámetros!$B$7:$B$24)</f>
        <v>49.5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49.5</v>
      </c>
      <c r="AC143" s="32">
        <f>IFERROR($A144-LOOKUP($A144,$Z$14:$Z143),"")</f>
        <v>28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247.785</v>
      </c>
      <c r="D144" s="25">
        <f>+VLOOKUP(B144,[1]Balance_Gatún!$A$13:$E$5087,2)</f>
        <v>84.567387369827514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2.7027027027027026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5.356772811458379</v>
      </c>
      <c r="P144" s="24">
        <f>+VLOOKUP(B144,[1]Balance_Madden!$A$12:$V$5087,12)/35.32</f>
        <v>1.1769389500714167</v>
      </c>
      <c r="Q144" s="25">
        <f>+VLOOKUP(B144,[1]Balance_Gatún!$A$13:$AD$5087,15)/35.32</f>
        <v>9.7144204541270742</v>
      </c>
      <c r="R144" s="24">
        <f>+VLOOKUP(B144,[1]Balance_Madden!$A$12:$V$5087,14)/35.32</f>
        <v>21.924390818701088</v>
      </c>
      <c r="S144" s="26">
        <f>[1]Balance_Gatún!X143/35.32</f>
        <v>83.340526004609501</v>
      </c>
      <c r="T144" s="25">
        <v>78.910895454299464</v>
      </c>
      <c r="U144" s="25">
        <v>35.218633636930932</v>
      </c>
      <c r="V144" s="29">
        <f>LOOKUP(D144,[1]Parámetros!$A$7:$A$24,[1]Parámetros!$B$7:$B$24)</f>
        <v>49.5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49.5</v>
      </c>
      <c r="AC144" s="32">
        <f>IFERROR($A145-LOOKUP($A145,$Z$14:$Z144),"")</f>
        <v>29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247.91300000000001</v>
      </c>
      <c r="D145" s="25">
        <f>+VLOOKUP(B145,[1]Balance_Gatún!$A$13:$E$5087,2)</f>
        <v>84.537804357710613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2.7027027027027026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5.3521534611691424</v>
      </c>
      <c r="P145" s="24">
        <f>+VLOOKUP(B145,[1]Balance_Madden!$A$12:$V$5087,12)/35.32</f>
        <v>0.7697488085711417</v>
      </c>
      <c r="Q145" s="25">
        <f>+VLOOKUP(B145,[1]Balance_Gatún!$A$13:$AD$5087,15)/35.32</f>
        <v>6.3411032135263872</v>
      </c>
      <c r="R145" s="24">
        <f>+VLOOKUP(B145,[1]Balance_Madden!$A$12:$V$5087,14)/35.32</f>
        <v>21.517200677200812</v>
      </c>
      <c r="S145" s="26">
        <f>[1]Balance_Gatún!X144/35.32</f>
        <v>79.913756655763891</v>
      </c>
      <c r="T145" s="25">
        <v>153.39546408649119</v>
      </c>
      <c r="U145" s="25">
        <v>82.483574882405946</v>
      </c>
      <c r="V145" s="29">
        <f>LOOKUP(D145,[1]Parámetros!$A$7:$A$24,[1]Parámetros!$B$7:$B$24)</f>
        <v>49.5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49.5</v>
      </c>
      <c r="AC145" s="32">
        <f>IFERROR($A146-LOOKUP($A146,$Z$14:$Z145),"")</f>
        <v>30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248.14</v>
      </c>
      <c r="D146" s="25">
        <f>+VLOOKUP(B146,[1]Balance_Gatún!$A$13:$E$5087,2)</f>
        <v>84.569099388640254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2.7027027027027026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5.3570401410516801</v>
      </c>
      <c r="P146" s="24">
        <f>+VLOOKUP(B146,[1]Balance_Madden!$A$12:$V$5087,12)/35.32</f>
        <v>1.3607448821634707</v>
      </c>
      <c r="Q146" s="25">
        <f>+VLOOKUP(B146,[1]Balance_Gatún!$A$13:$AD$5087,15)/35.32</f>
        <v>11.182915979030939</v>
      </c>
      <c r="R146" s="24">
        <f>+VLOOKUP(B146,[1]Balance_Madden!$A$12:$V$5087,14)/35.32</f>
        <v>22.108196750793141</v>
      </c>
      <c r="S146" s="26">
        <f>[1]Balance_Gatún!X145/35.32</f>
        <v>84.812114893182184</v>
      </c>
      <c r="T146" s="25">
        <v>152.94291907956011</v>
      </c>
      <c r="U146" s="25">
        <v>111.94700860128678</v>
      </c>
      <c r="V146" s="29">
        <f>LOOKUP(D146,[1]Parámetros!$A$7:$A$24,[1]Parámetros!$B$7:$B$24)</f>
        <v>49.5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49.5</v>
      </c>
      <c r="AC146" s="32">
        <f>IFERROR($A147-LOOKUP($A147,$Z$14:$Z146),"")</f>
        <v>31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248.76900000000001</v>
      </c>
      <c r="D147" s="25">
        <f>+VLOOKUP(B147,[1]Balance_Gatún!$A$13:$E$5087,2)</f>
        <v>84.599001101321633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2.7027027027027026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5.3617092560348878</v>
      </c>
      <c r="P147" s="24">
        <f>+VLOOKUP(B147,[1]Balance_Madden!$A$12:$V$5087,12)/35.32</f>
        <v>0.63070971064020931</v>
      </c>
      <c r="Q147" s="25">
        <f>+VLOOKUP(B147,[1]Balance_Gatún!$A$13:$AD$5087,15)/35.32</f>
        <v>5.1455118962257922</v>
      </c>
      <c r="R147" s="24">
        <f>+VLOOKUP(B147,[1]Balance_Madden!$A$12:$V$5087,14)/35.32</f>
        <v>21.378161579269879</v>
      </c>
      <c r="S147" s="26">
        <f>[1]Balance_Gatún!X146/35.32</f>
        <v>78.828738763198018</v>
      </c>
      <c r="T147" s="25">
        <v>140.08128447965612</v>
      </c>
      <c r="U147" s="25">
        <v>58.677014706942437</v>
      </c>
      <c r="V147" s="29">
        <f>LOOKUP(D147,[1]Parámetros!$A$7:$A$24,[1]Parámetros!$B$7:$B$24)</f>
        <v>49.5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49.5</v>
      </c>
      <c r="AC147" s="32">
        <f>IFERROR($A148-LOOKUP($A148,$Z$14:$Z147),"")</f>
        <v>32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248.95</v>
      </c>
      <c r="D148" s="25">
        <f>+VLOOKUP(B148,[1]Balance_Gatún!$A$13:$E$5087,2)</f>
        <v>84.581098126365646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2.7027027027027026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5.3589137289190436</v>
      </c>
      <c r="P148" s="24">
        <f>+VLOOKUP(B148,[1]Balance_Madden!$A$12:$V$5087,12)/35.32</f>
        <v>1.3456177272997625</v>
      </c>
      <c r="Q148" s="25">
        <f>+VLOOKUP(B148,[1]Balance_Gatún!$A$13:$AD$5087,15)/35.32</f>
        <v>10.951206247775103</v>
      </c>
      <c r="R148" s="24">
        <f>+VLOOKUP(B148,[1]Balance_Madden!$A$12:$V$5087,14)/35.32</f>
        <v>22.093069595929432</v>
      </c>
      <c r="S148" s="26">
        <f>[1]Balance_Gatún!X147/35.32</f>
        <v>84.602085098545587</v>
      </c>
      <c r="T148" s="25">
        <v>124.55919011001114</v>
      </c>
      <c r="U148" s="25">
        <v>53.627908606119263</v>
      </c>
      <c r="V148" s="29">
        <f>LOOKUP(D148,[1]Parámetros!$A$7:$A$24,[1]Parámetros!$B$7:$B$24)</f>
        <v>49.5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49.5</v>
      </c>
      <c r="AC148" s="32">
        <f>IFERROR($A149-LOOKUP($A149,$Z$14:$Z148),"")</f>
        <v>33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249.071</v>
      </c>
      <c r="D149" s="25">
        <f>+VLOOKUP(B149,[1]Balance_Gatún!$A$13:$E$5087,2)</f>
        <v>84.549838995383453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2.7027027027027026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5.3540326547683357</v>
      </c>
      <c r="P149" s="24">
        <f>+VLOOKUP(B149,[1]Balance_Madden!$A$12:$V$5087,12)/35.32</f>
        <v>0.95863940208761267</v>
      </c>
      <c r="Q149" s="25">
        <f>+VLOOKUP(B149,[1]Balance_Gatún!$A$13:$AD$5087,15)/35.32</f>
        <v>7.7872052906954163</v>
      </c>
      <c r="R149" s="24">
        <f>+VLOOKUP(B149,[1]Balance_Madden!$A$12:$V$5087,14)/35.32</f>
        <v>21.706091270717284</v>
      </c>
      <c r="S149" s="26">
        <f>[1]Balance_Gatún!X148/35.32</f>
        <v>81.381603535424148</v>
      </c>
      <c r="T149" s="25">
        <v>167.78704151538648</v>
      </c>
      <c r="U149" s="25">
        <v>64.978511709950041</v>
      </c>
      <c r="V149" s="29">
        <f>LOOKUP(D149,[1]Parámetros!$A$7:$A$24,[1]Parámetros!$B$7:$B$24)</f>
        <v>49.5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49.5</v>
      </c>
      <c r="AC149" s="32">
        <f>IFERROR($A150-LOOKUP($A150,$Z$14:$Z149),"")</f>
        <v>34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249.17099999999999</v>
      </c>
      <c r="D150" s="25">
        <f>+VLOOKUP(B150,[1]Balance_Gatún!$A$13:$E$5087,2)</f>
        <v>84.521441809061642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2.7027027027027026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5.3495984696917498</v>
      </c>
      <c r="P150" s="24">
        <f>+VLOOKUP(B150,[1]Balance_Madden!$A$12:$V$5087,12)/35.32</f>
        <v>1.9955231409541019</v>
      </c>
      <c r="Q150" s="25">
        <f>+VLOOKUP(B150,[1]Balance_Gatún!$A$13:$AD$5087,15)/35.32</f>
        <v>16.184400712512346</v>
      </c>
      <c r="R150" s="24">
        <f>+VLOOKUP(B150,[1]Balance_Madden!$A$12:$V$5087,14)/35.32</f>
        <v>22.742975009583773</v>
      </c>
      <c r="S150" s="26">
        <f>[1]Balance_Gatún!X149/35.32</f>
        <v>89.727489460049668</v>
      </c>
      <c r="T150" s="25">
        <v>154.85647474870919</v>
      </c>
      <c r="U150" s="25">
        <v>97.549360827433318</v>
      </c>
      <c r="V150" s="29">
        <f>LOOKUP(D150,[1]Parámetros!$A$7:$A$24,[1]Parámetros!$B$7:$B$24)</f>
        <v>49.5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49.5</v>
      </c>
      <c r="AC150" s="32">
        <f>IFERROR($A151-LOOKUP($A151,$Z$14:$Z150),"")</f>
        <v>35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249.327</v>
      </c>
      <c r="D151" s="25">
        <f>+VLOOKUP(B151,[1]Balance_Gatún!$A$13:$E$5087,2)</f>
        <v>84.504052356255926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2.7027027027027026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5.3468831284164819</v>
      </c>
      <c r="P151" s="24">
        <f>+VLOOKUP(B151,[1]Balance_Madden!$A$12:$V$5087,12)/35.32</f>
        <v>1.0423412307838993</v>
      </c>
      <c r="Q151" s="25">
        <f>+VLOOKUP(B151,[1]Balance_Gatún!$A$13:$AD$5087,15)/35.32</f>
        <v>8.4358426156260862</v>
      </c>
      <c r="R151" s="24">
        <f>+VLOOKUP(B151,[1]Balance_Madden!$A$12:$V$5087,14)/35.32</f>
        <v>21.789793099413568</v>
      </c>
      <c r="S151" s="26">
        <f>[1]Balance_Gatún!X150/35.32</f>
        <v>81.947511205201849</v>
      </c>
      <c r="T151" s="25">
        <v>117.41187734968231</v>
      </c>
      <c r="U151" s="25">
        <v>78.865884490565705</v>
      </c>
      <c r="V151" s="29">
        <f>LOOKUP(D151,[1]Parámetros!$A$7:$A$24,[1]Parámetros!$B$7:$B$24)</f>
        <v>49.5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49.5</v>
      </c>
      <c r="AC151" s="32">
        <f>IFERROR($A152-LOOKUP($A152,$Z$14:$Z151),"")</f>
        <v>36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249.42099999999999</v>
      </c>
      <c r="D152" s="25">
        <f>+VLOOKUP(B152,[1]Balance_Gatún!$A$13:$E$5087,2)</f>
        <v>84.489444049975518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2.7027027027027026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5.3446020596877464</v>
      </c>
      <c r="P152" s="24">
        <f>+VLOOKUP(B152,[1]Balance_Madden!$A$12:$V$5087,12)/35.32</f>
        <v>0.98666152984451949</v>
      </c>
      <c r="Q152" s="25">
        <f>+VLOOKUP(B152,[1]Balance_Gatún!$A$13:$AD$5087,15)/35.32</f>
        <v>7.9746043361621437</v>
      </c>
      <c r="R152" s="24">
        <f>+VLOOKUP(B152,[1]Balance_Madden!$A$12:$V$5087,14)/35.32</f>
        <v>21.734113398474189</v>
      </c>
      <c r="S152" s="26">
        <f>[1]Balance_Gatún!X151/35.32</f>
        <v>81.459877886399454</v>
      </c>
      <c r="T152" s="25">
        <v>97.898686443334014</v>
      </c>
      <c r="U152" s="25">
        <v>48.963583846072609</v>
      </c>
      <c r="V152" s="29">
        <f>LOOKUP(D152,[1]Parámetros!$A$7:$A$24,[1]Parámetros!$B$7:$B$24)</f>
        <v>49</v>
      </c>
      <c r="W152" s="30" t="str">
        <f t="shared" si="12"/>
        <v>Cambio Calado</v>
      </c>
      <c r="X152" s="31">
        <f t="shared" si="13"/>
        <v>46342</v>
      </c>
      <c r="Y152" s="30">
        <f>IF($W152="Cambio Calado",COUNTIF($W$14:W152,"Cambio Calado"),"")</f>
        <v>8</v>
      </c>
      <c r="Z152" s="31">
        <f t="shared" si="14"/>
        <v>46342</v>
      </c>
      <c r="AA152" s="30">
        <f t="shared" si="15"/>
        <v>49</v>
      </c>
      <c r="AB152" s="29">
        <f>IFERROR(LOOKUP($A152,$Z$14:$Z152,$AA$14:$AA152),$U152)</f>
        <v>49</v>
      </c>
      <c r="AC152" s="32">
        <f>IFERROR($A153-LOOKUP($A153,$Z$14:$Z152),"")</f>
        <v>1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249.48699999999999</v>
      </c>
      <c r="D153" s="25">
        <f>+VLOOKUP(B153,[1]Balance_Gatún!$A$13:$E$5087,2)</f>
        <v>84.465863569109928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2.7027027027027026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5.3409199971352113</v>
      </c>
      <c r="P153" s="24">
        <f>+VLOOKUP(B153,[1]Balance_Madden!$A$12:$V$5087,12)/35.32</f>
        <v>1.4570032014339609</v>
      </c>
      <c r="Q153" s="25">
        <f>+VLOOKUP(B153,[1]Balance_Gatún!$A$13:$AD$5087,15)/35.32</f>
        <v>11.763113442316374</v>
      </c>
      <c r="R153" s="24">
        <f>+VLOOKUP(B153,[1]Balance_Madden!$A$12:$V$5087,14)/35.32</f>
        <v>22.204455070063631</v>
      </c>
      <c r="S153" s="26">
        <f>[1]Balance_Gatún!X152/35.32</f>
        <v>85.205780566584806</v>
      </c>
      <c r="T153" s="25">
        <v>69.643414614785726</v>
      </c>
      <c r="U153" s="25">
        <v>64.557155153535959</v>
      </c>
      <c r="V153" s="29">
        <f>LOOKUP(D153,[1]Parámetros!$A$7:$A$24,[1]Parámetros!$B$7:$B$24)</f>
        <v>49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49</v>
      </c>
      <c r="AC153" s="32">
        <f>IFERROR($A154-LOOKUP($A154,$Z$14:$Z153),"")</f>
        <v>2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249.548</v>
      </c>
      <c r="D154" s="25">
        <f>+VLOOKUP(B154,[1]Balance_Gatún!$A$13:$E$5087,2)</f>
        <v>84.514676328245841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2.7027027027027026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5.3485420483361494</v>
      </c>
      <c r="P154" s="24">
        <f>+VLOOKUP(B154,[1]Balance_Madden!$A$12:$V$5087,12)/35.32</f>
        <v>1.8114437593999004</v>
      </c>
      <c r="Q154" s="25">
        <f>+VLOOKUP(B154,[1]Balance_Gatún!$A$13:$AD$5087,15)/35.32</f>
        <v>14.622947802023049</v>
      </c>
      <c r="R154" s="24">
        <f>+VLOOKUP(B154,[1]Balance_Madden!$A$12:$V$5087,14)/35.32</f>
        <v>22.558895628029571</v>
      </c>
      <c r="S154" s="26">
        <f>[1]Balance_Gatún!X153/35.32</f>
        <v>88.153812330759862</v>
      </c>
      <c r="T154" s="25">
        <v>75.40987567522059</v>
      </c>
      <c r="U154" s="25">
        <v>58.963263944642044</v>
      </c>
      <c r="V154" s="29">
        <f>LOOKUP(D154,[1]Parámetros!$A$7:$A$24,[1]Parámetros!$B$7:$B$24)</f>
        <v>49.5</v>
      </c>
      <c r="W154" s="30" t="str">
        <f t="shared" si="12"/>
        <v>Cambio Calado</v>
      </c>
      <c r="X154" s="31">
        <f t="shared" si="13"/>
        <v>46344</v>
      </c>
      <c r="Y154" s="30">
        <f>IF($W154="Cambio Calado",COUNTIF($W$14:W154,"Cambio Calado"),"")</f>
        <v>9</v>
      </c>
      <c r="Z154" s="31">
        <f t="shared" si="14"/>
        <v>46344</v>
      </c>
      <c r="AA154" s="30">
        <f t="shared" si="15"/>
        <v>49.5</v>
      </c>
      <c r="AB154" s="29">
        <f>IFERROR(LOOKUP($A154,$Z$14:$Z154,$AA$14:$AA154),$U154)</f>
        <v>49.5</v>
      </c>
      <c r="AC154" s="32">
        <f>IFERROR($A155-LOOKUP($A155,$Z$14:$Z154),"")</f>
        <v>1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250.023</v>
      </c>
      <c r="D155" s="25">
        <f>+VLOOKUP(B155,[1]Balance_Gatún!$A$13:$E$5087,2)</f>
        <v>84.524040413520694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2.7027027027027026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5.3500042385232707</v>
      </c>
      <c r="P155" s="24">
        <f>+VLOOKUP(B155,[1]Balance_Madden!$A$12:$V$5087,12)/35.32</f>
        <v>1.7740692245059464</v>
      </c>
      <c r="Q155" s="25">
        <f>+VLOOKUP(B155,[1]Balance_Gatún!$A$13:$AD$5087,15)/35.32</f>
        <v>14.24063973353983</v>
      </c>
      <c r="R155" s="24">
        <f>+VLOOKUP(B155,[1]Balance_Madden!$A$12:$V$5087,14)/35.32</f>
        <v>22.521521093135618</v>
      </c>
      <c r="S155" s="26">
        <f>[1]Balance_Gatún!X154/35.32</f>
        <v>87.78842377330372</v>
      </c>
      <c r="T155" s="25">
        <v>119.68132099261564</v>
      </c>
      <c r="U155" s="25">
        <v>57.910364776468988</v>
      </c>
      <c r="V155" s="29">
        <f>LOOKUP(D155,[1]Parámetros!$A$7:$A$24,[1]Parámetros!$B$7:$B$24)</f>
        <v>49.5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49.5</v>
      </c>
      <c r="AC155" s="32">
        <f>IFERROR($A156-LOOKUP($A156,$Z$14:$Z155),"")</f>
        <v>2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250.148</v>
      </c>
      <c r="D156" s="25">
        <f>+VLOOKUP(B156,[1]Balance_Gatún!$A$13:$E$5087,2)</f>
        <v>84.525724571514885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2.7027027027027026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5.3502672176846495</v>
      </c>
      <c r="P156" s="24">
        <f>+VLOOKUP(B156,[1]Balance_Madden!$A$12:$V$5087,12)/35.32</f>
        <v>2.3246754164495247</v>
      </c>
      <c r="Q156" s="25">
        <f>+VLOOKUP(B156,[1]Balance_Gatún!$A$13:$AD$5087,15)/35.32</f>
        <v>18.632590650578063</v>
      </c>
      <c r="R156" s="24">
        <f>+VLOOKUP(B156,[1]Balance_Madden!$A$12:$V$5087,14)/35.32</f>
        <v>23.072127285079198</v>
      </c>
      <c r="S156" s="26">
        <f>[1]Balance_Gatún!X155/35.32</f>
        <v>92.183417713650428</v>
      </c>
      <c r="T156" s="25">
        <v>75.906980209524647</v>
      </c>
      <c r="U156" s="25">
        <v>66.255928951091633</v>
      </c>
      <c r="V156" s="29">
        <f>LOOKUP(D156,[1]Parámetros!$A$7:$A$24,[1]Parámetros!$B$7:$B$24)</f>
        <v>49.5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49.5</v>
      </c>
      <c r="AC156" s="32">
        <f>IFERROR($A157-LOOKUP($A157,$Z$14:$Z156),"")</f>
        <v>3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250.226</v>
      </c>
      <c r="D157" s="25">
        <f>+VLOOKUP(B157,[1]Balance_Gatún!$A$13:$E$5087,2)</f>
        <v>84.51529081603698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2.7027027027027026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5.3486379998350859</v>
      </c>
      <c r="P157" s="24">
        <f>+VLOOKUP(B157,[1]Balance_Madden!$A$12:$V$5087,12)/35.32</f>
        <v>2.3149187699401783</v>
      </c>
      <c r="Q157" s="25">
        <f>+VLOOKUP(B157,[1]Balance_Gatún!$A$13:$AD$5087,15)/35.32</f>
        <v>18.534420833086191</v>
      </c>
      <c r="R157" s="24">
        <f>+VLOOKUP(B157,[1]Balance_Madden!$A$12:$V$5087,14)/35.32</f>
        <v>23.062370638569849</v>
      </c>
      <c r="S157" s="26">
        <f>[1]Balance_Gatún!X156/35.32</f>
        <v>92.066395649977466</v>
      </c>
      <c r="T157" s="25">
        <v>100.84245474729944</v>
      </c>
      <c r="U157" s="25">
        <v>70.309723096960909</v>
      </c>
      <c r="V157" s="29">
        <f>LOOKUP(D157,[1]Parámetros!$A$7:$A$24,[1]Parámetros!$B$7:$B$24)</f>
        <v>49.5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49.5</v>
      </c>
      <c r="AC157" s="32">
        <f>IFERROR($A158-LOOKUP($A158,$Z$14:$Z157),"")</f>
        <v>4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250.535</v>
      </c>
      <c r="D158" s="25">
        <f>+VLOOKUP(B158,[1]Balance_Gatún!$A$13:$E$5087,2)</f>
        <v>84.536985408481456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2.7027027027027026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5.3520255832727477</v>
      </c>
      <c r="P158" s="24">
        <f>+VLOOKUP(B158,[1]Balance_Madden!$A$12:$V$5087,12)/35.32</f>
        <v>2.6617138445397801</v>
      </c>
      <c r="Q158" s="25">
        <f>+VLOOKUP(B158,[1]Balance_Gatún!$A$13:$AD$5087,15)/35.32</f>
        <v>21.237480964501128</v>
      </c>
      <c r="R158" s="24">
        <f>+VLOOKUP(B158,[1]Balance_Madden!$A$12:$V$5087,14)/35.32</f>
        <v>23.40916571316945</v>
      </c>
      <c r="S158" s="26">
        <f>[1]Balance_Gatún!X157/35.32</f>
        <v>94.808654687139054</v>
      </c>
      <c r="T158" s="25">
        <v>43.829946513136989</v>
      </c>
      <c r="U158" s="25">
        <v>46.637933803490782</v>
      </c>
      <c r="V158" s="29">
        <f>LOOKUP(D158,[1]Parámetros!$A$7:$A$24,[1]Parámetros!$B$7:$B$24)</f>
        <v>49.5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49.5</v>
      </c>
      <c r="AC158" s="32">
        <f>IFERROR($A159-LOOKUP($A159,$Z$14:$Z158),"")</f>
        <v>5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250.767</v>
      </c>
      <c r="D159" s="25">
        <f>+VLOOKUP(B159,[1]Balance_Gatún!$A$13:$E$5087,2)</f>
        <v>84.531605104633769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2.7027027027027026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5.3511854555657781</v>
      </c>
      <c r="P159" s="24">
        <f>+VLOOKUP(B159,[1]Balance_Madden!$A$12:$V$5087,12)/35.32</f>
        <v>1.3347688239054107</v>
      </c>
      <c r="Q159" s="25">
        <f>+VLOOKUP(B159,[1]Balance_Gatún!$A$13:$AD$5087,15)/35.32</f>
        <v>10.619462591217353</v>
      </c>
      <c r="R159" s="24">
        <f>+VLOOKUP(B159,[1]Balance_Madden!$A$12:$V$5087,14)/35.32</f>
        <v>22.082220692535081</v>
      </c>
      <c r="S159" s="26">
        <f>[1]Balance_Gatún!X158/35.32</f>
        <v>84.180914904063712</v>
      </c>
      <c r="T159" s="25">
        <v>88.700389971103363</v>
      </c>
      <c r="U159" s="25">
        <v>44.187748261378182</v>
      </c>
      <c r="V159" s="29">
        <f>LOOKUP(D159,[1]Parámetros!$A$7:$A$24,[1]Parámetros!$B$7:$B$24)</f>
        <v>49.5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49.5</v>
      </c>
      <c r="AC159" s="32">
        <f>IFERROR($A160-LOOKUP($A160,$Z$14:$Z159),"")</f>
        <v>6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250.95500000000001</v>
      </c>
      <c r="D160" s="25">
        <f>+VLOOKUP(B160,[1]Balance_Gatún!$A$13:$E$5087,2)</f>
        <v>84.51583672130748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2.7027027027027026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5.3487232422593278</v>
      </c>
      <c r="P160" s="24">
        <f>+VLOOKUP(B160,[1]Balance_Madden!$A$12:$V$5087,12)/35.32</f>
        <v>2.2430378606609143</v>
      </c>
      <c r="Q160" s="25">
        <f>+VLOOKUP(B160,[1]Balance_Gatún!$A$13:$AD$5087,15)/35.32</f>
        <v>17.801734588659777</v>
      </c>
      <c r="R160" s="24">
        <f>+VLOOKUP(B160,[1]Balance_Madden!$A$12:$V$5087,14)/35.32</f>
        <v>22.990489729290584</v>
      </c>
      <c r="S160" s="26">
        <f>[1]Balance_Gatún!X159/35.32</f>
        <v>91.334695775278888</v>
      </c>
      <c r="T160" s="25">
        <v>61.086094323542028</v>
      </c>
      <c r="U160" s="25">
        <v>47.418998607128785</v>
      </c>
      <c r="V160" s="29">
        <f>LOOKUP(D160,[1]Parámetros!$A$7:$A$24,[1]Parámetros!$B$7:$B$24)</f>
        <v>49.5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49.5</v>
      </c>
      <c r="AC160" s="32">
        <f>IFERROR($A161-LOOKUP($A161,$Z$14:$Z160),"")</f>
        <v>7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251.10499999999999</v>
      </c>
      <c r="D161" s="25">
        <f>+VLOOKUP(B161,[1]Balance_Gatún!$A$13:$E$5087,2)</f>
        <v>84.494364494368867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2.7027027027027026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5.3453703809168962</v>
      </c>
      <c r="P161" s="24">
        <f>+VLOOKUP(B161,[1]Balance_Madden!$A$12:$V$5087,12)/35.32</f>
        <v>0.8486263139543585</v>
      </c>
      <c r="Q161" s="25">
        <f>+VLOOKUP(B161,[1]Balance_Gatún!$A$13:$AD$5087,15)/35.32</f>
        <v>6.7210870796415794</v>
      </c>
      <c r="R161" s="24">
        <f>+VLOOKUP(B161,[1]Balance_Madden!$A$12:$V$5087,14)/35.32</f>
        <v>21.59607818258403</v>
      </c>
      <c r="S161" s="26">
        <f>[1]Balance_Gatún!X160/35.32</f>
        <v>80.215251141950063</v>
      </c>
      <c r="T161" s="25">
        <v>99.637261307353199</v>
      </c>
      <c r="U161" s="25">
        <v>31.978673975788425</v>
      </c>
      <c r="V161" s="29">
        <f>LOOKUP(D161,[1]Parámetros!$A$7:$A$24,[1]Parámetros!$B$7:$B$24)</f>
        <v>49.5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49.5</v>
      </c>
      <c r="AC161" s="32">
        <f>IFERROR($A162-LOOKUP($A162,$Z$14:$Z161),"")</f>
        <v>8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251.249</v>
      </c>
      <c r="D162" s="25">
        <f>+VLOOKUP(B162,[1]Balance_Gatún!$A$13:$E$5087,2)</f>
        <v>84.47577542591317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2.7027027027027026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5.342467721160407</v>
      </c>
      <c r="P162" s="24">
        <f>+VLOOKUP(B162,[1]Balance_Madden!$A$12:$V$5087,12)/35.32</f>
        <v>1.0643360522283045</v>
      </c>
      <c r="Q162" s="25">
        <f>+VLOOKUP(B162,[1]Balance_Gatún!$A$13:$AD$5087,15)/35.32</f>
        <v>8.4129274357479495</v>
      </c>
      <c r="R162" s="24">
        <f>+VLOOKUP(B162,[1]Balance_Madden!$A$12:$V$5087,14)/35.32</f>
        <v>21.811787920857977</v>
      </c>
      <c r="S162" s="26">
        <f>[1]Balance_Gatún!X161/35.32</f>
        <v>81.873503812822079</v>
      </c>
      <c r="T162" s="25">
        <v>76.709577469296008</v>
      </c>
      <c r="U162" s="25">
        <v>66.197048216194773</v>
      </c>
      <c r="V162" s="29">
        <f>LOOKUP(D162,[1]Parámetros!$A$7:$A$24,[1]Parámetros!$B$7:$B$24)</f>
        <v>49</v>
      </c>
      <c r="W162" s="30" t="str">
        <f t="shared" si="12"/>
        <v>Cambio Calado</v>
      </c>
      <c r="X162" s="31">
        <f t="shared" si="13"/>
        <v>46352</v>
      </c>
      <c r="Y162" s="30">
        <f>IF($W162="Cambio Calado",COUNTIF($W$14:W162,"Cambio Calado"),"")</f>
        <v>10</v>
      </c>
      <c r="Z162" s="31">
        <f t="shared" si="14"/>
        <v>46352</v>
      </c>
      <c r="AA162" s="30">
        <f t="shared" si="15"/>
        <v>49</v>
      </c>
      <c r="AB162" s="29">
        <f>IFERROR(LOOKUP($A162,$Z$14:$Z162,$AA$14:$AA162),$U162)</f>
        <v>49</v>
      </c>
      <c r="AC162" s="32">
        <f>IFERROR($A163-LOOKUP($A163,$Z$14:$Z162),"")</f>
        <v>1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251.37700000000001</v>
      </c>
      <c r="D163" s="25">
        <f>+VLOOKUP(B163,[1]Balance_Gatún!$A$13:$E$5087,2)</f>
        <v>84.455382851892651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2.7027027027027026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5.3392834462688654</v>
      </c>
      <c r="P163" s="24">
        <f>+VLOOKUP(B163,[1]Balance_Madden!$A$12:$V$5087,12)/35.32</f>
        <v>1.936647275019606</v>
      </c>
      <c r="Q163" s="25">
        <f>+VLOOKUP(B163,[1]Balance_Gatún!$A$13:$AD$5087,15)/35.32</f>
        <v>15.2805278374338</v>
      </c>
      <c r="R163" s="24">
        <f>+VLOOKUP(B163,[1]Balance_Madden!$A$12:$V$5087,14)/35.32</f>
        <v>22.684099143649274</v>
      </c>
      <c r="S163" s="26">
        <f>[1]Balance_Gatún!X162/35.32</f>
        <v>88.704257862634407</v>
      </c>
      <c r="T163" s="25">
        <v>102.94956953876898</v>
      </c>
      <c r="U163" s="25">
        <v>47.2056647183935</v>
      </c>
      <c r="V163" s="29">
        <f>LOOKUP(D163,[1]Parámetros!$A$7:$A$24,[1]Parámetros!$B$7:$B$24)</f>
        <v>49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49</v>
      </c>
      <c r="AC163" s="32">
        <f>IFERROR($A164-LOOKUP($A164,$Z$14:$Z163),"")</f>
        <v>2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251.48699999999999</v>
      </c>
      <c r="D164" s="25">
        <f>+VLOOKUP(B164,[1]Balance_Gatún!$A$13:$E$5087,2)</f>
        <v>84.427850366545272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2.7027027027027026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5.3349842831663983</v>
      </c>
      <c r="P164" s="24">
        <f>+VLOOKUP(B164,[1]Balance_Madden!$A$12:$V$5087,12)/35.32</f>
        <v>0.98410289127110395</v>
      </c>
      <c r="Q164" s="25">
        <f>+VLOOKUP(B164,[1]Balance_Gatún!$A$13:$AD$5087,15)/35.32</f>
        <v>7.7517994634352583</v>
      </c>
      <c r="R164" s="24">
        <f>+VLOOKUP(B164,[1]Balance_Madden!$A$12:$V$5087,14)/35.32</f>
        <v>21.731554759900774</v>
      </c>
      <c r="S164" s="26">
        <f>[1]Balance_Gatún!X163/35.32</f>
        <v>81.125782377651191</v>
      </c>
      <c r="T164" s="25">
        <v>74.470080762582953</v>
      </c>
      <c r="U164" s="25">
        <v>77.822506698678211</v>
      </c>
      <c r="V164" s="29">
        <f>LOOKUP(D164,[1]Parámetros!$A$7:$A$24,[1]Parámetros!$B$7:$B$24)</f>
        <v>49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49</v>
      </c>
      <c r="AC164" s="32">
        <f>IFERROR($A165-LOOKUP($A165,$Z$14:$Z164),"")</f>
        <v>3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251.56200000000001</v>
      </c>
      <c r="D165" s="25">
        <f>+VLOOKUP(B165,[1]Balance_Gatún!$A$13:$E$5087,2)</f>
        <v>84.39834923485077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2.7027027027027026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5.3303777184025627</v>
      </c>
      <c r="P165" s="24">
        <f>+VLOOKUP(B165,[1]Balance_Madden!$A$12:$V$5087,12)/35.32</f>
        <v>1.0590928221161269</v>
      </c>
      <c r="Q165" s="25">
        <f>+VLOOKUP(B165,[1]Balance_Gatún!$A$13:$AD$5087,15)/35.32</f>
        <v>8.3318589446509357</v>
      </c>
      <c r="R165" s="24">
        <f>+VLOOKUP(B165,[1]Balance_Madden!$A$12:$V$5087,14)/35.32</f>
        <v>21.806544690745795</v>
      </c>
      <c r="S165" s="26">
        <f>[1]Balance_Gatún!X164/35.32</f>
        <v>81.652537696381614</v>
      </c>
      <c r="T165" s="25">
        <v>75.149167624969493</v>
      </c>
      <c r="U165" s="25">
        <v>66.251685528588695</v>
      </c>
      <c r="V165" s="29">
        <f>LOOKUP(D165,[1]Parámetros!$A$7:$A$24,[1]Parámetros!$B$7:$B$24)</f>
        <v>49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49</v>
      </c>
      <c r="AC165" s="32">
        <f>IFERROR($A166-LOOKUP($A166,$Z$14:$Z165),"")</f>
        <v>4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251.78800000000001</v>
      </c>
      <c r="D166" s="25">
        <f>+VLOOKUP(B166,[1]Balance_Gatún!$A$13:$E$5087,2)</f>
        <v>84.371670609529914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2.7027027027027026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5.3262118844737749</v>
      </c>
      <c r="P166" s="24">
        <f>+VLOOKUP(B166,[1]Balance_Madden!$A$12:$V$5087,12)/35.32</f>
        <v>1.6274943637320378</v>
      </c>
      <c r="Q166" s="25">
        <f>+VLOOKUP(B166,[1]Balance_Gatún!$A$13:$AD$5087,15)/35.32</f>
        <v>12.764493850574103</v>
      </c>
      <c r="R166" s="24">
        <f>+VLOOKUP(B166,[1]Balance_Madden!$A$12:$V$5087,14)/35.32</f>
        <v>22.374946232361708</v>
      </c>
      <c r="S166" s="26">
        <f>[1]Balance_Gatún!X165/35.32</f>
        <v>86.036968289544419</v>
      </c>
      <c r="T166" s="25">
        <v>69.655165901869523</v>
      </c>
      <c r="U166" s="25">
        <v>28.463621498684756</v>
      </c>
      <c r="V166" s="29">
        <f>LOOKUP(D166,[1]Parámetros!$A$7:$A$24,[1]Parámetros!$B$7:$B$24)</f>
        <v>49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49</v>
      </c>
      <c r="AC166" s="32">
        <f>IFERROR($A167-LOOKUP($A167,$Z$14:$Z166),"")</f>
        <v>5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252.27600000000001</v>
      </c>
      <c r="D167" s="25">
        <f>+VLOOKUP(B167,[1]Balance_Gatún!$A$13:$E$5087,2)</f>
        <v>84.36233156763177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2.7027027027027026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13.120150250136298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5.3247536047785564</v>
      </c>
      <c r="P167" s="24">
        <f>+VLOOKUP(B167,[1]Balance_Madden!$A$12:$V$5087,12)/35.32</f>
        <v>2.6273746777800318</v>
      </c>
      <c r="Q167" s="25">
        <f>+VLOOKUP(B167,[1]Balance_Gatún!$A$13:$AD$5087,15)/35.32</f>
        <v>20.4843115677164</v>
      </c>
      <c r="R167" s="24">
        <f>+VLOOKUP(B167,[1]Balance_Madden!$A$12:$V$5087,14)/35.32</f>
        <v>36.494976796546005</v>
      </c>
      <c r="S167" s="26">
        <f>[1]Balance_Gatún!X166/35.32</f>
        <v>93.739911745321038</v>
      </c>
      <c r="T167" s="25">
        <v>89.701377069196127</v>
      </c>
      <c r="U167" s="25">
        <v>61.134482530271825</v>
      </c>
      <c r="V167" s="29">
        <f>LOOKUP(D167,[1]Parámetros!$A$7:$A$24,[1]Parámetros!$B$7:$B$24)</f>
        <v>49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49</v>
      </c>
      <c r="AC167" s="32">
        <f>IFERROR($A168-LOOKUP($A168,$Z$14:$Z167),"")</f>
        <v>6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252.37799999999999</v>
      </c>
      <c r="D168" s="25">
        <f>+VLOOKUP(B168,[1]Balance_Gatún!$A$13:$E$5087,2)</f>
        <v>84.350633931281777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2.7027027027027026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18.090588121380161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5.3229270335138326</v>
      </c>
      <c r="P168" s="24">
        <f>+VLOOKUP(B168,[1]Balance_Madden!$A$12:$V$5087,12)/35.32</f>
        <v>1.5062222709041595</v>
      </c>
      <c r="Q168" s="25">
        <f>+VLOOKUP(B168,[1]Balance_Gatún!$A$13:$AD$5087,15)/35.32</f>
        <v>11.727222092583357</v>
      </c>
      <c r="R168" s="24">
        <f>+VLOOKUP(B168,[1]Balance_Madden!$A$12:$V$5087,14)/35.32</f>
        <v>40.344262260913993</v>
      </c>
      <c r="S168" s="26">
        <f>[1]Balance_Gatún!X167/35.32</f>
        <v>84.961686379024556</v>
      </c>
      <c r="T168" s="25">
        <v>58.186499934852009</v>
      </c>
      <c r="U168" s="25">
        <v>50.675011154889091</v>
      </c>
      <c r="V168" s="29">
        <f>LOOKUP(D168,[1]Parámetros!$A$7:$A$24,[1]Parámetros!$B$7:$B$24)</f>
        <v>49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49</v>
      </c>
      <c r="AC168" s="32">
        <f>IFERROR($A169-LOOKUP($A169,$Z$14:$Z168),"")</f>
        <v>7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252.39599999999999</v>
      </c>
      <c r="D169" s="25">
        <f>+VLOOKUP(B169,[1]Balance_Gatún!$A$13:$E$5087,2)</f>
        <v>84.37773383887685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2.7027027027027026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19.021027407485388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5.3271586501420831</v>
      </c>
      <c r="P169" s="24">
        <f>+VLOOKUP(B169,[1]Balance_Madden!$A$12:$V$5087,12)/35.32</f>
        <v>1.0320492999694681</v>
      </c>
      <c r="Q169" s="25">
        <f>+VLOOKUP(B169,[1]Balance_Gatún!$A$13:$AD$5087,15)/35.32</f>
        <v>8.0364387032558291</v>
      </c>
      <c r="R169" s="24">
        <f>+VLOOKUP(B169,[1]Balance_Madden!$A$12:$V$5087,14)/35.32</f>
        <v>40.800528576084524</v>
      </c>
      <c r="S169" s="26">
        <f>[1]Balance_Gatún!X168/35.32</f>
        <v>81.319868496944082</v>
      </c>
      <c r="T169" s="25">
        <v>77.521001027846751</v>
      </c>
      <c r="U169" s="25">
        <v>40.530931485463967</v>
      </c>
      <c r="V169" s="29">
        <f>LOOKUP(D169,[1]Parámetros!$A$7:$A$24,[1]Parámetros!$B$7:$B$24)</f>
        <v>49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49</v>
      </c>
      <c r="AC169" s="32">
        <f>IFERROR($A170-LOOKUP($A170,$Z$14:$Z169),"")</f>
        <v>8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252.46700000000001</v>
      </c>
      <c r="D170" s="25">
        <f>+VLOOKUP(B170,[1]Balance_Gatún!$A$13:$E$5087,2)</f>
        <v>84.361212245586273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2.7027027027027026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22.837529830719845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5.3245788240431082</v>
      </c>
      <c r="P170" s="24">
        <f>+VLOOKUP(B170,[1]Balance_Madden!$A$12:$V$5087,12)/35.32</f>
        <v>1.5029312723274693</v>
      </c>
      <c r="Q170" s="25">
        <f>+VLOOKUP(B170,[1]Balance_Gatún!$A$13:$AD$5087,15)/35.32</f>
        <v>11.690770515993769</v>
      </c>
      <c r="R170" s="24">
        <f>+VLOOKUP(B170,[1]Balance_Madden!$A$12:$V$5087,14)/35.32</f>
        <v>45.087912971676985</v>
      </c>
      <c r="S170" s="26">
        <f>[1]Balance_Gatún!X169/35.32</f>
        <v>84.944348244941068</v>
      </c>
      <c r="T170" s="25">
        <v>215.0580491505099</v>
      </c>
      <c r="U170" s="25">
        <v>77.942628034928887</v>
      </c>
      <c r="V170" s="29">
        <f>LOOKUP(D170,[1]Parámetros!$A$7:$A$24,[1]Parámetros!$B$7:$B$24)</f>
        <v>49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49</v>
      </c>
      <c r="AC170" s="32">
        <f>IFERROR($A171-LOOKUP($A171,$Z$14:$Z170),"")</f>
        <v>9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252.43100000000001</v>
      </c>
      <c r="D171" s="25">
        <f>+VLOOKUP(B171,[1]Balance_Gatún!$A$13:$E$5087,2)</f>
        <v>84.33928444047632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2.7027027027027026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20.873673611594089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5.3211548247398337</v>
      </c>
      <c r="P171" s="24">
        <f>+VLOOKUP(B171,[1]Balance_Madden!$A$12:$V$5087,12)/35.32</f>
        <v>1.2797354280897439</v>
      </c>
      <c r="Q171" s="25">
        <f>+VLOOKUP(B171,[1]Balance_Gatún!$A$13:$AD$5087,15)/35.32</f>
        <v>9.956091914421755</v>
      </c>
      <c r="R171" s="24">
        <f>+VLOOKUP(B171,[1]Balance_Madden!$A$12:$V$5087,14)/35.32</f>
        <v>42.900860908313504</v>
      </c>
      <c r="S171" s="26">
        <f>[1]Balance_Gatún!X170/35.32</f>
        <v>83.170049356980357</v>
      </c>
      <c r="T171" s="25">
        <v>95.22858664002348</v>
      </c>
      <c r="U171" s="25">
        <v>55.735693890947303</v>
      </c>
      <c r="V171" s="29">
        <f>LOOKUP(D171,[1]Parámetros!$A$7:$A$24,[1]Parámetros!$B$7:$B$24)</f>
        <v>49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49</v>
      </c>
      <c r="AC171" s="32">
        <f>IFERROR($A172-LOOKUP($A172,$Z$14:$Z171),"")</f>
        <v>10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252.34399999999999</v>
      </c>
      <c r="D172" s="25">
        <f>+VLOOKUP(B172,[1]Balance_Gatún!$A$13:$E$5087,2)</f>
        <v>84.322807571715785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2.7027027027027026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16.375690287959191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5.3185819823202074</v>
      </c>
      <c r="P172" s="24">
        <f>+VLOOKUP(B172,[1]Balance_Madden!$A$12:$V$5087,12)/35.32</f>
        <v>2.3942563971881792</v>
      </c>
      <c r="Q172" s="25">
        <f>+VLOOKUP(B172,[1]Balance_Gatún!$A$13:$AD$5087,15)/35.32</f>
        <v>18.642254482524191</v>
      </c>
      <c r="R172" s="24">
        <f>+VLOOKUP(B172,[1]Balance_Madden!$A$12:$V$5087,14)/35.32</f>
        <v>39.517398553777035</v>
      </c>
      <c r="S172" s="26">
        <f>[1]Balance_Gatún!X171/35.32</f>
        <v>91.826440670923645</v>
      </c>
      <c r="T172" s="25">
        <v>107.19362673507062</v>
      </c>
      <c r="U172" s="25">
        <v>59.235608534950714</v>
      </c>
      <c r="V172" s="29">
        <f>LOOKUP(D172,[1]Parámetros!$A$7:$A$24,[1]Parámetros!$B$7:$B$24)</f>
        <v>49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49</v>
      </c>
      <c r="AC172" s="32">
        <f>IFERROR($A173-LOOKUP($A173,$Z$14:$Z172),"")</f>
        <v>11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252.255</v>
      </c>
      <c r="D173" s="25">
        <f>+VLOOKUP(B173,[1]Balance_Gatún!$A$13:$E$5087,2)</f>
        <v>84.290595193196751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2.7027027027027026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12.163919192560074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5.3135520597605668</v>
      </c>
      <c r="P173" s="24">
        <f>+VLOOKUP(B173,[1]Balance_Madden!$A$12:$V$5087,12)/35.32</f>
        <v>1.3068469932422468</v>
      </c>
      <c r="Q173" s="25">
        <f>+VLOOKUP(B173,[1]Balance_Gatún!$A$13:$AD$5087,15)/35.32</f>
        <v>10.182041038952079</v>
      </c>
      <c r="R173" s="24">
        <f>+VLOOKUP(B173,[1]Balance_Madden!$A$12:$V$5087,14)/35.32</f>
        <v>34.218218054431993</v>
      </c>
      <c r="S173" s="26">
        <f>[1]Balance_Gatún!X172/35.32</f>
        <v>83.30802424461865</v>
      </c>
      <c r="T173" s="25">
        <v>99.386010502713319</v>
      </c>
      <c r="U173" s="25">
        <v>52.020754394864007</v>
      </c>
      <c r="V173" s="29">
        <f>LOOKUP(D173,[1]Parámetros!$A$7:$A$24,[1]Parámetros!$B$7:$B$24)</f>
        <v>49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49</v>
      </c>
      <c r="AC173" s="32">
        <f>IFERROR($A174-LOOKUP($A174,$Z$14:$Z173),"")</f>
        <v>12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252.249</v>
      </c>
      <c r="D174" s="25">
        <f>+VLOOKUP(B174,[1]Balance_Gatún!$A$13:$E$5087,2)</f>
        <v>84.286357026080481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2.7027027027027026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11.895134816526147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5.3128902752736789</v>
      </c>
      <c r="P174" s="24">
        <f>+VLOOKUP(B174,[1]Balance_Madden!$A$12:$V$5087,12)/35.32</f>
        <v>1.8322644422956511</v>
      </c>
      <c r="Q174" s="25">
        <f>+VLOOKUP(B174,[1]Balance_Gatún!$A$13:$AD$5087,15)/35.32</f>
        <v>14.275976363000982</v>
      </c>
      <c r="R174" s="24">
        <f>+VLOOKUP(B174,[1]Balance_Madden!$A$12:$V$5087,14)/35.32</f>
        <v>34.474851127451466</v>
      </c>
      <c r="S174" s="26">
        <f>[1]Balance_Gatún!X173/35.32</f>
        <v>87.394301830281634</v>
      </c>
      <c r="T174" s="25">
        <v>157.7468088160598</v>
      </c>
      <c r="U174" s="25">
        <v>46.832167799046353</v>
      </c>
      <c r="V174" s="29">
        <f>LOOKUP(D174,[1]Parámetros!$A$7:$A$24,[1]Parámetros!$B$7:$B$24)</f>
        <v>49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49</v>
      </c>
      <c r="AC174" s="32">
        <f>IFERROR($A175-LOOKUP($A175,$Z$14:$Z174),"")</f>
        <v>13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252.458</v>
      </c>
      <c r="D175" s="25">
        <f>+VLOOKUP(B175,[1]Balance_Gatún!$A$13:$E$5087,2)</f>
        <v>84.279995727192343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2.7027027027027026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22.34112622176886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5.3118969664198428</v>
      </c>
      <c r="P175" s="24">
        <f>+VLOOKUP(B175,[1]Balance_Madden!$A$12:$V$5087,12)/35.32</f>
        <v>1.52774804901268</v>
      </c>
      <c r="Q175" s="25">
        <f>+VLOOKUP(B175,[1]Balance_Gatún!$A$13:$AD$5087,15)/35.32</f>
        <v>11.872757487053482</v>
      </c>
      <c r="R175" s="24">
        <f>+VLOOKUP(B175,[1]Balance_Madden!$A$12:$V$5087,14)/35.32</f>
        <v>44.616326139411214</v>
      </c>
      <c r="S175" s="26">
        <f>[1]Balance_Gatún!X174/35.32</f>
        <v>84.979589032234387</v>
      </c>
      <c r="T175" s="25">
        <v>199.29396402084583</v>
      </c>
      <c r="U175" s="25">
        <v>42.84353067966758</v>
      </c>
      <c r="V175" s="29">
        <f>LOOKUP(D175,[1]Parámetros!$A$7:$A$24,[1]Parámetros!$B$7:$B$24)</f>
        <v>49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49</v>
      </c>
      <c r="AC175" s="32">
        <f>IFERROR($A176-LOOKUP($A176,$Z$14:$Z175),"")</f>
        <v>14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252.36600000000001</v>
      </c>
      <c r="D176" s="25">
        <f>+VLOOKUP(B176,[1]Balance_Gatún!$A$13:$E$5087,2)</f>
        <v>84.260126708128482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2.7027027027027026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17.47890574535548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5.3087944439790302</v>
      </c>
      <c r="P176" s="24">
        <f>+VLOOKUP(B176,[1]Balance_Madden!$A$12:$V$5087,12)/35.32</f>
        <v>0.73328179766624979</v>
      </c>
      <c r="Q176" s="25">
        <f>+VLOOKUP(B176,[1]Balance_Gatún!$A$13:$AD$5087,15)/35.32</f>
        <v>5.7034381912177707</v>
      </c>
      <c r="R176" s="24">
        <f>+VLOOKUP(B176,[1]Balance_Madden!$A$12:$V$5087,14)/35.32</f>
        <v>38.959639411651395</v>
      </c>
      <c r="S176" s="26">
        <f>[1]Balance_Gatún!X175/35.32</f>
        <v>78.774369370556087</v>
      </c>
      <c r="T176" s="25">
        <v>167.9789142060726</v>
      </c>
      <c r="U176" s="25">
        <v>53.335654951234417</v>
      </c>
      <c r="V176" s="29">
        <f>LOOKUP(D176,[1]Parámetros!$A$7:$A$24,[1]Parámetros!$B$7:$B$24)</f>
        <v>49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49</v>
      </c>
      <c r="AC176" s="32">
        <f>IFERROR($A177-LOOKUP($A177,$Z$14:$Z176),"")</f>
        <v>15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252.27699999999999</v>
      </c>
      <c r="D177" s="25">
        <f>+VLOOKUP(B177,[1]Balance_Gatún!$A$13:$E$5087,2)</f>
        <v>84.237107859156467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2.7027027027027026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13.16627898450869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5.3052000795432317</v>
      </c>
      <c r="P177" s="24">
        <f>+VLOOKUP(B177,[1]Balance_Madden!$A$12:$V$5087,12)/35.32</f>
        <v>1.040555149959113</v>
      </c>
      <c r="Q177" s="25">
        <f>+VLOOKUP(B177,[1]Balance_Gatún!$A$13:$AD$5087,15)/35.32</f>
        <v>8.099610435695606</v>
      </c>
      <c r="R177" s="24">
        <f>+VLOOKUP(B177,[1]Balance_Madden!$A$12:$V$5087,14)/35.32</f>
        <v>34.954286003097472</v>
      </c>
      <c r="S177" s="26">
        <f>[1]Balance_Gatún!X176/35.32</f>
        <v>81.128949974464547</v>
      </c>
      <c r="T177" s="25">
        <v>86.521655377046656</v>
      </c>
      <c r="U177" s="25">
        <v>48.077621951440619</v>
      </c>
      <c r="V177" s="29">
        <f>LOOKUP(D177,[1]Parámetros!$A$7:$A$24,[1]Parámetros!$B$7:$B$24)</f>
        <v>49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49</v>
      </c>
      <c r="AC177" s="32">
        <f>IFERROR($A178-LOOKUP($A178,$Z$14:$Z177),"")</f>
        <v>16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252.19900000000001</v>
      </c>
      <c r="D178" s="25">
        <f>+VLOOKUP(B178,[1]Balance_Gatún!$A$13:$E$5087,2)</f>
        <v>84.209872666799441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2.7027027027027026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9.7343499217921057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5.3009473383688475</v>
      </c>
      <c r="P178" s="24">
        <f>+VLOOKUP(B178,[1]Balance_Madden!$A$12:$V$5087,12)/35.32</f>
        <v>1.473551663058819</v>
      </c>
      <c r="Q178" s="25">
        <f>+VLOOKUP(B178,[1]Balance_Gatún!$A$13:$AD$5087,15)/35.32</f>
        <v>11.476708681928915</v>
      </c>
      <c r="R178" s="24">
        <f>+VLOOKUP(B178,[1]Balance_Madden!$A$12:$V$5087,14)/35.32</f>
        <v>31.955353453480594</v>
      </c>
      <c r="S178" s="26">
        <f>[1]Balance_Gatún!X177/35.32</f>
        <v>84.456838273982925</v>
      </c>
      <c r="T178" s="25">
        <v>157.28097947654513</v>
      </c>
      <c r="U178" s="25">
        <v>61.14033559967708</v>
      </c>
      <c r="V178" s="29">
        <f>LOOKUP(D178,[1]Parámetros!$A$7:$A$24,[1]Parámetros!$B$7:$B$24)</f>
        <v>49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49</v>
      </c>
      <c r="AC178" s="32">
        <f>IFERROR($A179-LOOKUP($A179,$Z$14:$Z178),"")</f>
        <v>17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252.21199999999999</v>
      </c>
      <c r="D179" s="25">
        <f>+VLOOKUP(B179,[1]Balance_Gatún!$A$13:$E$5087,2)</f>
        <v>84.184125937959479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2.7027027027027026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10.282301969562766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5.2969270189083471</v>
      </c>
      <c r="P179" s="24">
        <f>+VLOOKUP(B179,[1]Balance_Madden!$A$12:$V$5087,12)/35.32</f>
        <v>0.78566646560575903</v>
      </c>
      <c r="Q179" s="25">
        <f>+VLOOKUP(B179,[1]Balance_Gatún!$A$13:$AD$5087,15)/35.32</f>
        <v>6.1161720579119159</v>
      </c>
      <c r="R179" s="24">
        <f>+VLOOKUP(B179,[1]Balance_Madden!$A$12:$V$5087,14)/35.32</f>
        <v>31.815420303798195</v>
      </c>
      <c r="S179" s="26">
        <f>[1]Balance_Gatún!X178/35.32</f>
        <v>79.049781135710376</v>
      </c>
      <c r="T179" s="25">
        <v>86.396046221147387</v>
      </c>
      <c r="U179" s="25">
        <v>60.390551803122754</v>
      </c>
      <c r="V179" s="29">
        <f>LOOKUP(D179,[1]Parámetros!$A$7:$A$24,[1]Parámetros!$B$7:$B$24)</f>
        <v>49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49</v>
      </c>
      <c r="AC179" s="32">
        <f>IFERROR($A180-LOOKUP($A180,$Z$14:$Z179),"")</f>
        <v>18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252.18</v>
      </c>
      <c r="D180" s="25">
        <f>+VLOOKUP(B180,[1]Balance_Gatún!$A$13:$E$5087,2)</f>
        <v>84.161434500614661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2.7027027027027026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8.9515892282754841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5.2933837793880505</v>
      </c>
      <c r="P180" s="24">
        <f>+VLOOKUP(B180,[1]Balance_Madden!$A$12:$V$5087,12)/35.32</f>
        <v>2.384596266988646</v>
      </c>
      <c r="Q180" s="25">
        <f>+VLOOKUP(B180,[1]Balance_Gatún!$A$13:$AD$5087,15)/35.32</f>
        <v>18.565048120956497</v>
      </c>
      <c r="R180" s="24">
        <f>+VLOOKUP(B180,[1]Balance_Madden!$A$12:$V$5087,14)/35.32</f>
        <v>32.0836373638938</v>
      </c>
      <c r="S180" s="26">
        <f>[1]Balance_Gatún!X179/35.32</f>
        <v>91.457657142357874</v>
      </c>
      <c r="T180" s="25">
        <v>60.454300049610268</v>
      </c>
      <c r="U180" s="25">
        <v>44.413309906159647</v>
      </c>
      <c r="V180" s="29">
        <f>LOOKUP(D180,[1]Parámetros!$A$7:$A$24,[1]Parámetros!$B$7:$B$24)</f>
        <v>49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49</v>
      </c>
      <c r="AC180" s="32">
        <f>IFERROR($A181-LOOKUP($A181,$Z$14:$Z180),"")</f>
        <v>19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252.12799999999999</v>
      </c>
      <c r="D181" s="25">
        <f>+VLOOKUP(B181,[1]Balance_Gatún!$A$13:$E$5087,2)</f>
        <v>84.125773032813242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2.7027027027027026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6.9240791779074566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5.2878152858569614</v>
      </c>
      <c r="P181" s="24">
        <f>+VLOOKUP(B181,[1]Balance_Madden!$A$12:$V$5087,12)/35.32</f>
        <v>1.9598943856135751</v>
      </c>
      <c r="Q181" s="25">
        <f>+VLOOKUP(B181,[1]Balance_Gatún!$A$13:$AD$5087,15)/35.32</f>
        <v>15.261077923169569</v>
      </c>
      <c r="R181" s="24">
        <f>+VLOOKUP(B181,[1]Balance_Madden!$A$12:$V$5087,14)/35.32</f>
        <v>29.631425432150699</v>
      </c>
      <c r="S181" s="26">
        <f>[1]Balance_Gatún!X180/35.32</f>
        <v>88.089251969877949</v>
      </c>
      <c r="T181" s="25">
        <v>98.243342325601049</v>
      </c>
      <c r="U181" s="25">
        <v>63.368923336280176</v>
      </c>
      <c r="V181" s="29">
        <f>LOOKUP(D181,[1]Parámetros!$A$7:$A$24,[1]Parámetros!$B$7:$B$24)</f>
        <v>49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49</v>
      </c>
      <c r="AC181" s="32">
        <f>IFERROR($A182-LOOKUP($A182,$Z$14:$Z181),"")</f>
        <v>20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252.089</v>
      </c>
      <c r="D182" s="25">
        <f>+VLOOKUP(B182,[1]Balance_Gatún!$A$13:$E$5087,2)</f>
        <v>84.120498863680908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2.7027027027027026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5.5209790930454963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5.2869917309528605</v>
      </c>
      <c r="P182" s="24">
        <f>+VLOOKUP(B182,[1]Balance_Madden!$A$12:$V$5087,12)/35.32</f>
        <v>1.3362175857706429</v>
      </c>
      <c r="Q182" s="25">
        <f>+VLOOKUP(B182,[1]Balance_Gatún!$A$13:$AD$5087,15)/35.32</f>
        <v>10.408848898269838</v>
      </c>
      <c r="R182" s="24">
        <f>+VLOOKUP(B182,[1]Balance_Madden!$A$12:$V$5087,14)/35.32</f>
        <v>27.604648547445812</v>
      </c>
      <c r="S182" s="26">
        <f>[1]Balance_Gatún!X181/35.32</f>
        <v>83.22749330485064</v>
      </c>
      <c r="T182" s="25">
        <v>73.857926159513028</v>
      </c>
      <c r="U182" s="25">
        <v>54.541123684154925</v>
      </c>
      <c r="V182" s="29">
        <f>LOOKUP(D182,[1]Parámetros!$A$7:$A$24,[1]Parámetros!$B$7:$B$24)</f>
        <v>49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49</v>
      </c>
      <c r="AC182" s="32">
        <f>IFERROR($A183-LOOKUP($A183,$Z$14:$Z182),"")</f>
        <v>21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252.34200000000001</v>
      </c>
      <c r="D183" s="25">
        <f>+VLOOKUP(B183,[1]Balance_Gatún!$A$13:$E$5087,2)</f>
        <v>84.102820769605017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2.7027027027027026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16.27658042070777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5.2842313187047791</v>
      </c>
      <c r="P183" s="24">
        <f>+VLOOKUP(B183,[1]Balance_Madden!$A$12:$V$5087,12)/35.32</f>
        <v>1.0192847182838423</v>
      </c>
      <c r="Q183" s="25">
        <f>+VLOOKUP(B183,[1]Balance_Gatún!$A$13:$AD$5087,15)/35.32</f>
        <v>7.9142739629479362</v>
      </c>
      <c r="R183" s="24">
        <f>+VLOOKUP(B183,[1]Balance_Madden!$A$12:$V$5087,14)/35.32</f>
        <v>38.043317007621283</v>
      </c>
      <c r="S183" s="26">
        <f>[1]Balance_Gatún!X182/35.32</f>
        <v>80.700976679670561</v>
      </c>
      <c r="T183" s="25">
        <v>76.193383965248685</v>
      </c>
      <c r="U183" s="25">
        <v>40.577926109948933</v>
      </c>
      <c r="V183" s="29">
        <f>LOOKUP(D183,[1]Parámetros!$A$7:$A$24,[1]Parámetros!$B$7:$B$24)</f>
        <v>49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49</v>
      </c>
      <c r="AC183" s="32">
        <f>IFERROR($A184-LOOKUP($A184,$Z$14:$Z183),"")</f>
        <v>22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252.303</v>
      </c>
      <c r="D184" s="25">
        <f>+VLOOKUP(B184,[1]Balance_Gatún!$A$13:$E$5087,2)</f>
        <v>84.091017039573387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2.7027027027027026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14.3842157801318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5.2823881810445492</v>
      </c>
      <c r="P184" s="24">
        <f>+VLOOKUP(B184,[1]Balance_Madden!$A$12:$V$5087,12)/35.32</f>
        <v>1.8794897510254207</v>
      </c>
      <c r="Q184" s="25">
        <f>+VLOOKUP(B184,[1]Balance_Gatún!$A$13:$AD$5087,15)/35.32</f>
        <v>14.597949910683123</v>
      </c>
      <c r="R184" s="24">
        <f>+VLOOKUP(B184,[1]Balance_Madden!$A$12:$V$5087,14)/35.32</f>
        <v>37.011157399786896</v>
      </c>
      <c r="S184" s="26">
        <f>[1]Balance_Gatún!X183/35.32</f>
        <v>87.363325040720142</v>
      </c>
      <c r="T184" s="25">
        <v>74.993245766349048</v>
      </c>
      <c r="U184" s="25">
        <v>35.423037741783645</v>
      </c>
      <c r="V184" s="29">
        <f>LOOKUP(D184,[1]Parámetros!$A$7:$A$24,[1]Parámetros!$B$7:$B$24)</f>
        <v>49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49</v>
      </c>
      <c r="AC184" s="32">
        <f>IFERROR($A185-LOOKUP($A185,$Z$14:$Z184),"")</f>
        <v>23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252.239</v>
      </c>
      <c r="D185" s="25">
        <f>+VLOOKUP(B185,[1]Balance_Gatún!$A$13:$E$5087,2)</f>
        <v>84.06980589989557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2.7027027027027026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11.451599729183547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5.2790760881508794</v>
      </c>
      <c r="P185" s="24">
        <f>+VLOOKUP(B185,[1]Balance_Madden!$A$12:$V$5087,12)/35.32</f>
        <v>1.0229094551378508</v>
      </c>
      <c r="Q185" s="25">
        <f>+VLOOKUP(B185,[1]Balance_Gatún!$A$13:$AD$5087,15)/35.32</f>
        <v>7.9488203401597257</v>
      </c>
      <c r="R185" s="24">
        <f>+VLOOKUP(B185,[1]Balance_Madden!$A$12:$V$5087,14)/35.32</f>
        <v>33.221961052951066</v>
      </c>
      <c r="S185" s="26">
        <f>[1]Balance_Gatún!X184/35.32</f>
        <v>80.675870091781022</v>
      </c>
      <c r="T185" s="25">
        <v>132.56648057926034</v>
      </c>
      <c r="U185" s="25">
        <v>80.226628638938266</v>
      </c>
      <c r="V185" s="29">
        <f>LOOKUP(D185,[1]Parámetros!$A$7:$A$24,[1]Parámetros!$B$7:$B$24)</f>
        <v>49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49</v>
      </c>
      <c r="AC185" s="32">
        <f>IFERROR($A186-LOOKUP($A186,$Z$14:$Z185),"")</f>
        <v>24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252.304</v>
      </c>
      <c r="D186" s="25">
        <f>+VLOOKUP(B186,[1]Balance_Gatún!$A$13:$E$5087,2)</f>
        <v>84.06736218763541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2.7027027027027026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14.431766709454996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5.2786945055422114</v>
      </c>
      <c r="P186" s="24">
        <f>+VLOOKUP(B186,[1]Balance_Madden!$A$12:$V$5087,12)/35.32</f>
        <v>1.1543043230993952</v>
      </c>
      <c r="Q186" s="25">
        <f>+VLOOKUP(B186,[1]Balance_Gatún!$A$13:$AD$5087,15)/35.32</f>
        <v>8.9626278199980547</v>
      </c>
      <c r="R186" s="24">
        <f>+VLOOKUP(B186,[1]Balance_Madden!$A$12:$V$5087,14)/35.32</f>
        <v>36.333522901184061</v>
      </c>
      <c r="S186" s="26">
        <f>[1]Balance_Gatún!X185/35.32</f>
        <v>81.685262146586439</v>
      </c>
      <c r="T186" s="25">
        <v>110.97800424872834</v>
      </c>
      <c r="U186" s="25">
        <v>43.615864736151835</v>
      </c>
      <c r="V186" s="29">
        <f>LOOKUP(D186,[1]Parámetros!$A$7:$A$24,[1]Parámetros!$B$7:$B$24)</f>
        <v>49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49</v>
      </c>
      <c r="AC186" s="32">
        <f>IFERROR($A187-LOOKUP($A187,$Z$14:$Z186),"")</f>
        <v>25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252.30699999999999</v>
      </c>
      <c r="D187" s="25">
        <f>+VLOOKUP(B187,[1]Balance_Gatún!$A$13:$E$5087,2)</f>
        <v>84.055031510935095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2.7027027027027026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14.574730200811167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5.2767690858196703</v>
      </c>
      <c r="P187" s="24">
        <f>+VLOOKUP(B187,[1]Balance_Madden!$A$12:$V$5087,12)/35.32</f>
        <v>0.84311845484595871</v>
      </c>
      <c r="Q187" s="25">
        <f>+VLOOKUP(B187,[1]Balance_Gatún!$A$13:$AD$5087,15)/35.32</f>
        <v>6.5451474118834465</v>
      </c>
      <c r="R187" s="24">
        <f>+VLOOKUP(B187,[1]Balance_Madden!$A$12:$V$5087,14)/35.32</f>
        <v>36.165300524286799</v>
      </c>
      <c r="S187" s="26">
        <f>[1]Balance_Gatún!X186/35.32</f>
        <v>79.245502037435514</v>
      </c>
      <c r="T187" s="25">
        <v>85.74637928136687</v>
      </c>
      <c r="U187" s="25">
        <v>51.134790360737938</v>
      </c>
      <c r="V187" s="29">
        <f>LOOKUP(D187,[1]Parámetros!$A$7:$A$24,[1]Parámetros!$B$7:$B$24)</f>
        <v>49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49</v>
      </c>
      <c r="AC187" s="32">
        <f>IFERROR($A188-LOOKUP($A188,$Z$14:$Z187),"")</f>
        <v>26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252.28100000000001</v>
      </c>
      <c r="D188" s="25">
        <f>+VLOOKUP(B188,[1]Balance_Gatún!$A$13:$E$5087,2)</f>
        <v>84.036640969992419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2.7027027027027026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13.351328161310542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5.2738974258856812</v>
      </c>
      <c r="P188" s="24">
        <f>+VLOOKUP(B188,[1]Balance_Madden!$A$12:$V$5087,12)/35.32</f>
        <v>1.7381236782220135</v>
      </c>
      <c r="Q188" s="25">
        <f>+VLOOKUP(B188,[1]Balance_Gatún!$A$13:$AD$5087,15)/35.32</f>
        <v>13.494096320066282</v>
      </c>
      <c r="R188" s="24">
        <f>+VLOOKUP(B188,[1]Balance_Madden!$A$12:$V$5087,14)/35.32</f>
        <v>35.836903708162225</v>
      </c>
      <c r="S188" s="26">
        <f>[1]Balance_Gatún!X187/35.32</f>
        <v>86.16122197010813</v>
      </c>
      <c r="T188" s="25">
        <v>82.942781649967188</v>
      </c>
      <c r="U188" s="25">
        <v>40.170383842724107</v>
      </c>
      <c r="V188" s="29">
        <f>LOOKUP(D188,[1]Parámetros!$A$7:$A$24,[1]Parámetros!$B$7:$B$24)</f>
        <v>49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49</v>
      </c>
      <c r="AC188" s="32">
        <f>IFERROR($A189-LOOKUP($A189,$Z$14:$Z188),"")</f>
        <v>27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252.238</v>
      </c>
      <c r="D189" s="25">
        <f>+VLOOKUP(B189,[1]Balance_Gatún!$A$13:$E$5087,2)</f>
        <v>84.01233499978494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2.7027027027027026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11.407553650167319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5.270102079081088</v>
      </c>
      <c r="P189" s="24">
        <f>+VLOOKUP(B189,[1]Balance_Madden!$A$12:$V$5087,12)/35.32</f>
        <v>1.9946737476856973</v>
      </c>
      <c r="Q189" s="25">
        <f>+VLOOKUP(B189,[1]Balance_Gatún!$A$13:$AD$5087,15)/35.32</f>
        <v>15.48896675869873</v>
      </c>
      <c r="R189" s="24">
        <f>+VLOOKUP(B189,[1]Balance_Madden!$A$12:$V$5087,14)/35.32</f>
        <v>34.149679266482693</v>
      </c>
      <c r="S189" s="26">
        <f>[1]Balance_Gatún!X188/35.32</f>
        <v>88.112175131304639</v>
      </c>
      <c r="T189" s="25">
        <v>50.756731238073016</v>
      </c>
      <c r="U189" s="25">
        <v>36.314321336479772</v>
      </c>
      <c r="V189" s="29">
        <f>LOOKUP(D189,[1]Parámetros!$A$7:$A$24,[1]Parámetros!$B$7:$B$24)</f>
        <v>49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49</v>
      </c>
      <c r="AC189" s="32">
        <f>IFERROR($A190-LOOKUP($A190,$Z$14:$Z189),"")</f>
        <v>28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252.197</v>
      </c>
      <c r="D190" s="25">
        <f>+VLOOKUP(B190,[1]Balance_Gatún!$A$13:$E$5087,2)</f>
        <v>83.983327580823655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2.7027027027027026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9.6509348447250378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5.2655726069421673</v>
      </c>
      <c r="P190" s="24">
        <f>+VLOOKUP(B190,[1]Balance_Madden!$A$12:$V$5087,12)/35.32</f>
        <v>1.9287248014153497</v>
      </c>
      <c r="Q190" s="25">
        <f>+VLOOKUP(B190,[1]Balance_Gatún!$A$13:$AD$5087,15)/35.32</f>
        <v>14.978617638321577</v>
      </c>
      <c r="R190" s="24">
        <f>+VLOOKUP(B190,[1]Balance_Madden!$A$12:$V$5087,14)/35.32</f>
        <v>32.327111514770053</v>
      </c>
      <c r="S190" s="26">
        <f>[1]Balance_Gatún!X189/35.32</f>
        <v>87.549413914008539</v>
      </c>
      <c r="T190" s="25">
        <v>193.9515237575263</v>
      </c>
      <c r="U190" s="25">
        <v>67.152119282282015</v>
      </c>
      <c r="V190" s="29">
        <f>LOOKUP(D190,[1]Parámetros!$A$7:$A$24,[1]Parámetros!$B$7:$B$24)</f>
        <v>48.5</v>
      </c>
      <c r="W190" s="30" t="str">
        <f t="shared" si="12"/>
        <v>Cambio Calado</v>
      </c>
      <c r="X190" s="31">
        <f t="shared" si="13"/>
        <v>46380</v>
      </c>
      <c r="Y190" s="30">
        <f>IF($W190="Cambio Calado",COUNTIF($W$14:W190,"Cambio Calado"),"")</f>
        <v>11</v>
      </c>
      <c r="Z190" s="31">
        <f t="shared" si="14"/>
        <v>46380</v>
      </c>
      <c r="AA190" s="30">
        <f t="shared" si="15"/>
        <v>48.5</v>
      </c>
      <c r="AB190" s="29">
        <f>IFERROR(LOOKUP($A190,$Z$14:$Z190,$AA$14:$AA190),$U190)</f>
        <v>48.5</v>
      </c>
      <c r="AC190" s="32">
        <f>IFERROR($A191-LOOKUP($A191,$Z$14:$Z190),"")</f>
        <v>1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252.15799999999999</v>
      </c>
      <c r="D191" s="25">
        <f>+VLOOKUP(B191,[1]Balance_Gatún!$A$13:$E$5087,2)</f>
        <v>83.953196204959269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2.7027027027027026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8.0728211058282611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5.2608676303405879</v>
      </c>
      <c r="P191" s="24">
        <f>+VLOOKUP(B191,[1]Balance_Madden!$A$12:$V$5087,12)/35.32</f>
        <v>2.380044430179165</v>
      </c>
      <c r="Q191" s="25">
        <f>+VLOOKUP(B191,[1]Balance_Gatún!$A$13:$AD$5087,15)/35.32</f>
        <v>18.485056657331484</v>
      </c>
      <c r="R191" s="24">
        <f>+VLOOKUP(B191,[1]Balance_Madden!$A$12:$V$5087,14)/35.32</f>
        <v>31.200317404637094</v>
      </c>
      <c r="S191" s="26">
        <f>[1]Balance_Gatún!X190/35.32</f>
        <v>91.001410012942983</v>
      </c>
      <c r="T191" s="25">
        <v>94.977756283396815</v>
      </c>
      <c r="U191" s="25">
        <v>58.838532451589103</v>
      </c>
      <c r="V191" s="29">
        <f>LOOKUP(D191,[1]Parámetros!$A$7:$A$24,[1]Parámetros!$B$7:$B$24)</f>
        <v>48.5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48.5</v>
      </c>
      <c r="AC191" s="32">
        <f>IFERROR($A192-LOOKUP($A192,$Z$14:$Z191),"")</f>
        <v>2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252.11799999999999</v>
      </c>
      <c r="D192" s="25">
        <f>+VLOOKUP(B192,[1]Balance_Gatún!$A$13:$E$5087,2)</f>
        <v>83.918513228666029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2.7027027027027026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6.5543391047964628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5.2554519270329356</v>
      </c>
      <c r="P192" s="24">
        <f>+VLOOKUP(B192,[1]Balance_Madden!$A$12:$V$5087,12)/35.32</f>
        <v>0.69178803461325555</v>
      </c>
      <c r="Q192" s="25">
        <f>+VLOOKUP(B192,[1]Balance_Gatún!$A$13:$AD$5087,15)/35.32</f>
        <v>5.3730737845589438</v>
      </c>
      <c r="R192" s="24">
        <f>+VLOOKUP(B192,[1]Balance_Madden!$A$12:$V$5087,14)/35.32</f>
        <v>27.993579008039386</v>
      </c>
      <c r="S192" s="26">
        <f>[1]Balance_Gatún!X191/35.32</f>
        <v>77.826760154274709</v>
      </c>
      <c r="T192" s="25">
        <v>96.544403138638629</v>
      </c>
      <c r="U192" s="25">
        <v>74.942286223092026</v>
      </c>
      <c r="V192" s="29">
        <f>LOOKUP(D192,[1]Parámetros!$A$7:$A$24,[1]Parámetros!$B$7:$B$24)</f>
        <v>48.5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48.5</v>
      </c>
      <c r="AC192" s="32">
        <f>IFERROR($A193-LOOKUP($A193,$Z$14:$Z192),"")</f>
        <v>3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252.05199999999999</v>
      </c>
      <c r="D193" s="25">
        <f>+VLOOKUP(B193,[1]Balance_Gatún!$A$13:$E$5087,2)</f>
        <v>83.888923035486883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2.7027027027027026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4.2910593395855283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5.2508314554298243</v>
      </c>
      <c r="P193" s="24">
        <f>+VLOOKUP(B193,[1]Balance_Madden!$A$12:$V$5087,12)/35.32</f>
        <v>1.4927314730980339</v>
      </c>
      <c r="Q193" s="25">
        <f>+VLOOKUP(B193,[1]Balance_Gatún!$A$13:$AD$5087,15)/35.32</f>
        <v>11.598686170593012</v>
      </c>
      <c r="R193" s="24">
        <f>+VLOOKUP(B193,[1]Balance_Madden!$A$12:$V$5087,14)/35.32</f>
        <v>26.53124268131323</v>
      </c>
      <c r="S193" s="26">
        <f>[1]Balance_Gatún!X192/35.32</f>
        <v>83.998907456951144</v>
      </c>
      <c r="T193" s="25">
        <v>83.535512912937406</v>
      </c>
      <c r="U193" s="25">
        <v>159.37491214473945</v>
      </c>
      <c r="V193" s="29">
        <f>LOOKUP(D193,[1]Parámetros!$A$7:$A$24,[1]Parámetros!$B$7:$B$24)</f>
        <v>48.5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48.5</v>
      </c>
      <c r="AC193" s="32">
        <f>IFERROR($A194-LOOKUP($A194,$Z$14:$Z193),"")</f>
        <v>4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252.065</v>
      </c>
      <c r="D194" s="25">
        <f>+VLOOKUP(B194,[1]Balance_Gatún!$A$13:$E$5087,2)</f>
        <v>83.855095743156085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2.7027027027027026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4.711439313446677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5.2455493661011614</v>
      </c>
      <c r="P194" s="24">
        <f>+VLOOKUP(B194,[1]Balance_Madden!$A$12:$V$5087,12)/35.32</f>
        <v>0.84286418529564899</v>
      </c>
      <c r="Q194" s="25">
        <f>+VLOOKUP(B194,[1]Balance_Gatún!$A$13:$AD$5087,15)/35.32</f>
        <v>6.5452829729982183</v>
      </c>
      <c r="R194" s="24">
        <f>+VLOOKUP(B194,[1]Balance_Madden!$A$12:$V$5087,14)/35.32</f>
        <v>26.301755367371996</v>
      </c>
      <c r="S194" s="26">
        <f>[1]Balance_Gatún!X193/35.32</f>
        <v>78.884383367266182</v>
      </c>
      <c r="T194" s="25">
        <v>83.741234987008227</v>
      </c>
      <c r="U194" s="25">
        <v>75.295784723503459</v>
      </c>
      <c r="V194" s="29">
        <f>LOOKUP(D194,[1]Parámetros!$A$7:$A$24,[1]Parámetros!$B$7:$B$24)</f>
        <v>48.5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48.5</v>
      </c>
      <c r="AC194" s="32">
        <f>IFERROR($A195-LOOKUP($A195,$Z$14:$Z194),"")</f>
        <v>5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252.203</v>
      </c>
      <c r="D195" s="25">
        <f>+VLOOKUP(B195,[1]Balance_Gatún!$A$13:$E$5087,2)</f>
        <v>83.83461543954057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2.7027027027027026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9.9018913543941576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5.2423513923432434</v>
      </c>
      <c r="P195" s="24">
        <f>+VLOOKUP(B195,[1]Balance_Madden!$A$12:$V$5087,12)/35.32</f>
        <v>1.262524301140407</v>
      </c>
      <c r="Q195" s="25">
        <f>+VLOOKUP(B195,[1]Balance_Gatún!$A$13:$AD$5087,15)/35.32</f>
        <v>9.7854413899471826</v>
      </c>
      <c r="R195" s="24">
        <f>+VLOOKUP(B195,[1]Balance_Madden!$A$12:$V$5087,14)/35.32</f>
        <v>31.911867524164236</v>
      </c>
      <c r="S195" s="26">
        <f>[1]Balance_Gatún!X194/35.32</f>
        <v>82.087536917995976</v>
      </c>
      <c r="T195" s="25">
        <v>83.312340491788078</v>
      </c>
      <c r="U195" s="25">
        <v>55.307151562534223</v>
      </c>
      <c r="V195" s="29">
        <f>LOOKUP(D195,[1]Parámetros!$A$7:$A$24,[1]Parámetros!$B$7:$B$24)</f>
        <v>48.5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48.5</v>
      </c>
      <c r="AC195" s="32">
        <f>IFERROR($A196-LOOKUP($A196,$Z$14:$Z195),"")</f>
        <v>6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252.167</v>
      </c>
      <c r="D196" s="25">
        <f>+VLOOKUP(B196,[1]Balance_Gatún!$A$13:$E$5087,2)</f>
        <v>83.812637442420964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2.7027027027027026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8.4286786405793563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5.2389195556205284</v>
      </c>
      <c r="P196" s="24">
        <f>+VLOOKUP(B196,[1]Balance_Madden!$A$12:$V$5087,12)/35.32</f>
        <v>0.98058780067171014</v>
      </c>
      <c r="Q196" s="25">
        <f>+VLOOKUP(B196,[1]Balance_Gatún!$A$13:$AD$5087,15)/35.32</f>
        <v>7.6013560011750281</v>
      </c>
      <c r="R196" s="24">
        <f>+VLOOKUP(B196,[1]Balance_Madden!$A$12:$V$5087,14)/35.32</f>
        <v>30.156718309880738</v>
      </c>
      <c r="S196" s="26">
        <f>[1]Balance_Gatún!X195/35.32</f>
        <v>79.863740553329905</v>
      </c>
      <c r="T196" s="25">
        <v>66.694991251287803</v>
      </c>
      <c r="U196" s="25">
        <v>79.273982441728961</v>
      </c>
      <c r="V196" s="29">
        <f>LOOKUP(D196,[1]Parámetros!$A$7:$A$24,[1]Parámetros!$B$7:$B$24)</f>
        <v>48.5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48.5</v>
      </c>
      <c r="AC196" s="32">
        <f>IFERROR($A197-LOOKUP($A197,$Z$14:$Z196),"")</f>
        <v>7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252.113</v>
      </c>
      <c r="D197" s="25">
        <f>+VLOOKUP(B197,[1]Balance_Gatún!$A$13:$E$5087,2)</f>
        <v>83.805118275695818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6.3720076048699124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5.2377454471541771</v>
      </c>
      <c r="P197" s="24">
        <f>+VLOOKUP(B197,[1]Balance_Madden!$A$12:$V$5087,12)/35.32</f>
        <v>1.5801256988732033</v>
      </c>
      <c r="Q197" s="25">
        <f>+VLOOKUP(B197,[1]Balance_Gatún!$A$13:$AD$5087,15)/35.32</f>
        <v>12.255592199023164</v>
      </c>
      <c r="R197" s="24">
        <f>+VLOOKUP(B197,[1]Balance_Madden!$A$12:$V$5087,14)/35.32</f>
        <v>20.205813937944701</v>
      </c>
      <c r="S197" s="26">
        <f>[1]Balance_Gatún!X196/35.32</f>
        <v>84.504390733901758</v>
      </c>
      <c r="T197" s="25">
        <v>20.997374833938132</v>
      </c>
      <c r="U197" s="25">
        <v>87.882793237950651</v>
      </c>
      <c r="V197" s="29">
        <f>LOOKUP(D197,[1]Parámetros!$A$7:$A$24,[1]Parámetros!$B$7:$B$24)</f>
        <v>48.5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48.5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2026-10-05T14:40:33Z</dcterms:modified>
</cp:coreProperties>
</file>